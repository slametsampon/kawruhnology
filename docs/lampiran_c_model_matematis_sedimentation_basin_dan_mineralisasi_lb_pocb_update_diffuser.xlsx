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13_ncr:1_{409A8C08-AC46-46B7-A80C-1B86DEF0D3DF}" xr6:coauthVersionLast="47" xr6:coauthVersionMax="47" xr10:uidLastSave="{00000000-0000-0000-0000-000000000000}"/>
  <bookViews>
    <workbookView xWindow="735" yWindow="0" windowWidth="17160" windowHeight="15600" xr2:uid="{00000000-000D-0000-FFFF-FFFF00000000}"/>
  </bookViews>
  <sheets>
    <sheet name="Model_Desain" sheetId="1" r:id="rId1"/>
    <sheet name="Ringkasan" sheetId="2" r:id="rId2"/>
    <sheet name="Catatan" sheetId="3" r:id="rId3"/>
    <sheet name="MBBR_Diffuser" sheetId="4" r:id="rId4"/>
  </sheets>
  <calcPr calcId="191029"/>
</workbook>
</file>

<file path=xl/calcChain.xml><?xml version="1.0" encoding="utf-8"?>
<calcChain xmlns="http://schemas.openxmlformats.org/spreadsheetml/2006/main">
  <c r="E87" i="4" l="1"/>
  <c r="E81" i="4"/>
  <c r="E82" i="4" s="1"/>
  <c r="E83" i="4" s="1"/>
  <c r="E84" i="4" s="1"/>
  <c r="E76" i="4"/>
  <c r="E77" i="4" s="1"/>
  <c r="E78" i="4" s="1"/>
  <c r="E79" i="4" s="1"/>
  <c r="E60" i="4"/>
  <c r="E59" i="4"/>
  <c r="E61" i="4" s="1"/>
  <c r="E57" i="4"/>
  <c r="E63" i="4" s="1"/>
  <c r="E49" i="4"/>
  <c r="E43" i="4"/>
  <c r="E29" i="4"/>
  <c r="E28" i="4"/>
  <c r="E23" i="4"/>
  <c r="E24" i="4" s="1"/>
  <c r="E30" i="4" s="1"/>
  <c r="E19" i="4"/>
  <c r="B26" i="2" s="1"/>
  <c r="E15" i="4"/>
  <c r="E12" i="4"/>
  <c r="C105" i="4" s="1"/>
  <c r="E10" i="4"/>
  <c r="E9" i="4"/>
  <c r="E7" i="4"/>
  <c r="E6" i="4"/>
  <c r="B23" i="2"/>
  <c r="B22" i="2"/>
  <c r="B18" i="2"/>
  <c r="B17" i="2"/>
  <c r="B16" i="2"/>
  <c r="B15" i="2"/>
  <c r="B11" i="2"/>
  <c r="B10" i="2"/>
  <c r="B9" i="2"/>
  <c r="B8" i="2"/>
  <c r="B7" i="2"/>
  <c r="B6" i="2"/>
  <c r="B5" i="2"/>
  <c r="E191" i="1"/>
  <c r="E190" i="1"/>
  <c r="E174" i="1"/>
  <c r="E173" i="1"/>
  <c r="E170" i="1"/>
  <c r="E168" i="1"/>
  <c r="E165" i="1"/>
  <c r="E164" i="1"/>
  <c r="E163" i="1"/>
  <c r="E156" i="1"/>
  <c r="E155" i="1"/>
  <c r="E154" i="1"/>
  <c r="E139" i="1"/>
  <c r="E138" i="1"/>
  <c r="B12" i="2" s="1"/>
  <c r="E112" i="1"/>
  <c r="E167" i="1" s="1"/>
  <c r="E111" i="1"/>
  <c r="E8" i="4" s="1"/>
  <c r="E79" i="1"/>
  <c r="E78" i="1"/>
  <c r="E74" i="1"/>
  <c r="E73" i="1"/>
  <c r="E71" i="1"/>
  <c r="E69" i="1"/>
  <c r="E61" i="1"/>
  <c r="E62" i="1" s="1"/>
  <c r="E159" i="1" s="1"/>
  <c r="E60" i="1"/>
  <c r="E56" i="1"/>
  <c r="E51" i="1"/>
  <c r="E52" i="1" s="1"/>
  <c r="E53" i="1" s="1"/>
  <c r="E50" i="1"/>
  <c r="E49" i="1"/>
  <c r="E48" i="1"/>
  <c r="E32" i="1"/>
  <c r="E30" i="1"/>
  <c r="E31" i="1" s="1"/>
  <c r="E29" i="1"/>
  <c r="E6" i="1"/>
  <c r="E7" i="1" s="1"/>
  <c r="E147" i="1" l="1"/>
  <c r="E8" i="1"/>
  <c r="E85" i="4"/>
  <c r="E94" i="4" s="1"/>
  <c r="E150" i="1"/>
  <c r="E38" i="1"/>
  <c r="E37" i="1"/>
  <c r="E36" i="1"/>
  <c r="E90" i="4"/>
  <c r="E65" i="4"/>
  <c r="B24" i="2"/>
  <c r="E192" i="1"/>
  <c r="E196" i="1"/>
  <c r="E166" i="1"/>
  <c r="E188" i="1"/>
  <c r="B20" i="2"/>
  <c r="E158" i="1"/>
  <c r="E16" i="4"/>
  <c r="E51" i="4"/>
  <c r="E40" i="4"/>
  <c r="E44" i="4" s="1"/>
  <c r="E45" i="4" s="1"/>
  <c r="E86" i="4"/>
  <c r="E195" i="1" s="1"/>
  <c r="C102" i="4"/>
  <c r="C103" i="4"/>
  <c r="E46" i="4"/>
  <c r="E50" i="4" s="1"/>
  <c r="C104" i="4"/>
  <c r="E91" i="4" l="1"/>
  <c r="E95" i="4"/>
  <c r="E97" i="4" s="1"/>
  <c r="E17" i="1"/>
  <c r="E16" i="1"/>
  <c r="E15" i="1"/>
  <c r="E20" i="1" s="1"/>
  <c r="E14" i="1"/>
  <c r="E19" i="1" s="1"/>
  <c r="E80" i="4"/>
  <c r="E52" i="4"/>
  <c r="E75" i="4"/>
  <c r="E33" i="4"/>
  <c r="E34" i="4" s="1"/>
  <c r="E18" i="4"/>
  <c r="E96" i="4" s="1"/>
  <c r="E31" i="4"/>
  <c r="B21" i="2"/>
  <c r="E189" i="1"/>
  <c r="E36" i="4" l="1"/>
  <c r="E35" i="4"/>
  <c r="E82" i="1"/>
  <c r="E148" i="1"/>
  <c r="E21" i="1"/>
  <c r="E37" i="4"/>
  <c r="E193" i="1"/>
  <c r="E149" i="1"/>
  <c r="E22" i="1"/>
  <c r="E83" i="1"/>
  <c r="E65" i="1" l="1"/>
  <c r="E34" i="1"/>
  <c r="E151" i="1" s="1"/>
  <c r="E89" i="1"/>
  <c r="E161" i="1"/>
  <c r="E144" i="1"/>
  <c r="E97" i="1"/>
  <c r="E140" i="1"/>
  <c r="E121" i="1"/>
  <c r="E122" i="1" s="1"/>
  <c r="E132" i="1"/>
  <c r="B3" i="2"/>
  <c r="E131" i="1"/>
  <c r="E107" i="1"/>
  <c r="E84" i="1"/>
  <c r="E145" i="1"/>
  <c r="E86" i="1"/>
  <c r="E123" i="1"/>
  <c r="E124" i="1" s="1"/>
  <c r="E141" i="1"/>
  <c r="E162" i="1"/>
  <c r="E90" i="1"/>
  <c r="E91" i="1" s="1"/>
  <c r="B4" i="2"/>
  <c r="E108" i="1"/>
  <c r="E85" i="1"/>
  <c r="E98" i="1"/>
  <c r="E23" i="1"/>
  <c r="E35" i="1"/>
  <c r="E152" i="1" s="1"/>
  <c r="E64" i="1" l="1"/>
  <c r="E66" i="1"/>
  <c r="B13" i="2"/>
  <c r="E171" i="1"/>
  <c r="B14" i="2"/>
  <c r="E172" i="1"/>
</calcChain>
</file>

<file path=xl/sharedStrings.xml><?xml version="1.0" encoding="utf-8"?>
<sst xmlns="http://schemas.openxmlformats.org/spreadsheetml/2006/main" count="1818" uniqueCount="920">
  <si>
    <t>No</t>
  </si>
  <si>
    <t>Section</t>
  </si>
  <si>
    <t>Parameter</t>
  </si>
  <si>
    <t>Symbol</t>
  </si>
  <si>
    <t>Nilai</t>
  </si>
  <si>
    <t>Satuan</t>
  </si>
  <si>
    <t>Tipe</t>
  </si>
  <si>
    <t>Keterangan</t>
  </si>
  <si>
    <t>A. DATA KOLAM</t>
  </si>
  <si>
    <t>INPUT DATA KOLAM</t>
  </si>
  <si>
    <t>SECTION</t>
  </si>
  <si>
    <t>Ubah nilai INPUT sesuai kondisi kolam aktual.</t>
  </si>
  <si>
    <t>Panjang kolam</t>
  </si>
  <si>
    <t>L_kolam</t>
  </si>
  <si>
    <t>m</t>
  </si>
  <si>
    <t>INPUT</t>
  </si>
  <si>
    <t>Default artikel.</t>
  </si>
  <si>
    <t>Lebar kolam</t>
  </si>
  <si>
    <t>W_kolam</t>
  </si>
  <si>
    <t>Tinggi air kolam</t>
  </si>
  <si>
    <t>H_kolam</t>
  </si>
  <si>
    <t>Luas permukaan kolam</t>
  </si>
  <si>
    <t>A_kolam</t>
  </si>
  <si>
    <t>m2</t>
  </si>
  <si>
    <t>CALC</t>
  </si>
  <si>
    <t>A = L x W.</t>
  </si>
  <si>
    <t>Volume air kolam</t>
  </si>
  <si>
    <t>V_kolam_m3</t>
  </si>
  <si>
    <t>m3</t>
  </si>
  <si>
    <t>V = A x H.</t>
  </si>
  <si>
    <t>V_kolam_L</t>
  </si>
  <si>
    <t>L</t>
  </si>
  <si>
    <t>Konversi m3 ke liter.</t>
  </si>
  <si>
    <t>B. WASTE-BIOFLOC</t>
  </si>
  <si>
    <t>INPUT RASIO DAN DURASI WB</t>
  </si>
  <si>
    <t>Rasio ditulis sebagai desimal. 0.002 = 0.2%.</t>
  </si>
  <si>
    <t>Rasio WB minimum konservatif</t>
  </si>
  <si>
    <t>R_WB_min</t>
  </si>
  <si>
    <t>fraksi/hari</t>
  </si>
  <si>
    <t>Setara 0.2% volume kolam per hari.</t>
  </si>
  <si>
    <t>Rasio WB nominal awal</t>
  </si>
  <si>
    <t>R_WB_nom</t>
  </si>
  <si>
    <t>Setara 0.4% volume kolam per hari.</t>
  </si>
  <si>
    <t>Rasio WB desain normal</t>
  </si>
  <si>
    <t>R_WB_design</t>
  </si>
  <si>
    <t>Setara 1.0% volume kolam per hari.</t>
  </si>
  <si>
    <t>Rasio WB high-floc sementara</t>
  </si>
  <si>
    <t>R_WB_max</t>
  </si>
  <si>
    <t>Setara 2.0% volume kolam per hari.</t>
  </si>
  <si>
    <t>WB minimum konservatif</t>
  </si>
  <si>
    <t>V_WB_min</t>
  </si>
  <si>
    <t>L/hari</t>
  </si>
  <si>
    <t>Volume WB 0.2%.</t>
  </si>
  <si>
    <t>WB nominal awal</t>
  </si>
  <si>
    <t>V_WB_nom</t>
  </si>
  <si>
    <t>Volume WB 0.4%.</t>
  </si>
  <si>
    <t>WB desain normal</t>
  </si>
  <si>
    <t>V_WB_design</t>
  </si>
  <si>
    <t>Volume WB 1.0%.</t>
  </si>
  <si>
    <t>WB high-floc sementara</t>
  </si>
  <si>
    <t>V_WB_max</t>
  </si>
  <si>
    <t>Volume WB 2.0%.</t>
  </si>
  <si>
    <t>Durasi operasi batch</t>
  </si>
  <si>
    <t>t_batch</t>
  </si>
  <si>
    <t>menit/hari</t>
  </si>
  <si>
    <t>Debit WB minimum konservatif</t>
  </si>
  <si>
    <t>Q_WB_min</t>
  </si>
  <si>
    <t>L/menit</t>
  </si>
  <si>
    <t>Debit jika batch 60 menit/hari.</t>
  </si>
  <si>
    <t>Debit WB nominal awal</t>
  </si>
  <si>
    <t>Q_WB_nom</t>
  </si>
  <si>
    <t>Debit WB desain normal</t>
  </si>
  <si>
    <t>Q_WB_design</t>
  </si>
  <si>
    <t>Debit operasi normal.</t>
  </si>
  <si>
    <t>Debit WB high-floc sementara</t>
  </si>
  <si>
    <t>Q_WB_max</t>
  </si>
  <si>
    <t>Debit high-floc sementara.</t>
  </si>
  <si>
    <t>Debit WB high-floc</t>
  </si>
  <si>
    <t>Q_WB_max_m3s</t>
  </si>
  <si>
    <t>m3/s</t>
  </si>
  <si>
    <t>Untuk cek kecepatan slot baffle.</t>
  </si>
  <si>
    <t>C. DIMENSI BASIN</t>
  </si>
  <si>
    <t>INPUT DIMENSI SEDIMENTATION BASIN</t>
  </si>
  <si>
    <t>Nilai default mengikuti artikel.</t>
  </si>
  <si>
    <t>Panjang internal basin</t>
  </si>
  <si>
    <t>L_basin</t>
  </si>
  <si>
    <t>175 cm.</t>
  </si>
  <si>
    <t>Lebar internal basin</t>
  </si>
  <si>
    <t>W_basin</t>
  </si>
  <si>
    <t>60 cm.</t>
  </si>
  <si>
    <t>Tinggi air operasi basin</t>
  </si>
  <si>
    <t>H_air</t>
  </si>
  <si>
    <t>65 cm.</t>
  </si>
  <si>
    <t>Freeboard</t>
  </si>
  <si>
    <t>H_freeboard</t>
  </si>
  <si>
    <t>20 cm.</t>
  </si>
  <si>
    <t>Tinggi total dinding</t>
  </si>
  <si>
    <t>H_total</t>
  </si>
  <si>
    <t>H_total = H_air + freeboard.</t>
  </si>
  <si>
    <t>Volume efektif basin</t>
  </si>
  <si>
    <t>V_basin_m3</t>
  </si>
  <si>
    <t>V = L x W x H_air.</t>
  </si>
  <si>
    <t>V_basin_L</t>
  </si>
  <si>
    <t>Rasio panjang terhadap lebar</t>
  </si>
  <si>
    <t>L_W_ratio</t>
  </si>
  <si>
    <t>-</t>
  </si>
  <si>
    <t>Target praktis sekitar 3:1.</t>
  </si>
  <si>
    <t>D. HRT BASIN</t>
  </si>
  <si>
    <t>CEK HYDRAULIC RETENTION TIME SEDIMENTATION BASIN</t>
  </si>
  <si>
    <t>HRT = V_basin / Q_WB.</t>
  </si>
  <si>
    <t>HRT operasi normal</t>
  </si>
  <si>
    <t>HRT_basin_normal</t>
  </si>
  <si>
    <t>menit</t>
  </si>
  <si>
    <t>Menggunakan Q_WB_design.</t>
  </si>
  <si>
    <t>HRT high-floc sementara</t>
  </si>
  <si>
    <t>HRT_basin_high</t>
  </si>
  <si>
    <t>Menggunakan Q_WB_max.</t>
  </si>
  <si>
    <t>HRT pada debit 5 L/menit</t>
  </si>
  <si>
    <t>HRT_5_Lpm</t>
  </si>
  <si>
    <t>Batas bawah operasi lapangan.</t>
  </si>
  <si>
    <t>HRT pada debit 10 L/menit</t>
  </si>
  <si>
    <t>HRT_10_Lpm</t>
  </si>
  <si>
    <t>Debit operasi normal menengah.</t>
  </si>
  <si>
    <t>HRT pada debit 15 L/menit</t>
  </si>
  <si>
    <t>HRT_15_Lpm</t>
  </si>
  <si>
    <t>Batas atas operasi lapangan.</t>
  </si>
  <si>
    <t>E. ZONA DAN PIPA</t>
  </si>
  <si>
    <t>INPUT ZONA, INLET, OUTLET, DAN DRAIN</t>
  </si>
  <si>
    <t>Semua panjang zona dalam cm.</t>
  </si>
  <si>
    <t>Ukuran PVC Inlet WB</t>
  </si>
  <si>
    <t>PVC_Inlet_WB</t>
  </si>
  <si>
    <t>inch</t>
  </si>
  <si>
    <t>Ukuran PVC Outlet LB</t>
  </si>
  <si>
    <t>PVC_Outlet_LB</t>
  </si>
  <si>
    <t>Ukuran PVC Drain SB</t>
  </si>
  <si>
    <t>PVC_Drain_SB</t>
  </si>
  <si>
    <t>Panjang inlet chamber</t>
  </si>
  <si>
    <t>L_inlet_chamber</t>
  </si>
  <si>
    <t>cm</t>
  </si>
  <si>
    <t>Zona 0-20 cm.</t>
  </si>
  <si>
    <t>Panjang zona distribusi tenang</t>
  </si>
  <si>
    <t>L_distribution</t>
  </si>
  <si>
    <t>Zona 20-45 cm.</t>
  </si>
  <si>
    <t>Panjang zona pengendapan utama</t>
  </si>
  <si>
    <t>L_settling</t>
  </si>
  <si>
    <t>Zona 45-150 cm.</t>
  </si>
  <si>
    <t>Jarak scum baffle ke weir</t>
  </si>
  <si>
    <t>L_baffle_weir</t>
  </si>
  <si>
    <t>Zona 150-165 cm.</t>
  </si>
  <si>
    <t>Panjang outlet zone / launder</t>
  </si>
  <si>
    <t>L_outlet_zone</t>
  </si>
  <si>
    <t>Zona 165-175 cm.</t>
  </si>
  <si>
    <t>Total panjang zona</t>
  </si>
  <si>
    <t>L_zone_total</t>
  </si>
  <si>
    <t>Harus sama dengan 175 cm.</t>
  </si>
  <si>
    <t>Posisi slotted diffuser baffle dari inlet</t>
  </si>
  <si>
    <t>X_baffle_inlet</t>
  </si>
  <si>
    <t>Pada 20 cm dari inlet.</t>
  </si>
  <si>
    <t>Akhir zona distribusi</t>
  </si>
  <si>
    <t>X_distribution_end</t>
  </si>
  <si>
    <t>Pada 45 cm dari inlet.</t>
  </si>
  <si>
    <t>Posisi outlet scum baffle dari inlet</t>
  </si>
  <si>
    <t>X_scum_baffle</t>
  </si>
  <si>
    <t>Pada 150 cm dari inlet.</t>
  </si>
  <si>
    <t>Posisi weir dari inlet</t>
  </si>
  <si>
    <t>X_weir</t>
  </si>
  <si>
    <t>Pada 165 cm dari inlet.</t>
  </si>
  <si>
    <t>Posisi akhir outlet zone</t>
  </si>
  <si>
    <t>X_outlet_end</t>
  </si>
  <si>
    <t>Harus sama dengan panjang basin 175 cm.</t>
  </si>
  <si>
    <t>F. BAFFLE INLET REVISI</t>
  </si>
  <si>
    <t>MODEL SLOT BAFFLE INLET REVISI</t>
  </si>
  <si>
    <t>Slot direvisi agar match dengan inlet PVC 1 inch dan fungsi diffuser.</t>
  </si>
  <si>
    <t>Diameter dalam pendekatan PVC inlet 1 inch</t>
  </si>
  <si>
    <t>D_inlet_ID</t>
  </si>
  <si>
    <t>Pendekatan desain ID PVC 1 inch sekitar 26 mm.</t>
  </si>
  <si>
    <t>Luas penampang inlet 1 inch</t>
  </si>
  <si>
    <t>A_pipe_inlet</t>
  </si>
  <si>
    <t>A_pipe = pi x D^2 / 4.</t>
  </si>
  <si>
    <t>Jumlah slot inlet baffle</t>
  </si>
  <si>
    <t>n_slot</t>
  </si>
  <si>
    <t>slot</t>
  </si>
  <si>
    <t>Default revisi artikel.</t>
  </si>
  <si>
    <t>Lebar slot</t>
  </si>
  <si>
    <t>w_slot</t>
  </si>
  <si>
    <t>10 mm.</t>
  </si>
  <si>
    <t>Tinggi slot</t>
  </si>
  <si>
    <t>h_slot</t>
  </si>
  <si>
    <t>30 mm.</t>
  </si>
  <si>
    <t>Luas satu slot</t>
  </si>
  <si>
    <t>A_slot</t>
  </si>
  <si>
    <t>A_slot = w x h.</t>
  </si>
  <si>
    <t>Luas bukaan total slot</t>
  </si>
  <si>
    <t>A_open_total</t>
  </si>
  <si>
    <t>Target revisi sekitar 0.0030 m2.</t>
  </si>
  <si>
    <t>Rasio bukaan slot terhadap inlet</t>
  </si>
  <si>
    <t>R_slot_pipe</t>
  </si>
  <si>
    <t>Target sekitar 5-6 kali luas inlet.</t>
  </si>
  <si>
    <t>Target kecepatan slot</t>
  </si>
  <si>
    <t>v_slot_target</t>
  </si>
  <si>
    <t>m/s</t>
  </si>
  <si>
    <t>Target desain untuk high-floc.</t>
  </si>
  <si>
    <t>Luas slot teoritis dari target v</t>
  </si>
  <si>
    <t>A_slot_theory</t>
  </si>
  <si>
    <t>A = Qmax / v_target.</t>
  </si>
  <si>
    <t>Kecepatan slot pada debit normal</t>
  </si>
  <si>
    <t>v_slot_normal</t>
  </si>
  <si>
    <t>Kecepatan slot pada high-floc</t>
  </si>
  <si>
    <t>v_slot_high</t>
  </si>
  <si>
    <t>Susunan slot</t>
  </si>
  <si>
    <t>Slot_layout</t>
  </si>
  <si>
    <t>5 kolom x 2 baris</t>
  </si>
  <si>
    <t>Distribusi slot melebar pada plate 60 cm.</t>
  </si>
  <si>
    <t>Tinggi inlet baffle dari dasar</t>
  </si>
  <si>
    <t>H_baffle_inlet</t>
  </si>
  <si>
    <t>Top baffle 10 cm di atas water level.</t>
  </si>
  <si>
    <t>Tinggi top baffle di atas water level</t>
  </si>
  <si>
    <t>H_top_above_WL</t>
  </si>
  <si>
    <t>Harus sekitar 10 cm.</t>
  </si>
  <si>
    <t>G. BAFFLE OUTLET</t>
  </si>
  <si>
    <t>MODEL OUTLET SCUM BAFFLE</t>
  </si>
  <si>
    <t>Scum baffle menahan scum/flok terapung.</t>
  </si>
  <si>
    <t>Tinggi air operasi</t>
  </si>
  <si>
    <t>H_air_cm</t>
  </si>
  <si>
    <t>Konversi meter ke cm.</t>
  </si>
  <si>
    <t>Kedalaman scum baffle dari water level</t>
  </si>
  <si>
    <t>H_scum_submerged</t>
  </si>
  <si>
    <t>Clearance bawah scum baffle ke dasar</t>
  </si>
  <si>
    <t>Clearance_scum_baffle</t>
  </si>
  <si>
    <t>Clearance = 65 - 30 = 35 cm.</t>
  </si>
  <si>
    <t>Gap_scum_baffle_weir</t>
  </si>
  <si>
    <t>Default 15 cm.</t>
  </si>
  <si>
    <t>H. SLOPE DASAR</t>
  </si>
  <si>
    <t>MODEL KEMIRINGAN DASAR BASIN</t>
  </si>
  <si>
    <t>Slope mengarahkan SB menuju drain.</t>
  </si>
  <si>
    <t>Slope dasar minimum</t>
  </si>
  <si>
    <t>Slope_low</t>
  </si>
  <si>
    <t>fraksi</t>
  </si>
  <si>
    <t>Setara 2%.</t>
  </si>
  <si>
    <t>Slope dasar maksimum</t>
  </si>
  <si>
    <t>Slope_high</t>
  </si>
  <si>
    <t>Setara 3%.</t>
  </si>
  <si>
    <t>Beda tinggi dasar pada slope 2%</t>
  </si>
  <si>
    <t>Delta_h_low</t>
  </si>
  <si>
    <t>Jika slope sepanjang 175 cm.</t>
  </si>
  <si>
    <t>Beda tinggi dasar pada slope 3%</t>
  </si>
  <si>
    <t>Delta_h_high</t>
  </si>
  <si>
    <t>I. MINERALISASI LB - BASIS</t>
  </si>
  <si>
    <t>BASIS DESAIN MINERALISASI LB MENJADI POC-B</t>
  </si>
  <si>
    <t>LB diasumsikan mendekati volume WB setelah pemisahan SB.</t>
  </si>
  <si>
    <t>Rasio LB terhadap WB</t>
  </si>
  <si>
    <t>R_LB_to_WB</t>
  </si>
  <si>
    <t>Default konservatif: LB = WB.</t>
  </si>
  <si>
    <t>Debit LB desain normal</t>
  </si>
  <si>
    <t>Q_LB_design</t>
  </si>
  <si>
    <t>Feed normal ke mineralisasi.</t>
  </si>
  <si>
    <t>Debit LB high-floc sementara</t>
  </si>
  <si>
    <t>Q_LB_max</t>
  </si>
  <si>
    <t>Feed maksimum sementara.</t>
  </si>
  <si>
    <t>Q_LB_design_m3d</t>
  </si>
  <si>
    <t>m3/hari</t>
  </si>
  <si>
    <t>Konversi L/hari ke m3/hari.</t>
  </si>
  <si>
    <t>Q_LB_max_m3d</t>
  </si>
  <si>
    <t>Rasio high-floc terhadap normal</t>
  </si>
  <si>
    <t>R_LB_high_normal</t>
  </si>
  <si>
    <t>Target sekitar 2 kali normal.</t>
  </si>
  <si>
    <t>J. BUFFER TANK</t>
  </si>
  <si>
    <t>DESAIN BUFFER LB</t>
  </si>
  <si>
    <t>Buffer menstabilkan debit dan kualitas LB sebelum CSTR.</t>
  </si>
  <si>
    <t>Volume buffer</t>
  </si>
  <si>
    <t>V_buffer</t>
  </si>
  <si>
    <t>Rekomendasi artikel.</t>
  </si>
  <si>
    <t>HRT buffer normal</t>
  </si>
  <si>
    <t>HRT_buffer_normal</t>
  </si>
  <si>
    <t>hari</t>
  </si>
  <si>
    <t>Pada feed normal.</t>
  </si>
  <si>
    <t>HRT buffer high-floc</t>
  </si>
  <si>
    <t>HRT_buffer_high</t>
  </si>
  <si>
    <t>Pada feed high-floc.</t>
  </si>
  <si>
    <t>HRT_buffer_high_h</t>
  </si>
  <si>
    <t>jam</t>
  </si>
  <si>
    <t>Konversi hari ke jam.</t>
  </si>
  <si>
    <t>Aerasi buffer</t>
  </si>
  <si>
    <t>Buffer_aeration</t>
  </si>
  <si>
    <t>ringan</t>
  </si>
  <si>
    <t>Mencegah anaerob, tidak mengaduk sludge berlebihan.</t>
  </si>
  <si>
    <t>Mixing buffer</t>
  </si>
  <si>
    <t>Buffer_mixing</t>
  </si>
  <si>
    <t>lambat / ringan</t>
  </si>
  <si>
    <t>Cukup mencegah stagnasi.</t>
  </si>
  <si>
    <t>Drain bawah buffer</t>
  </si>
  <si>
    <t>Buffer_drain</t>
  </si>
  <si>
    <t>ya</t>
  </si>
  <si>
    <t>Disarankan untuk buang endapan.</t>
  </si>
  <si>
    <t>K. CSTR AEROB</t>
  </si>
  <si>
    <t>DESAIN CSTR AEROB</t>
  </si>
  <si>
    <t>CSTR adalah reaktor mineralisasi aerob utama.</t>
  </si>
  <si>
    <t>Volume CSTR</t>
  </si>
  <si>
    <t>V_CSTR</t>
  </si>
  <si>
    <t>HRT CSTR normal</t>
  </si>
  <si>
    <t>HRT_CSTR_normal</t>
  </si>
  <si>
    <t>HRT CSTR high-floc</t>
  </si>
  <si>
    <t>HRT_CSTR_high</t>
  </si>
  <si>
    <t>DO CSTR minimum</t>
  </si>
  <si>
    <t>DO_CSTR_min</t>
  </si>
  <si>
    <t>mg/L</t>
  </si>
  <si>
    <t>Target operasi.</t>
  </si>
  <si>
    <t>DO CSTR maksimum</t>
  </si>
  <si>
    <t>DO_CSTR_max</t>
  </si>
  <si>
    <t>pH CSTR minimum</t>
  </si>
  <si>
    <t>pH_CSTR_min</t>
  </si>
  <si>
    <t>pH CSTR maksimum</t>
  </si>
  <si>
    <t>pH_CSTR_max</t>
  </si>
  <si>
    <t>Tipe mixing CSTR</t>
  </si>
  <si>
    <t>CSTR_mixing</t>
  </si>
  <si>
    <t>mixed tank</t>
  </si>
  <si>
    <t>Mixing merata, tidak dead zone.</t>
  </si>
  <si>
    <t>Drain sludge CSTR</t>
  </si>
  <si>
    <t>CSTR_drain</t>
  </si>
  <si>
    <t>Disarankan.</t>
  </si>
  <si>
    <t>L. MBBR AEROB</t>
  </si>
  <si>
    <t>DESAIN MBBR AEROB</t>
  </si>
  <si>
    <t>MBBR berfungsi sebagai biofilm polishing.</t>
  </si>
  <si>
    <t>Volume MBBR</t>
  </si>
  <si>
    <t>V_MBBR</t>
  </si>
  <si>
    <t>HRT MBBR normal</t>
  </si>
  <si>
    <t>HRT_MBBR_normal</t>
  </si>
  <si>
    <t>HRT MBBR high-floc</t>
  </si>
  <si>
    <t>HRT_MBBR_high</t>
  </si>
  <si>
    <t>Media fill awal</t>
  </si>
  <si>
    <t>F_media_start</t>
  </si>
  <si>
    <t>Start-up 30%.</t>
  </si>
  <si>
    <t>Media fill maksimum</t>
  </si>
  <si>
    <t>F_media_max</t>
  </si>
  <si>
    <t>Naik bertahap jika stabil.</t>
  </si>
  <si>
    <t>Volume media awal</t>
  </si>
  <si>
    <t>V_media_start</t>
  </si>
  <si>
    <t>Target sekitar 225 L.</t>
  </si>
  <si>
    <t>Volume media maksimum</t>
  </si>
  <si>
    <t>V_media_max</t>
  </si>
  <si>
    <t>Target sekitar 375 L.</t>
  </si>
  <si>
    <t>DO MBBR minimum</t>
  </si>
  <si>
    <t>DO_MBBR_min</t>
  </si>
  <si>
    <t>DO MBBR maksimum</t>
  </si>
  <si>
    <t>DO_MBBR_max</t>
  </si>
  <si>
    <t>pH MBBR minimum</t>
  </si>
  <si>
    <t>pH_MBBR_min</t>
  </si>
  <si>
    <t>pH MBBR maksimum</t>
  </si>
  <si>
    <t>pH_MBBR_max</t>
  </si>
  <si>
    <t>Screen outlet MBBR</t>
  </si>
  <si>
    <t>MBBR_screen</t>
  </si>
  <si>
    <t>wajib</t>
  </si>
  <si>
    <t>Penahan media agar tidak keluar.</t>
  </si>
  <si>
    <t>Drain bawah MBBR</t>
  </si>
  <si>
    <t>MBBR_drain</t>
  </si>
  <si>
    <t>M. SETTLING / POLISHING</t>
  </si>
  <si>
    <t>DESAIN SETTLING DAN SCREENING AKHIR</t>
  </si>
  <si>
    <t>Memisahkan biofilm lepas dan padatan halus dari outlet MBBR.</t>
  </si>
  <si>
    <t>Volume polishing</t>
  </si>
  <si>
    <t>V_polishing</t>
  </si>
  <si>
    <t>HRT polishing normal</t>
  </si>
  <si>
    <t>HRT_polishing_normal</t>
  </si>
  <si>
    <t>HRT_polishing_normal_h</t>
  </si>
  <si>
    <t>Konversi ke jam.</t>
  </si>
  <si>
    <t>HRT polishing high-floc</t>
  </si>
  <si>
    <t>HRT_polishing_high</t>
  </si>
  <si>
    <t>HRT_polishing_high_h</t>
  </si>
  <si>
    <t>Screening</t>
  </si>
  <si>
    <t>Polishing_screen</t>
  </si>
  <si>
    <t>kasar-halus</t>
  </si>
  <si>
    <t>Screen mudah dilepas dan dicuci.</t>
  </si>
  <si>
    <t>Drain bawah polishing</t>
  </si>
  <si>
    <t>Polishing_drain</t>
  </si>
  <si>
    <t>Outlet polishing</t>
  </si>
  <si>
    <t>Polishing_outlet</t>
  </si>
  <si>
    <t>ke storage POC-B</t>
  </si>
  <si>
    <t>Setelah pemisahan akhir.</t>
  </si>
  <si>
    <t>N. STORAGE POC-B</t>
  </si>
  <si>
    <t>DESAIN STORAGE POC-B</t>
  </si>
  <si>
    <t>Storage adalah penyangga produk, bukan tempat pembusukan.</t>
  </si>
  <si>
    <t>Storage POC-B minimum</t>
  </si>
  <si>
    <t>V_storage_min</t>
  </si>
  <si>
    <t>Rekomendasi minimum.</t>
  </si>
  <si>
    <t>Storage POC-B maksimum</t>
  </si>
  <si>
    <t>V_storage_max</t>
  </si>
  <si>
    <t>Rekomendasi maksimum.</t>
  </si>
  <si>
    <t>Kapasitas storage minimum pada normal</t>
  </si>
  <si>
    <t>t_storage_min_normal</t>
  </si>
  <si>
    <t>Hari tampung pada 410 L/hari.</t>
  </si>
  <si>
    <t>Kapasitas storage maksimum pada normal</t>
  </si>
  <si>
    <t>t_storage_max_normal</t>
  </si>
  <si>
    <t>Aerasi storage</t>
  </si>
  <si>
    <t>Storage_aeration</t>
  </si>
  <si>
    <t>ringan / periodik</t>
  </si>
  <si>
    <t>Menjaga agar storage tidak anaerob.</t>
  </si>
  <si>
    <t>Tutup storage</t>
  </si>
  <si>
    <t>Storage_cover</t>
  </si>
  <si>
    <t>disarankan</t>
  </si>
  <si>
    <t>Mengurangi kontaminasi dan serangga.</t>
  </si>
  <si>
    <t>Drain bawah storage</t>
  </si>
  <si>
    <t>Storage_drain</t>
  </si>
  <si>
    <t>Uji pengenceran</t>
  </si>
  <si>
    <t>Dilution_test</t>
  </si>
  <si>
    <t>wajib sebelum aplikasi luas</t>
  </si>
  <si>
    <t>Validasi ke tanaman.</t>
  </si>
  <si>
    <t>O. TOTAL SISTEM MINERALISASI</t>
  </si>
  <si>
    <t>OUTPUT TOTAL VOLUME DAN HRT</t>
  </si>
  <si>
    <t>Total sistem aktif: buffer + CSTR + MBBR + polishing.</t>
  </si>
  <si>
    <t>Total volume aktif mineralisasi</t>
  </si>
  <si>
    <t>V_active_mineralization</t>
  </si>
  <si>
    <t>Tidak termasuk storage.</t>
  </si>
  <si>
    <t>V_active_mineralization_m3</t>
  </si>
  <si>
    <t>Konversi L ke m3.</t>
  </si>
  <si>
    <t>HRT total normal</t>
  </si>
  <si>
    <t>HRT_total_normal</t>
  </si>
  <si>
    <t>Target sekitar 6.1 hari.</t>
  </si>
  <si>
    <t>HRT total high-floc</t>
  </si>
  <si>
    <t>HRT_total_high</t>
  </si>
  <si>
    <t>Target sekitar 3.05 hari.</t>
  </si>
  <si>
    <t>Durasi start-up minimum</t>
  </si>
  <si>
    <t>Startup_min</t>
  </si>
  <si>
    <t>Start-up awal.</t>
  </si>
  <si>
    <t>Durasi start-up maksimum</t>
  </si>
  <si>
    <t>Startup_max</t>
  </si>
  <si>
    <t>Feed start-up minimum</t>
  </si>
  <si>
    <t>Q_startup_min</t>
  </si>
  <si>
    <t>25% dari feed normal.</t>
  </si>
  <si>
    <t>Feed start-up maksimum</t>
  </si>
  <si>
    <t>Q_startup_max</t>
  </si>
  <si>
    <t>50% dari feed normal.</t>
  </si>
  <si>
    <t>P. RINGKASAN OUTPUT SEDIMENTASI</t>
  </si>
  <si>
    <t>OUTPUT DESAIN SEDIMENTATION BASIN</t>
  </si>
  <si>
    <t>Output utama untuk artikel dan fabrikasi basin.</t>
  </si>
  <si>
    <t>Volume kolam</t>
  </si>
  <si>
    <t>OUT_V_kolam</t>
  </si>
  <si>
    <t>OUTPUT</t>
  </si>
  <si>
    <t>Target sekitar 40.95 m3.</t>
  </si>
  <si>
    <t>OUT_V_WB_design</t>
  </si>
  <si>
    <t>Target sekitar 410 L/hari.</t>
  </si>
  <si>
    <t>WB maksimum sementara</t>
  </si>
  <si>
    <t>OUT_V_WB_max</t>
  </si>
  <si>
    <t>Target sekitar 819 L/hari.</t>
  </si>
  <si>
    <t>OUT_V_basin</t>
  </si>
  <si>
    <t>Target sekitar 680 L.</t>
  </si>
  <si>
    <t>HRT basin normal</t>
  </si>
  <si>
    <t>OUT_HRT_basin_normal</t>
  </si>
  <si>
    <t>Target sekitar 100 menit.</t>
  </si>
  <si>
    <t>HRT basin high-floc</t>
  </si>
  <si>
    <t>OUT_HRT_basin_high</t>
  </si>
  <si>
    <t>Target sekitar 50 menit.</t>
  </si>
  <si>
    <t>Rekomendasi debit operasi</t>
  </si>
  <si>
    <t>OUT_Q_operasi</t>
  </si>
  <si>
    <t>5-15</t>
  </si>
  <si>
    <t>Rentang operasi praktis.</t>
  </si>
  <si>
    <t>Inlet WB</t>
  </si>
  <si>
    <t>OUT_inlet</t>
  </si>
  <si>
    <t>PVC inlet.</t>
  </si>
  <si>
    <t>Outlet LB</t>
  </si>
  <si>
    <t>OUT_outlet</t>
  </si>
  <si>
    <t>PVC outlet.</t>
  </si>
  <si>
    <t>Drain SB</t>
  </si>
  <si>
    <t>OUT_drain</t>
  </si>
  <si>
    <t>PVC drain.</t>
  </si>
  <si>
    <t>Ukuran slot inlet baffle revisi</t>
  </si>
  <si>
    <t>OUT_slot_revisi</t>
  </si>
  <si>
    <t>10 mm x 30 mm</t>
  </si>
  <si>
    <t>10 slot; 5 kolom x 2 baris.</t>
  </si>
  <si>
    <t>Luas bukaan total slot revisi</t>
  </si>
  <si>
    <t>OUT_A_open_total</t>
  </si>
  <si>
    <t>Target sekitar 0.0030 m2.</t>
  </si>
  <si>
    <t>Rasio bukaan terhadap inlet</t>
  </si>
  <si>
    <t>OUT_R_slot_pipe</t>
  </si>
  <si>
    <t>Target sekitar 5.6.</t>
  </si>
  <si>
    <t>Q. RINGKASAN OUTPUT MINERALISASI</t>
  </si>
  <si>
    <t>OUTPUT DESAIN MINERALISASI LB MENJADI POC-B</t>
  </si>
  <si>
    <t>Output utama desain Buffer-CSTR-MBBR-Polishing-Storage.</t>
  </si>
  <si>
    <t>Feed LB normal</t>
  </si>
  <si>
    <t>OUT_Q_LB_design</t>
  </si>
  <si>
    <t>Feed LB high-floc</t>
  </si>
  <si>
    <t>OUT_Q_LB_max</t>
  </si>
  <si>
    <t>Buffer</t>
  </si>
  <si>
    <t>OUT_Buffer</t>
  </si>
  <si>
    <t>Equalization LB.</t>
  </si>
  <si>
    <t>CSTR</t>
  </si>
  <si>
    <t>OUT_CSTR</t>
  </si>
  <si>
    <t>Mineralisasi aerob utama.</t>
  </si>
  <si>
    <t>MBBR</t>
  </si>
  <si>
    <t>OUT_MBBR</t>
  </si>
  <si>
    <t>Biofilm polishing.</t>
  </si>
  <si>
    <t>Media MBBR awal</t>
  </si>
  <si>
    <t>OUT_Media_start</t>
  </si>
  <si>
    <t>Media MBBR maksimum</t>
  </si>
  <si>
    <t>OUT_Media_max</t>
  </si>
  <si>
    <t>Polishing</t>
  </si>
  <si>
    <t>OUT_Polishing</t>
  </si>
  <si>
    <t>Settling/screening akhir.</t>
  </si>
  <si>
    <t>Storage POC-B</t>
  </si>
  <si>
    <t>OUT_Storage</t>
  </si>
  <si>
    <t>500-1000</t>
  </si>
  <si>
    <t>Pematangan dan penyangga produk.</t>
  </si>
  <si>
    <t>Total volume aktif</t>
  </si>
  <si>
    <t>OUT_V_active</t>
  </si>
  <si>
    <t>Target 2500 L.</t>
  </si>
  <si>
    <t>OUT_HRT_total_normal</t>
  </si>
  <si>
    <t>Target sekitar 6.10 hari.</t>
  </si>
  <si>
    <t>OUT_HRT_total_high</t>
  </si>
  <si>
    <t>DO CSTR</t>
  </si>
  <si>
    <t>OUT_DO_CSTR</t>
  </si>
  <si>
    <t>DO MBBR</t>
  </si>
  <si>
    <t>OUT_DO_MBBR</t>
  </si>
  <si>
    <t>pH operasi</t>
  </si>
  <si>
    <t>OUT_pH_system</t>
  </si>
  <si>
    <t>6.5-8.2</t>
  </si>
  <si>
    <t>Rentang operasi sistem.</t>
  </si>
  <si>
    <t>Start-up awal</t>
  </si>
  <si>
    <t>OUT_startup</t>
  </si>
  <si>
    <t>7-14</t>
  </si>
  <si>
    <t>Naikkan feed bertahap.</t>
  </si>
  <si>
    <t>Feed start-up awal</t>
  </si>
  <si>
    <t>OUT_Q_startup</t>
  </si>
  <si>
    <t>100-200</t>
  </si>
  <si>
    <t>Sekitar 25-50% feed normal.</t>
  </si>
  <si>
    <t>R. REFERENSI DAN CATATAN</t>
  </si>
  <si>
    <t>CATATAN PENGGUNAAN MODEL</t>
  </si>
  <si>
    <t>Model ini adalah desain awal dan harus divalidasi dengan kondisi lapangan.</t>
  </si>
  <si>
    <t>Kontrol operasi bioflok</t>
  </si>
  <si>
    <t>SV_Imhoff_Cone</t>
  </si>
  <si>
    <t>25-35</t>
  </si>
  <si>
    <t>mL/L</t>
  </si>
  <si>
    <t>REFERENCE</t>
  </si>
  <si>
    <t>Target praktis operasi normal; naikkan WB bertahap saat SV meningkat.</t>
  </si>
  <si>
    <t>Batas tindakan</t>
  </si>
  <si>
    <t>SV_action</t>
  </si>
  <si>
    <t>&gt;40</t>
  </si>
  <si>
    <t>Mulai tingkatkan WB dan cek aerasi/feeding.</t>
  </si>
  <si>
    <t>Batas tinggi</t>
  </si>
  <si>
    <t>SV_high</t>
  </si>
  <si>
    <t>&gt;50</t>
  </si>
  <si>
    <t>Gunakan high-floc sementara, jangan dibiarkan lama.</t>
  </si>
  <si>
    <t>Sumber rujukan 1</t>
  </si>
  <si>
    <t>SRAC_4503</t>
  </si>
  <si>
    <t>https://aquaculture.mgcafe.uky.edu/sites/aquaculture.ca.uky.edu/files/srac_4503_biofloc_production_systems_for_aquaculture.pdf</t>
  </si>
  <si>
    <t>URL</t>
  </si>
  <si>
    <t>Biofloc production systems; kontrol settleable solids/Imhoff cone.</t>
  </si>
  <si>
    <t>Sumber rujukan 2</t>
  </si>
  <si>
    <t>NAJA_settling_chamber</t>
  </si>
  <si>
    <t>https://academic.oup.com/naja/article/84/2/165/7816461</t>
  </si>
  <si>
    <t>Studi settling chamber dan HRT pada biofloc.</t>
  </si>
  <si>
    <t>Sumber rujukan 3</t>
  </si>
  <si>
    <t>MBBR_review</t>
  </si>
  <si>
    <t>https://link.springer.com/article/10.1007/s13201-022-01662-y</t>
  </si>
  <si>
    <t>Review MBBR; carrier/biofilm untuk organik dan nutrien.</t>
  </si>
  <si>
    <t>Catatan validasi</t>
  </si>
  <si>
    <t>Validation_note</t>
  </si>
  <si>
    <t>Perlu uji pH, DO, bau, endapan, dan uji pengenceran tanaman</t>
  </si>
  <si>
    <t>NOTE</t>
  </si>
  <si>
    <t>Validasi lapangan wajib sebelum aplikasi luas.</t>
  </si>
  <si>
    <t>Ringkasan Desain Mineralisasi LB → POC-B</t>
  </si>
  <si>
    <t>Item</t>
  </si>
  <si>
    <t>DO CSTR min</t>
  </si>
  <si>
    <t>DO CSTR max</t>
  </si>
  <si>
    <t>DO MBBR min</t>
  </si>
  <si>
    <t>DO MBBR max</t>
  </si>
  <si>
    <t>Catatan Penggunaan Model</t>
  </si>
  <si>
    <t>1. Ubah hanya baris dengan Tipe = INPUT pada sheet Model_Desain.</t>
  </si>
  <si>
    <t>2. Bagian F sudah memakai revisi slot baffle: 10 slot @ 10 mm x 30 mm, A_open_total sekitar 0.0030 m2.</t>
  </si>
  <si>
    <t>3. Bagian I sampai Q menambahkan desain mineralisasi LB menjadi POC-B: Buffer, CSTR, MBBR, Settling/Polishing, Storage.</t>
  </si>
  <si>
    <t>4. Rumus HRT menggunakan satuan liter dan liter/hari sehingga hasil dalam hari; untuk sedimentation basin, HRT menggunakan liter dan liter/menit sehingga hasil dalam menit.</t>
  </si>
  <si>
    <t>5. Model adalah desain awal dan harus divalidasi dengan pH, DO, bau, endapan, dan uji pengenceran tanaman.</t>
  </si>
  <si>
    <t>S. AERASI DAN DIFFUSER MBBR</t>
  </si>
  <si>
    <t>RINGKASAN OUTPUT AERASI DAN DIFFUSER</t>
  </si>
  <si>
    <t>Rincian perhitungan ada di sheet MBBR_Diffuser.</t>
  </si>
  <si>
    <t>Airflow reference carrier mixing</t>
  </si>
  <si>
    <t>OUT_Qair_mix_ref</t>
  </si>
  <si>
    <t>NL/min</t>
  </si>
  <si>
    <t>Titik awal wet test; bukan airflow final.</t>
  </si>
  <si>
    <t>Airflow kritis provisional</t>
  </si>
  <si>
    <t>OUT_Qair_critical</t>
  </si>
  <si>
    <t>max(mixing, OTR) setelah input OTR.</t>
  </si>
  <si>
    <t>Diameter lubang diffuser</t>
  </si>
  <si>
    <t>OUT_d_hole</t>
  </si>
  <si>
    <t>mm</t>
  </si>
  <si>
    <t>Basis mekanik diffuser PVC.</t>
  </si>
  <si>
    <t>Target pressure drop orifice</t>
  </si>
  <si>
    <t>OUT_dP_orifice</t>
  </si>
  <si>
    <t>kPa</t>
  </si>
  <si>
    <t>Target awal pemerataan udara.</t>
  </si>
  <si>
    <t>Debit teoritis per lubang</t>
  </si>
  <si>
    <t>OUT_q_hole</t>
  </si>
  <si>
    <t>L/min</t>
  </si>
  <si>
    <t>Hitung awal; kalibrasi wet test wajib.</t>
  </si>
  <si>
    <t>Jumlah lubang minimum @ Q kritis</t>
  </si>
  <si>
    <t>OUT_N_hole_required</t>
  </si>
  <si>
    <t>lubang</t>
  </si>
  <si>
    <t>Dibulatkan ke atas.</t>
  </si>
  <si>
    <t>Reference grid wet test</t>
  </si>
  <si>
    <t>OUT_grid_ref</t>
  </si>
  <si>
    <t>3 lateral × 10 lubang</t>
  </si>
  <si>
    <t>Dipakai pada Q mixing reference; bukan final.</t>
  </si>
  <si>
    <t>Maksimum pressure loss header + lateral</t>
  </si>
  <si>
    <t>OUT_dP_line_max</t>
  </si>
  <si>
    <t>Pa</t>
  </si>
  <si>
    <t>Target maksimum 10% ΔP orifice.</t>
  </si>
  <si>
    <t>Status design diffuser</t>
  </si>
  <si>
    <t>OUT_diffuser_status</t>
  </si>
  <si>
    <t>Final setelah dimensi tangki dan wet test.</t>
  </si>
  <si>
    <t>Diffuser MBBR — airflow mixing reference</t>
  </si>
  <si>
    <t>Diffuser MBBR — airflow kritis provisional</t>
  </si>
  <si>
    <t>Diffuser MBBR — diameter lubang</t>
  </si>
  <si>
    <t>Diffuser MBBR — ΔP orifice target</t>
  </si>
  <si>
    <t>Diffuser MBBR — debit teoritis per lubang</t>
  </si>
  <si>
    <t>Diffuser MBBR — reference grid</t>
  </si>
  <si>
    <t>Diffuser MBBR — status</t>
  </si>
  <si>
    <t>6. Sheet MBBR_Diffuser berisi desain aerasi, orifice PVC Ø1,0 mm, reference configuration 3 lateral × 10 lubang, serta perhitungan blower dan wet test.</t>
  </si>
  <si>
    <t>7. Sel berwarna kuning pada MBBR_Diffuser harus diisi dengan dimensi internal tangki, diameter dalam pipa, pressure loss perangkat, AOR, dan OTE aktual sebelum desain final.</t>
  </si>
  <si>
    <t>8. Airflow 26,25 NL/min adalah reference mixing point; bukan spesifikasi blower final tanpa wet test carrier dan OTR.</t>
  </si>
  <si>
    <t>9. Blower dipilih dari vendor curve pada debit dan tekanan kerja nyata, bukan dari free-air rating.</t>
  </si>
  <si>
    <t>Desain Aerasi dan Diffuser MBBR — Reference Configuration &amp; Wet Test</t>
  </si>
  <si>
    <t>Gunakan sel kuning sebagai INPUT. Konfigurasi 3 lateral × 10 lubang adalah reference wet test; jumlah lateral, ukuran pipa, blower, dan OTR final wajib dikunci dari dimensi tangki, wet test carrier, serta data LB aktual.</t>
  </si>
  <si>
    <t>Reference Grid A — 3 lateral × 10 lubang Ø1,0 mm (tidak berskala; wajib wet test)</t>
  </si>
  <si>
    <t>A. BASIS PROSES &amp; CARRIER</t>
  </si>
  <si>
    <t>INPUT DAN BASIS PERHITUNGAN</t>
  </si>
  <si>
    <t>Nilai terkait MBBR terhubung ke sheet Model_Desain.</t>
  </si>
  <si>
    <t>Header udara dengan valve balancing pada masing-masing lateral. Lubang mengarah ke bawah / sedikit menyamping.</t>
  </si>
  <si>
    <t>Terhubung ke Model_Desain.</t>
  </si>
  <si>
    <t>HEADER UDARA</t>
  </si>
  <si>
    <t>Volume carrier awal</t>
  </si>
  <si>
    <t>V_carrier_start</t>
  </si>
  <si>
    <t>Target DO MBBR minimum</t>
  </si>
  <si>
    <t>Lateral 1</t>
  </si>
  <si>
    <t>●</t>
  </si>
  <si>
    <t>Flush</t>
  </si>
  <si>
    <t>Target DO MBBR maksimum</t>
  </si>
  <si>
    <t>Koefisien awal mixing carrier</t>
  </si>
  <si>
    <t>C_MIX</t>
  </si>
  <si>
    <t>NL/min/m3</t>
  </si>
  <si>
    <t>Reference wet test; bukan kapasitas final.</t>
  </si>
  <si>
    <t>Airflow reference untuk carrier mixing</t>
  </si>
  <si>
    <t>Q_air_mixing_ref</t>
  </si>
  <si>
    <t>V_MBBR × C_MIX.</t>
  </si>
  <si>
    <t>Lateral 2</t>
  </si>
  <si>
    <t>AOR residual MBBR pada beban puncak</t>
  </si>
  <si>
    <t>AOR_peak</t>
  </si>
  <si>
    <t>kg O2/jam</t>
  </si>
  <si>
    <t>Isi setelah uji OUR/OTR atau data proses tervalidasi.</t>
  </si>
  <si>
    <t>OTE aktual grid PVC dalam LB</t>
  </si>
  <si>
    <t>OTE_actual</t>
  </si>
  <si>
    <t>Jangan memakai OTE membrane diffuser tanpa uji aktual.</t>
  </si>
  <si>
    <t>Airflow minimum berdasarkan OTR residual</t>
  </si>
  <si>
    <t>Q_air_OTR</t>
  </si>
  <si>
    <t>0 bila AOR atau OTE belum diisi.</t>
  </si>
  <si>
    <t>Lateral 3</t>
  </si>
  <si>
    <t>Q_air_critical</t>
  </si>
  <si>
    <t>max(mixing reference, OTR residual).</t>
  </si>
  <si>
    <t>Faktor availability / fouling</t>
  </si>
  <si>
    <t>F_availability</t>
  </si>
  <si>
    <t>Default 1,00; tetapkan dari hasil wet test dan filosofi reliability.</t>
  </si>
  <si>
    <t>Bila Q_air_critical melebihi reference mixing point, evaluasi Config B (4 lateral × 9 lubang) atau redesign layout; jangan sekadar menaikkan pressure tanpa mengecek carrier movement dan OTR.</t>
  </si>
  <si>
    <t>Airflow terpasang yang diperlukan</t>
  </si>
  <si>
    <t>Q_air_installed</t>
  </si>
  <si>
    <t>Basis pemilihan blower setelah semua input divalidasi.</t>
  </si>
  <si>
    <t>Status desain airflow</t>
  </si>
  <si>
    <t>Airflow_status</t>
  </si>
  <si>
    <t>Harus tetap provisional hingga OTR dan wet test selesai.</t>
  </si>
  <si>
    <t>B. ORIFICE DIFFUSER PVC</t>
  </si>
  <si>
    <t>BASIS MEKANIK DIFFUSER</t>
  </si>
  <si>
    <t>Diameter lubang dan target ΔP awal.</t>
  </si>
  <si>
    <t>d_hole</t>
  </si>
  <si>
    <t>Basis awal fabrikasi grid PVC.</t>
  </si>
  <si>
    <t>d_hole_m</t>
  </si>
  <si>
    <t>Konversi mm ke m.</t>
  </si>
  <si>
    <t>Luas satu lubang</t>
  </si>
  <si>
    <t>A_hole</t>
  </si>
  <si>
    <t>A = πd²/4.</t>
  </si>
  <si>
    <t>Koefisien discharge awal</t>
  </si>
  <si>
    <t>C_d_initial</t>
  </si>
  <si>
    <t>Wajib dikalibrasi terhadap lubang PVC aktual.</t>
  </si>
  <si>
    <t>Densitas udara referensi</t>
  </si>
  <si>
    <t>rho_air</t>
  </si>
  <si>
    <t>kg/m3</t>
  </si>
  <si>
    <t>Reference simplifikasi untuk pemeriksaan awal.</t>
  </si>
  <si>
    <t>dP_orifice_target</t>
  </si>
  <si>
    <t>Target awal untuk pemerataan distribusi udara.</t>
  </si>
  <si>
    <t>dP_orifice_target_Pa</t>
  </si>
  <si>
    <t>Konversi kPa ke Pa.</t>
  </si>
  <si>
    <t>dP_orifice_target_mmH2O</t>
  </si>
  <si>
    <t>mmH2O</t>
  </si>
  <si>
    <t>1 mmH2O = 9,80665 Pa.</t>
  </si>
  <si>
    <t>q_hole_ref</t>
  </si>
  <si>
    <t>q = Cd × A × √(2ΔP/ρ) × 60000.</t>
  </si>
  <si>
    <t>N_hole_required</t>
  </si>
  <si>
    <t>Jumlah lubang dipilih</t>
  </si>
  <si>
    <t>N_hole_selected</t>
  </si>
  <si>
    <t>Reference configuration 3 lateral × 10 lubang.</t>
  </si>
  <si>
    <t>Debit aktual rata-rata per lubang</t>
  </si>
  <si>
    <t>q_hole_selected</t>
  </si>
  <si>
    <t>Q kritis / jumlah lubang dipilih.</t>
  </si>
  <si>
    <t>Pressure drop aktual pada lubang</t>
  </si>
  <si>
    <t>dP_orifice_actual_Pa</t>
  </si>
  <si>
    <t>ΔP berbanding q².</t>
  </si>
  <si>
    <t>dP_orifice_actual</t>
  </si>
  <si>
    <t>Konversi Pa ke kPa.</t>
  </si>
  <si>
    <t>dP_orifice_actual_mmH2O</t>
  </si>
  <si>
    <t>Konversi Pa ke mmH2O.</t>
  </si>
  <si>
    <t>Status jumlah lubang</t>
  </si>
  <si>
    <t>N_hole_status</t>
  </si>
  <si>
    <t>Wajib cukup untuk airflow kritis.</t>
  </si>
  <si>
    <t>C. REFERENCE CONFIGURATION</t>
  </si>
  <si>
    <t>KONFIGURASI WET TEST — BUKAN FINAL</t>
  </si>
  <si>
    <t>Pilih berdasarkan hasil carrier movement, DO, dan OTR.</t>
  </si>
  <si>
    <t>Config A — airflow</t>
  </si>
  <si>
    <t>Q_config_A</t>
  </si>
  <si>
    <t>Reference mixing point.</t>
  </si>
  <si>
    <t>Config A — jumlah lateral</t>
  </si>
  <si>
    <t>N_lateral_A</t>
  </si>
  <si>
    <t>lateral</t>
  </si>
  <si>
    <t>Reference: 3 lateral.</t>
  </si>
  <si>
    <t>Config A — lubang per lateral</t>
  </si>
  <si>
    <t>N_hole_lateral_A</t>
  </si>
  <si>
    <t>lubang/lateral</t>
  </si>
  <si>
    <t>Reference: 10 lubang per lateral.</t>
  </si>
  <si>
    <t>Config A — jumlah lubang total</t>
  </si>
  <si>
    <t>N_hole_A</t>
  </si>
  <si>
    <t>N lateral × lubang/lateral.</t>
  </si>
  <si>
    <t>Config A — debit per lubang</t>
  </si>
  <si>
    <t>q_hole_A</t>
  </si>
  <si>
    <t>Q config A / total lubang.</t>
  </si>
  <si>
    <t>Config A — ΔP orifice aktual</t>
  </si>
  <si>
    <t>dP_A</t>
  </si>
  <si>
    <t>Target wet test sekitar 0,5 kPa.</t>
  </si>
  <si>
    <t>Config B — airflow</t>
  </si>
  <si>
    <t>Q_config_B</t>
  </si>
  <si>
    <t>Upper wet test point = 120% reference.</t>
  </si>
  <si>
    <t>Config B — jumlah lateral</t>
  </si>
  <si>
    <t>N_lateral_B</t>
  </si>
  <si>
    <t>Reference: 4 lateral.</t>
  </si>
  <si>
    <t>Config B — lubang per lateral</t>
  </si>
  <si>
    <t>N_hole_lateral_B</t>
  </si>
  <si>
    <t>Reference: 9 lubang per lateral.</t>
  </si>
  <si>
    <t>Config B — jumlah lubang total</t>
  </si>
  <si>
    <t>N_hole_B</t>
  </si>
  <si>
    <t>Config B — debit per lubang</t>
  </si>
  <si>
    <t>q_hole_B</t>
  </si>
  <si>
    <t>Q config B / total lubang.</t>
  </si>
  <si>
    <t>Config B — ΔP orifice aktual</t>
  </si>
  <si>
    <t>dP_B</t>
  </si>
  <si>
    <t>Rekomendasi reference wet test</t>
  </si>
  <si>
    <t>Grid_reference_status</t>
  </si>
  <si>
    <t>Konfigurasi final harus mengikuti Q_air_critical dan wet test.</t>
  </si>
  <si>
    <t>D. DIMENSI TANGKI &amp; LAYOUT</t>
  </si>
  <si>
    <t>INPUT GEOMETRI UNTUK FINALISASI GRID</t>
  </si>
  <si>
    <t>Isi panjang/lebar internal untuk menghitung pitch dan submergence.</t>
  </si>
  <si>
    <t>Panjang internal MBBR</t>
  </si>
  <si>
    <t>L_tank_internal</t>
  </si>
  <si>
    <t>Wajib diisi dari drawing tangki.</t>
  </si>
  <si>
    <t>Lebar internal MBBR</t>
  </si>
  <si>
    <t>W_tank_internal</t>
  </si>
  <si>
    <t>Kedalaman air hasil volume geometri</t>
  </si>
  <si>
    <t>H_water_calc</t>
  </si>
  <si>
    <t>H = V/(L×W); gunakan untuk cek saja.</t>
  </si>
  <si>
    <t>Jumlah lateral dipilih</t>
  </si>
  <si>
    <t>N_lateral_selected</t>
  </si>
  <si>
    <t>Pilih setelah wet test carrier.</t>
  </si>
  <si>
    <t>Jumlah lubang per lateral dipilih</t>
  </si>
  <si>
    <t>N_hole_lateral_selected</t>
  </si>
  <si>
    <t>Harus bilangan bulat.</t>
  </si>
  <si>
    <t>Pitch lateral antar-sumbu</t>
  </si>
  <si>
    <t>Pitch_lateral</t>
  </si>
  <si>
    <t>W/(N lateral − 1).</t>
  </si>
  <si>
    <t>Pitch lubang sepanjang lateral</t>
  </si>
  <si>
    <t>Pitch_hole</t>
  </si>
  <si>
    <t>L/(N lubang/lateral + 1).</t>
  </si>
  <si>
    <t>Elevasi lateral dari dasar</t>
  </si>
  <si>
    <t>H_lateral_above_floor</t>
  </si>
  <si>
    <t>Reference 50 mm; pastikan tidak menghalangi drain.</t>
  </si>
  <si>
    <t>Kedalaman submergence diffuser</t>
  </si>
  <si>
    <t>H_submergence</t>
  </si>
  <si>
    <t>H air − elevasi lateral.</t>
  </si>
  <si>
    <t>Arah lubang</t>
  </si>
  <si>
    <t>Hole_direction</t>
  </si>
  <si>
    <t>ke bawah / sedikit menyamping</t>
  </si>
  <si>
    <t>Mengurangi risiko penutupan lubang oleh endapan atau carrier.</t>
  </si>
  <si>
    <t>Status geometri</t>
  </si>
  <si>
    <t>Geometry_status</t>
  </si>
  <si>
    <t>Final diffuser harus menunggu L dan W internal.</t>
  </si>
  <si>
    <t>E. PRESSURE DROP HEADER &amp; LATERAL</t>
  </si>
  <si>
    <t>INPUT UNTUK VERIFIKASI DISTRIBUSI UDARA</t>
  </si>
  <si>
    <t>Gunakan diameter dalam aktual, bukan ukuran nominal pipa.</t>
  </si>
  <si>
    <t>Diameter dalam header</t>
  </si>
  <si>
    <t>D_header_ID</t>
  </si>
  <si>
    <t>Isi dari data pipa aktual.</t>
  </si>
  <si>
    <t>Panjang header</t>
  </si>
  <si>
    <t>L_header</t>
  </si>
  <si>
    <t>Isi dari drawing.</t>
  </si>
  <si>
    <t>Minor loss header</t>
  </si>
  <si>
    <t>K_header</t>
  </si>
  <si>
    <t>Total K dari tee, elbow, valve, reducer.</t>
  </si>
  <si>
    <t>Diameter dalam lateral</t>
  </si>
  <si>
    <t>D_lateral_ID</t>
  </si>
  <si>
    <t>Panjang lateral</t>
  </si>
  <si>
    <t>L_lateral</t>
  </si>
  <si>
    <t>Minor loss lateral</t>
  </si>
  <si>
    <t>K_lateral</t>
  </si>
  <si>
    <t>Termasuk valve, cap, elbow, sambungan.</t>
  </si>
  <si>
    <t>Viskositas dinamik udara</t>
  </si>
  <si>
    <t>mu_air</t>
  </si>
  <si>
    <t>Pa·s</t>
  </si>
  <si>
    <t>Reference sekitar 20°C.</t>
  </si>
  <si>
    <t>Debit total untuk check pipa</t>
  </si>
  <si>
    <t>Q_total_pipe</t>
  </si>
  <si>
    <t>Q_air_critical / 60000.</t>
  </si>
  <si>
    <t>Kecepatan udara header</t>
  </si>
  <si>
    <t>v_header</t>
  </si>
  <si>
    <t>v = 4Q/(πD²).</t>
  </si>
  <si>
    <t>Reynolds header</t>
  </si>
  <si>
    <t>Re_header</t>
  </si>
  <si>
    <t>Re = ρvD/μ.</t>
  </si>
  <si>
    <t>Friction factor header</t>
  </si>
  <si>
    <t>f_header</t>
  </si>
  <si>
    <t>Blasius initial check.</t>
  </si>
  <si>
    <t>Pressure loss header</t>
  </si>
  <si>
    <t>dP_header</t>
  </si>
  <si>
    <t>Darcy–Weisbach + minor loss.</t>
  </si>
  <si>
    <t>Debit per lateral</t>
  </si>
  <si>
    <t>Q_lateral_pipe</t>
  </si>
  <si>
    <t>Q critical / jumlah lateral dipilih.</t>
  </si>
  <si>
    <t>Kecepatan udara lateral</t>
  </si>
  <si>
    <t>v_lateral</t>
  </si>
  <si>
    <t>Conservative: debit penuh pada inlet lateral.</t>
  </si>
  <si>
    <t>Reynolds lateral</t>
  </si>
  <si>
    <t>Re_lateral</t>
  </si>
  <si>
    <t>Friction factor lateral</t>
  </si>
  <si>
    <t>f_lateral</t>
  </si>
  <si>
    <t>Pressure loss lateral</t>
  </si>
  <si>
    <t>dP_lateral</t>
  </si>
  <si>
    <t>Total pressure loss line</t>
  </si>
  <si>
    <t>dP_line_total</t>
  </si>
  <si>
    <t>Header + lateral.</t>
  </si>
  <si>
    <t>Maximum line loss yang diizinkan</t>
  </si>
  <si>
    <t>dP_line_max</t>
  </si>
  <si>
    <t>10% dari ΔP orifice target.</t>
  </si>
  <si>
    <t>Status pemerataan distribusi</t>
  </si>
  <si>
    <t>Line_loss_status</t>
  </si>
  <si>
    <t>Line loss harus jauh lebih kecil dari ΔP orifice.</t>
  </si>
  <si>
    <t>F. BASIS PEMILIHAN BLOWER</t>
  </si>
  <si>
    <t>FLOW PADA TEKANAN KERJA</t>
  </si>
  <si>
    <t>Pilih dari curve vendor, bukan dari free-air rating saja.</t>
  </si>
  <si>
    <t>H_sub_for_blower</t>
  </si>
  <si>
    <t>Terhubung ke geometri tangki.</t>
  </si>
  <si>
    <t>Static head diffuser</t>
  </si>
  <si>
    <t>P_static</t>
  </si>
  <si>
    <t>kPa(g)</t>
  </si>
  <si>
    <t>P = 9,80665 × h_sub.</t>
  </si>
  <si>
    <t>Pressure loss device</t>
  </si>
  <si>
    <t>dP_device</t>
  </si>
  <si>
    <t>Rotameter, check valve, valve, fitting.</t>
  </si>
  <si>
    <t>Allowance fouling</t>
  </si>
  <si>
    <t>dP_fouling</t>
  </si>
  <si>
    <t>Tetapkan dari hasil operasi dan filosofi reliability.</t>
  </si>
  <si>
    <t>Pressure loss line</t>
  </si>
  <si>
    <t>dP_line_kPa</t>
  </si>
  <si>
    <t>Dari header + lateral.</t>
  </si>
  <si>
    <t>Total pressure blower minimum</t>
  </si>
  <si>
    <t>P_blower_g</t>
  </si>
  <si>
    <t>Static + orifice + line + device + fouling.</t>
  </si>
  <si>
    <t>Debit blower minimum</t>
  </si>
  <si>
    <t>Q_blower</t>
  </si>
  <si>
    <t>Q_air_installed.</t>
  </si>
  <si>
    <t>Status procurement blower</t>
  </si>
  <si>
    <t>Blower_status</t>
  </si>
  <si>
    <t>Curve vendor wajib menunjukkan flow pada pressure ini.</t>
  </si>
  <si>
    <t>G. WET TEST DIFFUSER MBBR — isi hasil ukur aktual</t>
  </si>
  <si>
    <t>Test</t>
  </si>
  <si>
    <t>% Qmix</t>
  </si>
  <si>
    <t>Target Q
NL/min</t>
  </si>
  <si>
    <t>Actual Q
NL/min</t>
  </si>
  <si>
    <t>Header
kPa</t>
  </si>
  <si>
    <t>Lateral
aktif</t>
  </si>
  <si>
    <t>Carrier dasar /
dead zone</t>
  </si>
  <si>
    <t>Carrier di
screen</t>
  </si>
  <si>
    <t>DO tengah
mg/L</t>
  </si>
  <si>
    <t>Foam</t>
  </si>
  <si>
    <t>Keputusan</t>
  </si>
  <si>
    <t>Uji 1</t>
  </si>
  <si>
    <t>Uji 2</t>
  </si>
  <si>
    <t>Uji 3</t>
  </si>
  <si>
    <t>Uji 4</t>
  </si>
  <si>
    <t>H. KRITERIA PENERIMAAN FINAL MBBR DIFFUSER</t>
  </si>
  <si>
    <t>Area</t>
  </si>
  <si>
    <t>Kriteria penerimaan</t>
  </si>
  <si>
    <t>Catatan</t>
  </si>
  <si>
    <t>Distribusi udara</t>
  </si>
  <si>
    <t>Seluruh lateral aktif dan relatif seragam</t>
  </si>
  <si>
    <t>Verifikasi visual + pressure header.</t>
  </si>
  <si>
    <t>Carrier</t>
  </si>
  <si>
    <t>Bergerak pada seluruh volume tanpa hamparan diam</t>
  </si>
  <si>
    <t>Tidak mengumpul terus di screen outlet.</t>
  </si>
  <si>
    <t>DO bulk</t>
  </si>
  <si>
    <t>Minimum 3 mg/L pada beban operasi</t>
  </si>
  <si>
    <t>Ukur titik inlet, tengah, outlet.</t>
  </si>
  <si>
    <t>Tidak meningkat ekstrem pada kondisi stabil</t>
  </si>
  <si>
    <t>Evaluasi bila bertambah terus.</t>
  </si>
  <si>
    <t>Line loss</t>
  </si>
  <si>
    <t>ΔP header + lateral ≤ 10% ΔP orifice target</t>
  </si>
  <si>
    <t>Perbesar header/lateral bila tidak memenuhi.</t>
  </si>
  <si>
    <t>Blower</t>
  </si>
  <si>
    <t>Vendor curve memenuhi Q pada P kerja</t>
  </si>
  <si>
    <t>Jangan gunakan free-air rating saja.</t>
  </si>
  <si>
    <t>Referensi teknis diffuser dan MBBR</t>
  </si>
  <si>
    <t>Sumber</t>
  </si>
  <si>
    <t>Kegunaan</t>
  </si>
  <si>
    <t>Orenco MBBR Design Guidelines</t>
  </si>
  <si>
    <t>https://odl.orenco.com/documents/MovingBedBioreactor-MBBR_DesignAid_Orenco_NDA-TRT-MBB-1.pdf</t>
  </si>
  <si>
    <t>Basis kebutuhan mixing, carrier fill, dan wet test.</t>
  </si>
  <si>
    <t>EPA Fine Pore Aeration Systems</t>
  </si>
  <si>
    <t>https://nepis.epa.gov/Exe/ZyPURL.cgi?Dockey=3000464S.TXT</t>
  </si>
  <si>
    <t>Basis distribusi udara, control orifice, dan aerasi.</t>
  </si>
  <si>
    <t>EPA Nutrient Control Design Manual</t>
  </si>
  <si>
    <t>https://www.epa.gov/sites/default/files/2019-02/documents/nutrient-control-design-manual.pdf</t>
  </si>
  <si>
    <t>Basis kebutuhan O2 nitrifikasi dan evaluasi proses.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</si>
</sst>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%"/>
    <numFmt numFmtId="167" formatCode="0.000000"/>
  </numFmts>
  <fonts count="14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4"/>
      <color rgb="FFFFFFFF"/>
      <name val="Carlito"/>
    </font>
    <font>
      <b/>
      <sz val="11"/>
      <color rgb="FF14532D"/>
      <name val="Carlito"/>
    </font>
    <font>
      <b/>
      <sz val="10"/>
      <color rgb="FF1F2937"/>
      <name val="Carlito"/>
    </font>
    <font>
      <sz val="10"/>
      <color rgb="FF1F2937"/>
      <name val="Carlito"/>
    </font>
    <font>
      <b/>
      <sz val="10"/>
      <color rgb="FF0C4A6E"/>
      <name val="Carlito"/>
    </font>
    <font>
      <sz val="10"/>
      <color rgb="FF1F4E3D"/>
      <name val="Carlito"/>
    </font>
    <font>
      <sz val="10"/>
      <color rgb="FF7F6000"/>
      <name val="Carlito"/>
    </font>
    <font>
      <b/>
      <sz val="10"/>
      <color rgb="FF5B2C6F"/>
      <name val="Carlito"/>
    </font>
    <font>
      <b/>
      <sz val="11"/>
      <color rgb="FF0C4A6E"/>
      <name val="Carlito"/>
    </font>
    <font>
      <b/>
      <sz val="12"/>
      <color rgb="FF0F766E"/>
      <name val="Carlito"/>
    </font>
    <font>
      <sz val="11"/>
      <color rgb="FF9C5700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9D5FF"/>
      </patternFill>
    </fill>
    <fill>
      <patternFill patternType="solid">
        <fgColor rgb="FFE5E7EB"/>
      </patternFill>
    </fill>
    <fill>
      <patternFill patternType="solid">
        <fgColor rgb="FF164E63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B7DEE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E0F2F1"/>
      </patternFill>
    </fill>
    <fill>
      <patternFill patternType="solid">
        <fgColor rgb="FFFCE4D6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2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7" fillId="11" borderId="11" xfId="0" applyFont="1" applyFill="1" applyBorder="1" applyAlignment="1">
      <alignment horizontal="left" vertical="center" wrapText="1"/>
    </xf>
    <xf numFmtId="0" fontId="10" fillId="14" borderId="12" xfId="0" applyFont="1" applyFill="1" applyBorder="1" applyAlignment="1">
      <alignment horizontal="right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8" fillId="12" borderId="12" xfId="0" applyNumberFormat="1" applyFont="1" applyFill="1" applyBorder="1" applyAlignment="1">
      <alignment horizontal="right" vertical="center" wrapText="1"/>
    </xf>
    <xf numFmtId="165" fontId="9" fillId="13" borderId="12" xfId="0" applyNumberFormat="1" applyFont="1" applyFill="1" applyBorder="1" applyAlignment="1">
      <alignment horizontal="right" vertical="center" wrapText="1"/>
    </xf>
    <xf numFmtId="165" fontId="6" fillId="0" borderId="0" xfId="0" applyNumberFormat="1" applyFont="1" applyAlignment="1">
      <alignment vertical="center" wrapText="1"/>
    </xf>
    <xf numFmtId="165" fontId="7" fillId="11" borderId="10" xfId="0" applyNumberFormat="1" applyFont="1" applyFill="1" applyBorder="1" applyAlignment="1">
      <alignment horizontal="left" vertical="center" wrapText="1"/>
    </xf>
    <xf numFmtId="166" fontId="8" fillId="12" borderId="12" xfId="0" applyNumberFormat="1" applyFont="1" applyFill="1" applyBorder="1" applyAlignment="1">
      <alignment horizontal="right" vertical="center" wrapText="1"/>
    </xf>
    <xf numFmtId="167" fontId="8" fillId="12" borderId="12" xfId="0" applyNumberFormat="1" applyFont="1" applyFill="1" applyBorder="1" applyAlignment="1">
      <alignment horizontal="right" vertical="center" wrapText="1"/>
    </xf>
    <xf numFmtId="167" fontId="9" fillId="13" borderId="12" xfId="0" applyNumberFormat="1" applyFont="1" applyFill="1" applyBorder="1" applyAlignment="1">
      <alignment horizontal="right" vertical="center" wrapText="1"/>
    </xf>
    <xf numFmtId="49" fontId="10" fillId="14" borderId="12" xfId="0" applyNumberFormat="1" applyFont="1" applyFill="1" applyBorder="1" applyAlignment="1">
      <alignment horizontal="right" vertical="center" wrapText="1"/>
    </xf>
    <xf numFmtId="49" fontId="9" fillId="13" borderId="12" xfId="0" applyNumberFormat="1" applyFont="1" applyFill="1" applyBorder="1" applyAlignment="1">
      <alignment horizontal="right" vertical="center" wrapText="1"/>
    </xf>
    <xf numFmtId="0" fontId="11" fillId="11" borderId="12" xfId="0" applyFont="1" applyFill="1" applyBorder="1" applyAlignment="1">
      <alignment horizontal="left" vertical="center" wrapText="1"/>
    </xf>
    <xf numFmtId="0" fontId="12" fillId="15" borderId="9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/>
    </xf>
    <xf numFmtId="0" fontId="13" fillId="16" borderId="1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65" fontId="9" fillId="13" borderId="1" xfId="0" applyNumberFormat="1" applyFont="1" applyFill="1" applyBorder="1" applyAlignment="1">
      <alignment horizontal="right" vertical="center" wrapText="1"/>
    </xf>
    <xf numFmtId="165" fontId="9" fillId="13" borderId="2" xfId="0" applyNumberFormat="1" applyFont="1" applyFill="1" applyBorder="1" applyAlignment="1">
      <alignment horizontal="right" vertical="center" wrapText="1"/>
    </xf>
    <xf numFmtId="0" fontId="9" fillId="13" borderId="2" xfId="0" applyFont="1" applyFill="1" applyBorder="1" applyAlignment="1">
      <alignment horizontal="right" vertical="center" wrapText="1"/>
    </xf>
    <xf numFmtId="0" fontId="9" fillId="13" borderId="3" xfId="0" applyFont="1" applyFill="1" applyBorder="1" applyAlignment="1">
      <alignment horizontal="right" vertical="center" wrapText="1"/>
    </xf>
    <xf numFmtId="165" fontId="9" fillId="13" borderId="4" xfId="0" applyNumberFormat="1" applyFont="1" applyFill="1" applyBorder="1" applyAlignment="1">
      <alignment horizontal="right" vertical="center" wrapText="1"/>
    </xf>
    <xf numFmtId="165" fontId="9" fillId="13" borderId="0" xfId="0" applyNumberFormat="1" applyFont="1" applyFill="1" applyAlignment="1">
      <alignment horizontal="right" vertical="center" wrapText="1"/>
    </xf>
    <xf numFmtId="0" fontId="9" fillId="13" borderId="0" xfId="0" applyFont="1" applyFill="1" applyAlignment="1">
      <alignment horizontal="right" vertical="center" wrapText="1"/>
    </xf>
    <xf numFmtId="0" fontId="9" fillId="13" borderId="5" xfId="0" applyFont="1" applyFill="1" applyBorder="1" applyAlignment="1">
      <alignment horizontal="right" vertical="center" wrapText="1"/>
    </xf>
    <xf numFmtId="165" fontId="9" fillId="13" borderId="6" xfId="0" applyNumberFormat="1" applyFont="1" applyFill="1" applyBorder="1" applyAlignment="1">
      <alignment horizontal="right" vertical="center" wrapText="1"/>
    </xf>
    <xf numFmtId="165" fontId="9" fillId="13" borderId="7" xfId="0" applyNumberFormat="1" applyFont="1" applyFill="1" applyBorder="1" applyAlignment="1">
      <alignment horizontal="right" vertical="center" wrapText="1"/>
    </xf>
    <xf numFmtId="0" fontId="9" fillId="13" borderId="7" xfId="0" applyFont="1" applyFill="1" applyBorder="1" applyAlignment="1">
      <alignment horizontal="right" vertical="center" wrapText="1"/>
    </xf>
    <xf numFmtId="0" fontId="9" fillId="13" borderId="8" xfId="0" applyFont="1" applyFill="1" applyBorder="1" applyAlignment="1">
      <alignment horizontal="right" vertical="center" wrapText="1"/>
    </xf>
    <xf numFmtId="9" fontId="8" fillId="12" borderId="2" xfId="0" applyNumberFormat="1" applyFont="1" applyFill="1" applyBorder="1" applyAlignment="1">
      <alignment horizontal="right" vertical="center" wrapText="1"/>
    </xf>
    <xf numFmtId="165" fontId="8" fillId="12" borderId="3" xfId="0" applyNumberFormat="1" applyFont="1" applyFill="1" applyBorder="1" applyAlignment="1">
      <alignment horizontal="right" vertical="center" wrapText="1"/>
    </xf>
    <xf numFmtId="9" fontId="8" fillId="12" borderId="0" xfId="0" applyNumberFormat="1" applyFont="1" applyFill="1" applyAlignment="1">
      <alignment horizontal="right" vertical="center" wrapText="1"/>
    </xf>
    <xf numFmtId="165" fontId="8" fillId="12" borderId="5" xfId="0" applyNumberFormat="1" applyFont="1" applyFill="1" applyBorder="1" applyAlignment="1">
      <alignment horizontal="right" vertical="center" wrapText="1"/>
    </xf>
    <xf numFmtId="9" fontId="8" fillId="12" borderId="7" xfId="0" applyNumberFormat="1" applyFont="1" applyFill="1" applyBorder="1" applyAlignment="1">
      <alignment horizontal="right" vertical="center" wrapText="1"/>
    </xf>
    <xf numFmtId="165" fontId="8" fillId="12" borderId="8" xfId="0" applyNumberFormat="1" applyFont="1" applyFill="1" applyBorder="1" applyAlignment="1">
      <alignment horizontal="right" vertical="center" wrapText="1"/>
    </xf>
    <xf numFmtId="0" fontId="7" fillId="11" borderId="13" xfId="0" applyFont="1" applyFill="1" applyBorder="1" applyAlignment="1">
      <alignment horizontal="left" vertical="center" wrapText="1"/>
    </xf>
    <xf numFmtId="0" fontId="7" fillId="11" borderId="14" xfId="0" applyFont="1" applyFill="1" applyBorder="1" applyAlignment="1">
      <alignment horizontal="left" vertical="center" wrapText="1"/>
    </xf>
    <xf numFmtId="0" fontId="7" fillId="11" borderId="15" xfId="0" applyFont="1" applyFill="1" applyBorder="1" applyAlignment="1">
      <alignment horizontal="left" vertical="center" wrapText="1"/>
    </xf>
    <xf numFmtId="0" fontId="11" fillId="11" borderId="9" xfId="0" applyFont="1" applyFill="1" applyBorder="1" applyAlignment="1">
      <alignment horizontal="left" vertical="center" wrapText="1"/>
    </xf>
    <xf numFmtId="0" fontId="11" fillId="11" borderId="10" xfId="0" applyFont="1" applyFill="1" applyBorder="1" applyAlignment="1">
      <alignment horizontal="left" vertical="center" wrapText="1"/>
    </xf>
    <xf numFmtId="0" fontId="11" fillId="11" borderId="11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10" fillId="14" borderId="14" xfId="0" applyFont="1" applyFill="1" applyBorder="1" applyAlignment="1">
      <alignment horizontal="right" vertical="center" wrapText="1"/>
    </xf>
    <xf numFmtId="0" fontId="10" fillId="14" borderId="15" xfId="0" applyFont="1" applyFill="1" applyBorder="1" applyAlignment="1">
      <alignment horizontal="right" vertical="center" wrapText="1"/>
    </xf>
    <xf numFmtId="165" fontId="10" fillId="14" borderId="13" xfId="0" applyNumberFormat="1" applyFont="1" applyFill="1" applyBorder="1" applyAlignment="1">
      <alignment horizontal="right" vertical="center" wrapText="1"/>
    </xf>
    <xf numFmtId="165" fontId="10" fillId="14" borderId="14" xfId="0" applyNumberFormat="1" applyFont="1" applyFill="1" applyBorder="1" applyAlignment="1">
      <alignment horizontal="right" vertical="center" wrapText="1"/>
    </xf>
    <xf numFmtId="0" fontId="13" fillId="16" borderId="13" xfId="0" applyFont="1" applyFill="1" applyBorder="1" applyAlignment="1">
      <alignment horizontal="left" vertical="center" wrapText="1"/>
    </xf>
    <xf numFmtId="0" fontId="13" fillId="16" borderId="14" xfId="0" applyFont="1" applyFill="1" applyBorder="1" applyAlignment="1">
      <alignment horizontal="left" vertical="center" wrapText="1"/>
    </xf>
    <xf numFmtId="0" fontId="13" fillId="16" borderId="1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DesainTable" displayName="ModelDesainTable" ref="A1:H185">
  <tableColumns count="8">
    <tableColumn id="1" xr3:uid="{00000000-0010-0000-0000-000001000000}" name="No"/>
    <tableColumn id="2" xr3:uid="{00000000-0010-0000-0000-000002000000}" name="Section"/>
    <tableColumn id="3" xr3:uid="{00000000-0010-0000-0000-000003000000}" name="Parameter"/>
    <tableColumn id="4" xr3:uid="{00000000-0010-0000-0000-000004000000}" name="Symbol"/>
    <tableColumn id="5" xr3:uid="{00000000-0010-0000-0000-000005000000}" name="Nilai"/>
    <tableColumn id="6" xr3:uid="{00000000-0010-0000-0000-000006000000}" name="Satuan"/>
    <tableColumn id="7" xr3:uid="{00000000-0010-0000-0000-000007000000}" name="Tipe"/>
    <tableColumn id="8" xr3:uid="{00000000-0010-0000-0000-000008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"/>
  <sheetViews>
    <sheetView tabSelected="1" topLeftCell="A112" workbookViewId="0">
      <selection activeCell="E203" sqref="E203"/>
    </sheetView>
  </sheetViews>
  <sheetFormatPr defaultRowHeight="14.25"/>
  <cols>
    <col min="1" max="1" width="8" customWidth="1"/>
    <col min="2" max="2" width="28" customWidth="1"/>
    <col min="3" max="3" width="32.25" customWidth="1"/>
    <col min="4" max="4" width="24.625" customWidth="1"/>
    <col min="5" max="5" width="11.625" customWidth="1"/>
    <col min="6" max="6" width="11.25" customWidth="1"/>
    <col min="7" max="7" width="10" customWidth="1"/>
    <col min="8" max="8" width="58" customWidth="1"/>
  </cols>
  <sheetData>
    <row r="1" spans="1: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6.1" customHeight="1">
      <c r="A2" s="4"/>
      <c r="B2" s="4" t="s">
        <v>8</v>
      </c>
      <c r="C2" s="4" t="s">
        <v>9</v>
      </c>
      <c r="D2" s="4"/>
      <c r="E2" s="9"/>
      <c r="F2" s="4"/>
      <c r="G2" s="4" t="s">
        <v>10</v>
      </c>
      <c r="H2" s="4" t="s">
        <v>11</v>
      </c>
    </row>
    <row r="3" spans="1:8">
      <c r="A3" s="3">
        <v>1</v>
      </c>
      <c r="B3" s="3" t="s">
        <v>8</v>
      </c>
      <c r="C3" s="3" t="s">
        <v>12</v>
      </c>
      <c r="D3" s="3" t="s">
        <v>13</v>
      </c>
      <c r="E3" s="10">
        <v>18</v>
      </c>
      <c r="F3" s="3" t="s">
        <v>14</v>
      </c>
      <c r="G3" s="5" t="s">
        <v>15</v>
      </c>
      <c r="H3" s="3" t="s">
        <v>16</v>
      </c>
    </row>
    <row r="4" spans="1:8">
      <c r="A4" s="3">
        <v>2</v>
      </c>
      <c r="B4" s="3" t="s">
        <v>8</v>
      </c>
      <c r="C4" s="3" t="s">
        <v>17</v>
      </c>
      <c r="D4" s="3" t="s">
        <v>18</v>
      </c>
      <c r="E4" s="10">
        <v>3.5</v>
      </c>
      <c r="F4" s="3" t="s">
        <v>14</v>
      </c>
      <c r="G4" s="5" t="s">
        <v>15</v>
      </c>
      <c r="H4" s="3" t="s">
        <v>16</v>
      </c>
    </row>
    <row r="5" spans="1:8">
      <c r="A5" s="3">
        <v>3</v>
      </c>
      <c r="B5" s="3" t="s">
        <v>8</v>
      </c>
      <c r="C5" s="3" t="s">
        <v>19</v>
      </c>
      <c r="D5" s="3" t="s">
        <v>20</v>
      </c>
      <c r="E5" s="10">
        <v>0.65</v>
      </c>
      <c r="F5" s="3" t="s">
        <v>14</v>
      </c>
      <c r="G5" s="5" t="s">
        <v>15</v>
      </c>
      <c r="H5" s="3" t="s">
        <v>16</v>
      </c>
    </row>
    <row r="6" spans="1:8">
      <c r="A6" s="3">
        <v>4</v>
      </c>
      <c r="B6" s="3" t="s">
        <v>8</v>
      </c>
      <c r="C6" s="3" t="s">
        <v>21</v>
      </c>
      <c r="D6" s="3" t="s">
        <v>22</v>
      </c>
      <c r="E6" s="10">
        <f>E3*E4</f>
        <v>63</v>
      </c>
      <c r="F6" s="3" t="s">
        <v>23</v>
      </c>
      <c r="G6" s="6" t="s">
        <v>24</v>
      </c>
      <c r="H6" s="3" t="s">
        <v>25</v>
      </c>
    </row>
    <row r="7" spans="1:8">
      <c r="A7" s="3">
        <v>5</v>
      </c>
      <c r="B7" s="3" t="s">
        <v>8</v>
      </c>
      <c r="C7" s="3" t="s">
        <v>26</v>
      </c>
      <c r="D7" s="3" t="s">
        <v>27</v>
      </c>
      <c r="E7" s="10">
        <f>E6*E5</f>
        <v>40.950000000000003</v>
      </c>
      <c r="F7" s="3" t="s">
        <v>28</v>
      </c>
      <c r="G7" s="6" t="s">
        <v>24</v>
      </c>
      <c r="H7" s="3" t="s">
        <v>29</v>
      </c>
    </row>
    <row r="8" spans="1:8">
      <c r="A8" s="3">
        <v>6</v>
      </c>
      <c r="B8" s="3" t="s">
        <v>8</v>
      </c>
      <c r="C8" s="3" t="s">
        <v>26</v>
      </c>
      <c r="D8" s="3" t="s">
        <v>30</v>
      </c>
      <c r="E8" s="10">
        <f>E7*1000</f>
        <v>40950</v>
      </c>
      <c r="F8" s="3" t="s">
        <v>31</v>
      </c>
      <c r="G8" s="6" t="s">
        <v>24</v>
      </c>
      <c r="H8" s="3" t="s">
        <v>32</v>
      </c>
    </row>
    <row r="9" spans="1:8" ht="26.1" customHeight="1">
      <c r="A9" s="4"/>
      <c r="B9" s="4" t="s">
        <v>33</v>
      </c>
      <c r="C9" s="4" t="s">
        <v>34</v>
      </c>
      <c r="D9" s="4"/>
      <c r="E9" s="9"/>
      <c r="F9" s="4"/>
      <c r="G9" s="4" t="s">
        <v>10</v>
      </c>
      <c r="H9" s="4" t="s">
        <v>35</v>
      </c>
    </row>
    <row r="10" spans="1:8">
      <c r="A10" s="3">
        <v>7</v>
      </c>
      <c r="B10" s="3" t="s">
        <v>33</v>
      </c>
      <c r="C10" s="3" t="s">
        <v>36</v>
      </c>
      <c r="D10" s="3" t="s">
        <v>37</v>
      </c>
      <c r="E10" s="10">
        <v>2E-3</v>
      </c>
      <c r="F10" s="3" t="s">
        <v>38</v>
      </c>
      <c r="G10" s="5" t="s">
        <v>15</v>
      </c>
      <c r="H10" s="3" t="s">
        <v>39</v>
      </c>
    </row>
    <row r="11" spans="1:8">
      <c r="A11" s="3">
        <v>8</v>
      </c>
      <c r="B11" s="3" t="s">
        <v>33</v>
      </c>
      <c r="C11" s="3" t="s">
        <v>40</v>
      </c>
      <c r="D11" s="3" t="s">
        <v>41</v>
      </c>
      <c r="E11" s="10">
        <v>4.0000000000000001E-3</v>
      </c>
      <c r="F11" s="3" t="s">
        <v>38</v>
      </c>
      <c r="G11" s="5" t="s">
        <v>15</v>
      </c>
      <c r="H11" s="3" t="s">
        <v>42</v>
      </c>
    </row>
    <row r="12" spans="1:8">
      <c r="A12" s="3">
        <v>9</v>
      </c>
      <c r="B12" s="3" t="s">
        <v>33</v>
      </c>
      <c r="C12" s="3" t="s">
        <v>43</v>
      </c>
      <c r="D12" s="3" t="s">
        <v>44</v>
      </c>
      <c r="E12" s="10">
        <v>0.01</v>
      </c>
      <c r="F12" s="3" t="s">
        <v>38</v>
      </c>
      <c r="G12" s="5" t="s">
        <v>15</v>
      </c>
      <c r="H12" s="3" t="s">
        <v>45</v>
      </c>
    </row>
    <row r="13" spans="1:8">
      <c r="A13" s="3">
        <v>10</v>
      </c>
      <c r="B13" s="3" t="s">
        <v>33</v>
      </c>
      <c r="C13" s="3" t="s">
        <v>46</v>
      </c>
      <c r="D13" s="3" t="s">
        <v>47</v>
      </c>
      <c r="E13" s="10">
        <v>0.02</v>
      </c>
      <c r="F13" s="3" t="s">
        <v>38</v>
      </c>
      <c r="G13" s="5" t="s">
        <v>15</v>
      </c>
      <c r="H13" s="3" t="s">
        <v>48</v>
      </c>
    </row>
    <row r="14" spans="1:8">
      <c r="A14" s="3">
        <v>11</v>
      </c>
      <c r="B14" s="3" t="s">
        <v>33</v>
      </c>
      <c r="C14" s="3" t="s">
        <v>49</v>
      </c>
      <c r="D14" s="3" t="s">
        <v>50</v>
      </c>
      <c r="E14" s="10">
        <f>E8*E10</f>
        <v>81.900000000000006</v>
      </c>
      <c r="F14" s="3" t="s">
        <v>51</v>
      </c>
      <c r="G14" s="6" t="s">
        <v>24</v>
      </c>
      <c r="H14" s="3" t="s">
        <v>52</v>
      </c>
    </row>
    <row r="15" spans="1:8">
      <c r="A15" s="3">
        <v>12</v>
      </c>
      <c r="B15" s="3" t="s">
        <v>33</v>
      </c>
      <c r="C15" s="3" t="s">
        <v>53</v>
      </c>
      <c r="D15" s="3" t="s">
        <v>54</v>
      </c>
      <c r="E15" s="10">
        <f>E8*E11</f>
        <v>163.80000000000001</v>
      </c>
      <c r="F15" s="3" t="s">
        <v>51</v>
      </c>
      <c r="G15" s="6" t="s">
        <v>24</v>
      </c>
      <c r="H15" s="3" t="s">
        <v>55</v>
      </c>
    </row>
    <row r="16" spans="1:8">
      <c r="A16" s="3">
        <v>13</v>
      </c>
      <c r="B16" s="3" t="s">
        <v>33</v>
      </c>
      <c r="C16" s="3" t="s">
        <v>56</v>
      </c>
      <c r="D16" s="3" t="s">
        <v>57</v>
      </c>
      <c r="E16" s="10">
        <f>E8*E12</f>
        <v>409.5</v>
      </c>
      <c r="F16" s="3" t="s">
        <v>51</v>
      </c>
      <c r="G16" s="6" t="s">
        <v>24</v>
      </c>
      <c r="H16" s="3" t="s">
        <v>58</v>
      </c>
    </row>
    <row r="17" spans="1:8">
      <c r="A17" s="3">
        <v>14</v>
      </c>
      <c r="B17" s="3" t="s">
        <v>33</v>
      </c>
      <c r="C17" s="3" t="s">
        <v>59</v>
      </c>
      <c r="D17" s="3" t="s">
        <v>60</v>
      </c>
      <c r="E17" s="10">
        <f>E8*E13</f>
        <v>819</v>
      </c>
      <c r="F17" s="3" t="s">
        <v>51</v>
      </c>
      <c r="G17" s="6" t="s">
        <v>24</v>
      </c>
      <c r="H17" s="3" t="s">
        <v>61</v>
      </c>
    </row>
    <row r="18" spans="1:8">
      <c r="A18" s="3">
        <v>15</v>
      </c>
      <c r="B18" s="3" t="s">
        <v>33</v>
      </c>
      <c r="C18" s="3" t="s">
        <v>62</v>
      </c>
      <c r="D18" s="3" t="s">
        <v>63</v>
      </c>
      <c r="E18" s="10">
        <v>60</v>
      </c>
      <c r="F18" s="3" t="s">
        <v>64</v>
      </c>
      <c r="G18" s="5" t="s">
        <v>15</v>
      </c>
      <c r="H18" s="3" t="s">
        <v>16</v>
      </c>
    </row>
    <row r="19" spans="1:8">
      <c r="A19" s="3">
        <v>16</v>
      </c>
      <c r="B19" s="3" t="s">
        <v>33</v>
      </c>
      <c r="C19" s="3" t="s">
        <v>65</v>
      </c>
      <c r="D19" s="3" t="s">
        <v>66</v>
      </c>
      <c r="E19" s="10">
        <f>E14/E18</f>
        <v>1.365</v>
      </c>
      <c r="F19" s="3" t="s">
        <v>67</v>
      </c>
      <c r="G19" s="6" t="s">
        <v>24</v>
      </c>
      <c r="H19" s="3" t="s">
        <v>68</v>
      </c>
    </row>
    <row r="20" spans="1:8">
      <c r="A20" s="3">
        <v>17</v>
      </c>
      <c r="B20" s="3" t="s">
        <v>33</v>
      </c>
      <c r="C20" s="3" t="s">
        <v>69</v>
      </c>
      <c r="D20" s="3" t="s">
        <v>70</v>
      </c>
      <c r="E20" s="10">
        <f>E15/E18</f>
        <v>2.73</v>
      </c>
      <c r="F20" s="3" t="s">
        <v>67</v>
      </c>
      <c r="G20" s="6" t="s">
        <v>24</v>
      </c>
      <c r="H20" s="3" t="s">
        <v>68</v>
      </c>
    </row>
    <row r="21" spans="1:8">
      <c r="A21" s="3">
        <v>18</v>
      </c>
      <c r="B21" s="3" t="s">
        <v>33</v>
      </c>
      <c r="C21" s="3" t="s">
        <v>71</v>
      </c>
      <c r="D21" s="3" t="s">
        <v>72</v>
      </c>
      <c r="E21" s="10">
        <f>E16/E18</f>
        <v>6.8250000000000002</v>
      </c>
      <c r="F21" s="3" t="s">
        <v>67</v>
      </c>
      <c r="G21" s="6" t="s">
        <v>24</v>
      </c>
      <c r="H21" s="3" t="s">
        <v>73</v>
      </c>
    </row>
    <row r="22" spans="1:8">
      <c r="A22" s="3">
        <v>19</v>
      </c>
      <c r="B22" s="3" t="s">
        <v>33</v>
      </c>
      <c r="C22" s="3" t="s">
        <v>74</v>
      </c>
      <c r="D22" s="3" t="s">
        <v>75</v>
      </c>
      <c r="E22" s="10">
        <f>E17/E18</f>
        <v>13.65</v>
      </c>
      <c r="F22" s="3" t="s">
        <v>67</v>
      </c>
      <c r="G22" s="6" t="s">
        <v>24</v>
      </c>
      <c r="H22" s="3" t="s">
        <v>76</v>
      </c>
    </row>
    <row r="23" spans="1:8">
      <c r="A23" s="3">
        <v>20</v>
      </c>
      <c r="B23" s="3" t="s">
        <v>33</v>
      </c>
      <c r="C23" s="3" t="s">
        <v>77</v>
      </c>
      <c r="D23" s="3" t="s">
        <v>78</v>
      </c>
      <c r="E23" s="10">
        <f>E22/1000/60</f>
        <v>2.275E-4</v>
      </c>
      <c r="F23" s="3" t="s">
        <v>79</v>
      </c>
      <c r="G23" s="6" t="s">
        <v>24</v>
      </c>
      <c r="H23" s="3" t="s">
        <v>80</v>
      </c>
    </row>
    <row r="24" spans="1:8" ht="33.75" customHeight="1">
      <c r="A24" s="4"/>
      <c r="B24" s="4" t="s">
        <v>81</v>
      </c>
      <c r="C24" s="4" t="s">
        <v>82</v>
      </c>
      <c r="D24" s="4"/>
      <c r="E24" s="9"/>
      <c r="F24" s="4"/>
      <c r="G24" s="4" t="s">
        <v>10</v>
      </c>
      <c r="H24" s="4" t="s">
        <v>83</v>
      </c>
    </row>
    <row r="25" spans="1:8">
      <c r="A25" s="3">
        <v>21</v>
      </c>
      <c r="B25" s="3" t="s">
        <v>81</v>
      </c>
      <c r="C25" s="3" t="s">
        <v>84</v>
      </c>
      <c r="D25" s="3" t="s">
        <v>85</v>
      </c>
      <c r="E25" s="10">
        <v>1.75</v>
      </c>
      <c r="F25" s="3" t="s">
        <v>14</v>
      </c>
      <c r="G25" s="5" t="s">
        <v>15</v>
      </c>
      <c r="H25" s="3" t="s">
        <v>86</v>
      </c>
    </row>
    <row r="26" spans="1:8">
      <c r="A26" s="3">
        <v>22</v>
      </c>
      <c r="B26" s="3" t="s">
        <v>81</v>
      </c>
      <c r="C26" s="3" t="s">
        <v>87</v>
      </c>
      <c r="D26" s="3" t="s">
        <v>88</v>
      </c>
      <c r="E26" s="10">
        <v>0.6</v>
      </c>
      <c r="F26" s="3" t="s">
        <v>14</v>
      </c>
      <c r="G26" s="5" t="s">
        <v>15</v>
      </c>
      <c r="H26" s="3" t="s">
        <v>89</v>
      </c>
    </row>
    <row r="27" spans="1:8">
      <c r="A27" s="3">
        <v>23</v>
      </c>
      <c r="B27" s="3" t="s">
        <v>81</v>
      </c>
      <c r="C27" s="3" t="s">
        <v>90</v>
      </c>
      <c r="D27" s="3" t="s">
        <v>91</v>
      </c>
      <c r="E27" s="10">
        <v>0.65</v>
      </c>
      <c r="F27" s="3" t="s">
        <v>14</v>
      </c>
      <c r="G27" s="5" t="s">
        <v>15</v>
      </c>
      <c r="H27" s="3" t="s">
        <v>92</v>
      </c>
    </row>
    <row r="28" spans="1:8">
      <c r="A28" s="3">
        <v>24</v>
      </c>
      <c r="B28" s="3" t="s">
        <v>81</v>
      </c>
      <c r="C28" s="3" t="s">
        <v>93</v>
      </c>
      <c r="D28" s="3" t="s">
        <v>94</v>
      </c>
      <c r="E28" s="10">
        <v>0.2</v>
      </c>
      <c r="F28" s="3" t="s">
        <v>14</v>
      </c>
      <c r="G28" s="5" t="s">
        <v>15</v>
      </c>
      <c r="H28" s="3" t="s">
        <v>95</v>
      </c>
    </row>
    <row r="29" spans="1:8">
      <c r="A29" s="3">
        <v>25</v>
      </c>
      <c r="B29" s="3" t="s">
        <v>81</v>
      </c>
      <c r="C29" s="3" t="s">
        <v>96</v>
      </c>
      <c r="D29" s="3" t="s">
        <v>97</v>
      </c>
      <c r="E29" s="10">
        <f>E27+E28</f>
        <v>0.85000000000000009</v>
      </c>
      <c r="F29" s="3" t="s">
        <v>14</v>
      </c>
      <c r="G29" s="6" t="s">
        <v>24</v>
      </c>
      <c r="H29" s="3" t="s">
        <v>98</v>
      </c>
    </row>
    <row r="30" spans="1:8">
      <c r="A30" s="3">
        <v>26</v>
      </c>
      <c r="B30" s="3" t="s">
        <v>81</v>
      </c>
      <c r="C30" s="3" t="s">
        <v>99</v>
      </c>
      <c r="D30" s="3" t="s">
        <v>100</v>
      </c>
      <c r="E30" s="10">
        <f>E25*E26*E27</f>
        <v>0.68250000000000011</v>
      </c>
      <c r="F30" s="3" t="s">
        <v>28</v>
      </c>
      <c r="G30" s="6" t="s">
        <v>24</v>
      </c>
      <c r="H30" s="3" t="s">
        <v>101</v>
      </c>
    </row>
    <row r="31" spans="1:8">
      <c r="A31" s="3">
        <v>27</v>
      </c>
      <c r="B31" s="3" t="s">
        <v>81</v>
      </c>
      <c r="C31" s="3" t="s">
        <v>99</v>
      </c>
      <c r="D31" s="3" t="s">
        <v>102</v>
      </c>
      <c r="E31" s="10">
        <f>E30*1000</f>
        <v>682.50000000000011</v>
      </c>
      <c r="F31" s="3" t="s">
        <v>31</v>
      </c>
      <c r="G31" s="6" t="s">
        <v>24</v>
      </c>
      <c r="H31" s="3" t="s">
        <v>32</v>
      </c>
    </row>
    <row r="32" spans="1:8">
      <c r="A32" s="3">
        <v>28</v>
      </c>
      <c r="B32" s="3" t="s">
        <v>81</v>
      </c>
      <c r="C32" s="3" t="s">
        <v>103</v>
      </c>
      <c r="D32" s="3" t="s">
        <v>104</v>
      </c>
      <c r="E32" s="10">
        <f>E25/E26</f>
        <v>2.916666666666667</v>
      </c>
      <c r="F32" s="3" t="s">
        <v>105</v>
      </c>
      <c r="G32" s="6" t="s">
        <v>24</v>
      </c>
      <c r="H32" s="3" t="s">
        <v>106</v>
      </c>
    </row>
    <row r="33" spans="1:8" ht="36" customHeight="1">
      <c r="A33" s="4"/>
      <c r="B33" s="4" t="s">
        <v>107</v>
      </c>
      <c r="C33" s="4" t="s">
        <v>108</v>
      </c>
      <c r="D33" s="4"/>
      <c r="E33" s="9"/>
      <c r="F33" s="4"/>
      <c r="G33" s="4" t="s">
        <v>10</v>
      </c>
      <c r="H33" s="4" t="s">
        <v>109</v>
      </c>
    </row>
    <row r="34" spans="1:8">
      <c r="A34" s="3">
        <v>29</v>
      </c>
      <c r="B34" s="3" t="s">
        <v>107</v>
      </c>
      <c r="C34" s="3" t="s">
        <v>110</v>
      </c>
      <c r="D34" s="3" t="s">
        <v>111</v>
      </c>
      <c r="E34" s="10">
        <f>E31/E21</f>
        <v>100.00000000000001</v>
      </c>
      <c r="F34" s="3" t="s">
        <v>112</v>
      </c>
      <c r="G34" s="6" t="s">
        <v>24</v>
      </c>
      <c r="H34" s="3" t="s">
        <v>113</v>
      </c>
    </row>
    <row r="35" spans="1:8">
      <c r="A35" s="3">
        <v>30</v>
      </c>
      <c r="B35" s="3" t="s">
        <v>107</v>
      </c>
      <c r="C35" s="3" t="s">
        <v>114</v>
      </c>
      <c r="D35" s="3" t="s">
        <v>115</v>
      </c>
      <c r="E35" s="10">
        <f>E31/E22</f>
        <v>50.000000000000007</v>
      </c>
      <c r="F35" s="3" t="s">
        <v>112</v>
      </c>
      <c r="G35" s="6" t="s">
        <v>24</v>
      </c>
      <c r="H35" s="3" t="s">
        <v>116</v>
      </c>
    </row>
    <row r="36" spans="1:8">
      <c r="A36" s="3">
        <v>31</v>
      </c>
      <c r="B36" s="3" t="s">
        <v>107</v>
      </c>
      <c r="C36" s="3" t="s">
        <v>117</v>
      </c>
      <c r="D36" s="3" t="s">
        <v>118</v>
      </c>
      <c r="E36" s="10">
        <f>E31/5</f>
        <v>136.50000000000003</v>
      </c>
      <c r="F36" s="3" t="s">
        <v>112</v>
      </c>
      <c r="G36" s="6" t="s">
        <v>24</v>
      </c>
      <c r="H36" s="3" t="s">
        <v>119</v>
      </c>
    </row>
    <row r="37" spans="1:8">
      <c r="A37" s="3">
        <v>32</v>
      </c>
      <c r="B37" s="3" t="s">
        <v>107</v>
      </c>
      <c r="C37" s="3" t="s">
        <v>120</v>
      </c>
      <c r="D37" s="3" t="s">
        <v>121</v>
      </c>
      <c r="E37" s="10">
        <f>E31/10</f>
        <v>68.250000000000014</v>
      </c>
      <c r="F37" s="3" t="s">
        <v>112</v>
      </c>
      <c r="G37" s="6" t="s">
        <v>24</v>
      </c>
      <c r="H37" s="3" t="s">
        <v>122</v>
      </c>
    </row>
    <row r="38" spans="1:8">
      <c r="A38" s="3">
        <v>33</v>
      </c>
      <c r="B38" s="3" t="s">
        <v>107</v>
      </c>
      <c r="C38" s="3" t="s">
        <v>123</v>
      </c>
      <c r="D38" s="3" t="s">
        <v>124</v>
      </c>
      <c r="E38" s="10">
        <f>E31/15</f>
        <v>45.500000000000007</v>
      </c>
      <c r="F38" s="3" t="s">
        <v>112</v>
      </c>
      <c r="G38" s="6" t="s">
        <v>24</v>
      </c>
      <c r="H38" s="3" t="s">
        <v>125</v>
      </c>
    </row>
    <row r="39" spans="1:8" ht="39" customHeight="1">
      <c r="A39" s="4"/>
      <c r="B39" s="4" t="s">
        <v>126</v>
      </c>
      <c r="C39" s="4" t="s">
        <v>127</v>
      </c>
      <c r="D39" s="4"/>
      <c r="E39" s="9"/>
      <c r="F39" s="4"/>
      <c r="G39" s="4" t="s">
        <v>10</v>
      </c>
      <c r="H39" s="4" t="s">
        <v>128</v>
      </c>
    </row>
    <row r="40" spans="1:8">
      <c r="A40" s="3">
        <v>34</v>
      </c>
      <c r="B40" s="3" t="s">
        <v>126</v>
      </c>
      <c r="C40" s="3" t="s">
        <v>129</v>
      </c>
      <c r="D40" s="3" t="s">
        <v>130</v>
      </c>
      <c r="E40" s="10">
        <v>1</v>
      </c>
      <c r="F40" s="3" t="s">
        <v>131</v>
      </c>
      <c r="G40" s="5" t="s">
        <v>15</v>
      </c>
      <c r="H40" s="3" t="s">
        <v>16</v>
      </c>
    </row>
    <row r="41" spans="1:8">
      <c r="A41" s="3">
        <v>35</v>
      </c>
      <c r="B41" s="3" t="s">
        <v>126</v>
      </c>
      <c r="C41" s="3" t="s">
        <v>132</v>
      </c>
      <c r="D41" s="3" t="s">
        <v>133</v>
      </c>
      <c r="E41" s="10">
        <v>1.5</v>
      </c>
      <c r="F41" s="3" t="s">
        <v>131</v>
      </c>
      <c r="G41" s="5" t="s">
        <v>15</v>
      </c>
      <c r="H41" s="3" t="s">
        <v>16</v>
      </c>
    </row>
    <row r="42" spans="1:8">
      <c r="A42" s="3">
        <v>36</v>
      </c>
      <c r="B42" s="3" t="s">
        <v>126</v>
      </c>
      <c r="C42" s="3" t="s">
        <v>134</v>
      </c>
      <c r="D42" s="3" t="s">
        <v>135</v>
      </c>
      <c r="E42" s="10">
        <v>1.5</v>
      </c>
      <c r="F42" s="3" t="s">
        <v>131</v>
      </c>
      <c r="G42" s="5" t="s">
        <v>15</v>
      </c>
      <c r="H42" s="3" t="s">
        <v>16</v>
      </c>
    </row>
    <row r="43" spans="1:8">
      <c r="A43" s="3">
        <v>37</v>
      </c>
      <c r="B43" s="3" t="s">
        <v>126</v>
      </c>
      <c r="C43" s="3" t="s">
        <v>136</v>
      </c>
      <c r="D43" s="3" t="s">
        <v>137</v>
      </c>
      <c r="E43" s="10">
        <v>20</v>
      </c>
      <c r="F43" s="3" t="s">
        <v>138</v>
      </c>
      <c r="G43" s="5" t="s">
        <v>15</v>
      </c>
      <c r="H43" s="3" t="s">
        <v>139</v>
      </c>
    </row>
    <row r="44" spans="1:8">
      <c r="A44" s="3">
        <v>38</v>
      </c>
      <c r="B44" s="3" t="s">
        <v>126</v>
      </c>
      <c r="C44" s="3" t="s">
        <v>140</v>
      </c>
      <c r="D44" s="3" t="s">
        <v>141</v>
      </c>
      <c r="E44" s="10">
        <v>25</v>
      </c>
      <c r="F44" s="3" t="s">
        <v>138</v>
      </c>
      <c r="G44" s="5" t="s">
        <v>15</v>
      </c>
      <c r="H44" s="3" t="s">
        <v>142</v>
      </c>
    </row>
    <row r="45" spans="1:8">
      <c r="A45" s="3">
        <v>39</v>
      </c>
      <c r="B45" s="3" t="s">
        <v>126</v>
      </c>
      <c r="C45" s="3" t="s">
        <v>143</v>
      </c>
      <c r="D45" s="3" t="s">
        <v>144</v>
      </c>
      <c r="E45" s="10">
        <v>105</v>
      </c>
      <c r="F45" s="3" t="s">
        <v>138</v>
      </c>
      <c r="G45" s="5" t="s">
        <v>15</v>
      </c>
      <c r="H45" s="3" t="s">
        <v>145</v>
      </c>
    </row>
    <row r="46" spans="1:8">
      <c r="A46" s="3">
        <v>40</v>
      </c>
      <c r="B46" s="3" t="s">
        <v>126</v>
      </c>
      <c r="C46" s="3" t="s">
        <v>146</v>
      </c>
      <c r="D46" s="3" t="s">
        <v>147</v>
      </c>
      <c r="E46" s="10">
        <v>15</v>
      </c>
      <c r="F46" s="3" t="s">
        <v>138</v>
      </c>
      <c r="G46" s="5" t="s">
        <v>15</v>
      </c>
      <c r="H46" s="3" t="s">
        <v>148</v>
      </c>
    </row>
    <row r="47" spans="1:8">
      <c r="A47" s="3">
        <v>41</v>
      </c>
      <c r="B47" s="3" t="s">
        <v>126</v>
      </c>
      <c r="C47" s="3" t="s">
        <v>149</v>
      </c>
      <c r="D47" s="3" t="s">
        <v>150</v>
      </c>
      <c r="E47" s="10">
        <v>10</v>
      </c>
      <c r="F47" s="3" t="s">
        <v>138</v>
      </c>
      <c r="G47" s="5" t="s">
        <v>15</v>
      </c>
      <c r="H47" s="3" t="s">
        <v>151</v>
      </c>
    </row>
    <row r="48" spans="1:8">
      <c r="A48" s="3">
        <v>42</v>
      </c>
      <c r="B48" s="3" t="s">
        <v>126</v>
      </c>
      <c r="C48" s="3" t="s">
        <v>152</v>
      </c>
      <c r="D48" s="3" t="s">
        <v>153</v>
      </c>
      <c r="E48" s="10">
        <f>E43+E44+E45+E46+E47</f>
        <v>175</v>
      </c>
      <c r="F48" s="3" t="s">
        <v>138</v>
      </c>
      <c r="G48" s="6" t="s">
        <v>24</v>
      </c>
      <c r="H48" s="3" t="s">
        <v>154</v>
      </c>
    </row>
    <row r="49" spans="1:8">
      <c r="A49" s="3">
        <v>43</v>
      </c>
      <c r="B49" s="3" t="s">
        <v>126</v>
      </c>
      <c r="C49" s="3" t="s">
        <v>155</v>
      </c>
      <c r="D49" s="3" t="s">
        <v>156</v>
      </c>
      <c r="E49" s="10">
        <f>E43</f>
        <v>20</v>
      </c>
      <c r="F49" s="3" t="s">
        <v>138</v>
      </c>
      <c r="G49" s="6" t="s">
        <v>24</v>
      </c>
      <c r="H49" s="3" t="s">
        <v>157</v>
      </c>
    </row>
    <row r="50" spans="1:8">
      <c r="A50" s="3">
        <v>44</v>
      </c>
      <c r="B50" s="3" t="s">
        <v>126</v>
      </c>
      <c r="C50" s="3" t="s">
        <v>158</v>
      </c>
      <c r="D50" s="3" t="s">
        <v>159</v>
      </c>
      <c r="E50" s="10">
        <f>E43+E44</f>
        <v>45</v>
      </c>
      <c r="F50" s="3" t="s">
        <v>138</v>
      </c>
      <c r="G50" s="6" t="s">
        <v>24</v>
      </c>
      <c r="H50" s="3" t="s">
        <v>160</v>
      </c>
    </row>
    <row r="51" spans="1:8">
      <c r="A51" s="3">
        <v>45</v>
      </c>
      <c r="B51" s="3" t="s">
        <v>126</v>
      </c>
      <c r="C51" s="3" t="s">
        <v>161</v>
      </c>
      <c r="D51" s="3" t="s">
        <v>162</v>
      </c>
      <c r="E51" s="10">
        <f>E43+E44+E45</f>
        <v>150</v>
      </c>
      <c r="F51" s="3" t="s">
        <v>138</v>
      </c>
      <c r="G51" s="6" t="s">
        <v>24</v>
      </c>
      <c r="H51" s="3" t="s">
        <v>163</v>
      </c>
    </row>
    <row r="52" spans="1:8">
      <c r="A52" s="3">
        <v>46</v>
      </c>
      <c r="B52" s="3" t="s">
        <v>126</v>
      </c>
      <c r="C52" s="3" t="s">
        <v>164</v>
      </c>
      <c r="D52" s="3" t="s">
        <v>165</v>
      </c>
      <c r="E52" s="10">
        <f>E51+E46</f>
        <v>165</v>
      </c>
      <c r="F52" s="3" t="s">
        <v>138</v>
      </c>
      <c r="G52" s="6" t="s">
        <v>24</v>
      </c>
      <c r="H52" s="3" t="s">
        <v>166</v>
      </c>
    </row>
    <row r="53" spans="1:8">
      <c r="A53" s="3">
        <v>47</v>
      </c>
      <c r="B53" s="3" t="s">
        <v>126</v>
      </c>
      <c r="C53" s="3" t="s">
        <v>167</v>
      </c>
      <c r="D53" s="3" t="s">
        <v>168</v>
      </c>
      <c r="E53" s="10">
        <f>E52+E47</f>
        <v>175</v>
      </c>
      <c r="F53" s="3" t="s">
        <v>138</v>
      </c>
      <c r="G53" s="6" t="s">
        <v>24</v>
      </c>
      <c r="H53" s="3" t="s">
        <v>169</v>
      </c>
    </row>
    <row r="54" spans="1:8" ht="42" customHeight="1">
      <c r="A54" s="4"/>
      <c r="B54" s="4" t="s">
        <v>170</v>
      </c>
      <c r="C54" s="4" t="s">
        <v>171</v>
      </c>
      <c r="D54" s="4"/>
      <c r="E54" s="9"/>
      <c r="F54" s="4"/>
      <c r="G54" s="4" t="s">
        <v>10</v>
      </c>
      <c r="H54" s="4" t="s">
        <v>172</v>
      </c>
    </row>
    <row r="55" spans="1:8" ht="28.5">
      <c r="A55" s="3">
        <v>48</v>
      </c>
      <c r="B55" s="3" t="s">
        <v>170</v>
      </c>
      <c r="C55" s="3" t="s">
        <v>173</v>
      </c>
      <c r="D55" s="3" t="s">
        <v>174</v>
      </c>
      <c r="E55" s="10">
        <v>2.5999999999999999E-2</v>
      </c>
      <c r="F55" s="3" t="s">
        <v>14</v>
      </c>
      <c r="G55" s="5" t="s">
        <v>15</v>
      </c>
      <c r="H55" s="3" t="s">
        <v>175</v>
      </c>
    </row>
    <row r="56" spans="1:8">
      <c r="A56" s="3">
        <v>49</v>
      </c>
      <c r="B56" s="3" t="s">
        <v>170</v>
      </c>
      <c r="C56" s="3" t="s">
        <v>176</v>
      </c>
      <c r="D56" s="3" t="s">
        <v>177</v>
      </c>
      <c r="E56" s="10">
        <f>PI()*E55^2/4</f>
        <v>5.3092915845667494E-4</v>
      </c>
      <c r="F56" s="3" t="s">
        <v>23</v>
      </c>
      <c r="G56" s="6" t="s">
        <v>24</v>
      </c>
      <c r="H56" s="3" t="s">
        <v>178</v>
      </c>
    </row>
    <row r="57" spans="1:8">
      <c r="A57" s="3">
        <v>50</v>
      </c>
      <c r="B57" s="3" t="s">
        <v>170</v>
      </c>
      <c r="C57" s="3" t="s">
        <v>179</v>
      </c>
      <c r="D57" s="3" t="s">
        <v>180</v>
      </c>
      <c r="E57" s="10">
        <v>10</v>
      </c>
      <c r="F57" s="3" t="s">
        <v>181</v>
      </c>
      <c r="G57" s="5" t="s">
        <v>15</v>
      </c>
      <c r="H57" s="3" t="s">
        <v>182</v>
      </c>
    </row>
    <row r="58" spans="1:8">
      <c r="A58" s="3">
        <v>51</v>
      </c>
      <c r="B58" s="3" t="s">
        <v>170</v>
      </c>
      <c r="C58" s="3" t="s">
        <v>183</v>
      </c>
      <c r="D58" s="3" t="s">
        <v>184</v>
      </c>
      <c r="E58" s="10">
        <v>0.01</v>
      </c>
      <c r="F58" s="3" t="s">
        <v>14</v>
      </c>
      <c r="G58" s="5" t="s">
        <v>15</v>
      </c>
      <c r="H58" s="3" t="s">
        <v>185</v>
      </c>
    </row>
    <row r="59" spans="1:8">
      <c r="A59" s="3">
        <v>52</v>
      </c>
      <c r="B59" s="3" t="s">
        <v>170</v>
      </c>
      <c r="C59" s="3" t="s">
        <v>186</v>
      </c>
      <c r="D59" s="3" t="s">
        <v>187</v>
      </c>
      <c r="E59" s="10">
        <v>0.03</v>
      </c>
      <c r="F59" s="3" t="s">
        <v>14</v>
      </c>
      <c r="G59" s="5" t="s">
        <v>15</v>
      </c>
      <c r="H59" s="3" t="s">
        <v>188</v>
      </c>
    </row>
    <row r="60" spans="1:8">
      <c r="A60" s="3">
        <v>53</v>
      </c>
      <c r="B60" s="3" t="s">
        <v>170</v>
      </c>
      <c r="C60" s="3" t="s">
        <v>189</v>
      </c>
      <c r="D60" s="3" t="s">
        <v>190</v>
      </c>
      <c r="E60" s="10">
        <f>E58*E59</f>
        <v>2.9999999999999997E-4</v>
      </c>
      <c r="F60" s="3" t="s">
        <v>23</v>
      </c>
      <c r="G60" s="6" t="s">
        <v>24</v>
      </c>
      <c r="H60" s="3" t="s">
        <v>191</v>
      </c>
    </row>
    <row r="61" spans="1:8">
      <c r="A61" s="3">
        <v>54</v>
      </c>
      <c r="B61" s="3" t="s">
        <v>170</v>
      </c>
      <c r="C61" s="3" t="s">
        <v>192</v>
      </c>
      <c r="D61" s="3" t="s">
        <v>193</v>
      </c>
      <c r="E61" s="10">
        <f>E57*E60</f>
        <v>2.9999999999999996E-3</v>
      </c>
      <c r="F61" s="3" t="s">
        <v>23</v>
      </c>
      <c r="G61" s="6" t="s">
        <v>24</v>
      </c>
      <c r="H61" s="3" t="s">
        <v>194</v>
      </c>
    </row>
    <row r="62" spans="1:8">
      <c r="A62" s="3">
        <v>55</v>
      </c>
      <c r="B62" s="3" t="s">
        <v>170</v>
      </c>
      <c r="C62" s="3" t="s">
        <v>195</v>
      </c>
      <c r="D62" s="3" t="s">
        <v>196</v>
      </c>
      <c r="E62" s="10">
        <f>E61/E56</f>
        <v>5.650471352374983</v>
      </c>
      <c r="F62" s="3" t="s">
        <v>105</v>
      </c>
      <c r="G62" s="6" t="s">
        <v>24</v>
      </c>
      <c r="H62" s="3" t="s">
        <v>197</v>
      </c>
    </row>
    <row r="63" spans="1:8">
      <c r="A63" s="3">
        <v>56</v>
      </c>
      <c r="B63" s="3" t="s">
        <v>170</v>
      </c>
      <c r="C63" s="3" t="s">
        <v>198</v>
      </c>
      <c r="D63" s="3" t="s">
        <v>199</v>
      </c>
      <c r="E63" s="10">
        <v>0.08</v>
      </c>
      <c r="F63" s="3" t="s">
        <v>200</v>
      </c>
      <c r="G63" s="5" t="s">
        <v>15</v>
      </c>
      <c r="H63" s="3" t="s">
        <v>201</v>
      </c>
    </row>
    <row r="64" spans="1:8">
      <c r="A64" s="3">
        <v>57</v>
      </c>
      <c r="B64" s="3" t="s">
        <v>170</v>
      </c>
      <c r="C64" s="3" t="s">
        <v>202</v>
      </c>
      <c r="D64" s="3" t="s">
        <v>203</v>
      </c>
      <c r="E64" s="10">
        <f>E23/E63</f>
        <v>2.8437499999999999E-3</v>
      </c>
      <c r="F64" s="3" t="s">
        <v>23</v>
      </c>
      <c r="G64" s="6" t="s">
        <v>24</v>
      </c>
      <c r="H64" s="3" t="s">
        <v>204</v>
      </c>
    </row>
    <row r="65" spans="1:8">
      <c r="A65" s="3">
        <v>58</v>
      </c>
      <c r="B65" s="3" t="s">
        <v>170</v>
      </c>
      <c r="C65" s="3" t="s">
        <v>205</v>
      </c>
      <c r="D65" s="3" t="s">
        <v>206</v>
      </c>
      <c r="E65" s="10">
        <f>(E21/1000/60)/E61</f>
        <v>3.7916666666666668E-2</v>
      </c>
      <c r="F65" s="3" t="s">
        <v>200</v>
      </c>
      <c r="G65" s="6" t="s">
        <v>24</v>
      </c>
      <c r="H65" s="3" t="s">
        <v>113</v>
      </c>
    </row>
    <row r="66" spans="1:8">
      <c r="A66" s="3">
        <v>59</v>
      </c>
      <c r="B66" s="3" t="s">
        <v>170</v>
      </c>
      <c r="C66" s="3" t="s">
        <v>207</v>
      </c>
      <c r="D66" s="3" t="s">
        <v>208</v>
      </c>
      <c r="E66" s="10">
        <f>E23/E61</f>
        <v>7.5833333333333336E-2</v>
      </c>
      <c r="F66" s="3" t="s">
        <v>200</v>
      </c>
      <c r="G66" s="6" t="s">
        <v>24</v>
      </c>
      <c r="H66" s="3" t="s">
        <v>116</v>
      </c>
    </row>
    <row r="67" spans="1:8" ht="28.5">
      <c r="A67" s="3">
        <v>60</v>
      </c>
      <c r="B67" s="3" t="s">
        <v>170</v>
      </c>
      <c r="C67" s="3" t="s">
        <v>209</v>
      </c>
      <c r="D67" s="3" t="s">
        <v>210</v>
      </c>
      <c r="E67" s="10" t="s">
        <v>211</v>
      </c>
      <c r="F67" s="3" t="s">
        <v>105</v>
      </c>
      <c r="G67" s="5" t="s">
        <v>15</v>
      </c>
      <c r="H67" s="3" t="s">
        <v>212</v>
      </c>
    </row>
    <row r="68" spans="1:8">
      <c r="A68" s="3">
        <v>61</v>
      </c>
      <c r="B68" s="3" t="s">
        <v>170</v>
      </c>
      <c r="C68" s="3" t="s">
        <v>213</v>
      </c>
      <c r="D68" s="3" t="s">
        <v>214</v>
      </c>
      <c r="E68" s="10">
        <v>75</v>
      </c>
      <c r="F68" s="3" t="s">
        <v>138</v>
      </c>
      <c r="G68" s="5" t="s">
        <v>15</v>
      </c>
      <c r="H68" s="3" t="s">
        <v>215</v>
      </c>
    </row>
    <row r="69" spans="1:8">
      <c r="A69" s="3">
        <v>62</v>
      </c>
      <c r="B69" s="3" t="s">
        <v>170</v>
      </c>
      <c r="C69" s="3" t="s">
        <v>216</v>
      </c>
      <c r="D69" s="3" t="s">
        <v>217</v>
      </c>
      <c r="E69" s="10">
        <f>E68-(E27*100)</f>
        <v>10</v>
      </c>
      <c r="F69" s="3" t="s">
        <v>138</v>
      </c>
      <c r="G69" s="6" t="s">
        <v>24</v>
      </c>
      <c r="H69" s="3" t="s">
        <v>218</v>
      </c>
    </row>
    <row r="70" spans="1:8" ht="26.1" customHeight="1">
      <c r="A70" s="4"/>
      <c r="B70" s="4" t="s">
        <v>219</v>
      </c>
      <c r="C70" s="4" t="s">
        <v>220</v>
      </c>
      <c r="D70" s="4"/>
      <c r="E70" s="9"/>
      <c r="F70" s="4"/>
      <c r="G70" s="4" t="s">
        <v>10</v>
      </c>
      <c r="H70" s="4" t="s">
        <v>221</v>
      </c>
    </row>
    <row r="71" spans="1:8">
      <c r="A71" s="3">
        <v>63</v>
      </c>
      <c r="B71" s="3" t="s">
        <v>219</v>
      </c>
      <c r="C71" s="3" t="s">
        <v>222</v>
      </c>
      <c r="D71" s="3" t="s">
        <v>223</v>
      </c>
      <c r="E71" s="10">
        <f>E27*100</f>
        <v>65</v>
      </c>
      <c r="F71" s="3" t="s">
        <v>138</v>
      </c>
      <c r="G71" s="6" t="s">
        <v>24</v>
      </c>
      <c r="H71" s="3" t="s">
        <v>224</v>
      </c>
    </row>
    <row r="72" spans="1:8">
      <c r="A72" s="3">
        <v>64</v>
      </c>
      <c r="B72" s="3" t="s">
        <v>219</v>
      </c>
      <c r="C72" s="3" t="s">
        <v>225</v>
      </c>
      <c r="D72" s="3" t="s">
        <v>226</v>
      </c>
      <c r="E72" s="10">
        <v>30</v>
      </c>
      <c r="F72" s="3" t="s">
        <v>138</v>
      </c>
      <c r="G72" s="5" t="s">
        <v>15</v>
      </c>
      <c r="H72" s="3" t="s">
        <v>16</v>
      </c>
    </row>
    <row r="73" spans="1:8">
      <c r="A73" s="3">
        <v>65</v>
      </c>
      <c r="B73" s="3" t="s">
        <v>219</v>
      </c>
      <c r="C73" s="3" t="s">
        <v>227</v>
      </c>
      <c r="D73" s="3" t="s">
        <v>228</v>
      </c>
      <c r="E73" s="10">
        <f>E71-E72</f>
        <v>35</v>
      </c>
      <c r="F73" s="3" t="s">
        <v>138</v>
      </c>
      <c r="G73" s="6" t="s">
        <v>24</v>
      </c>
      <c r="H73" s="3" t="s">
        <v>229</v>
      </c>
    </row>
    <row r="74" spans="1:8">
      <c r="A74" s="3">
        <v>66</v>
      </c>
      <c r="B74" s="3" t="s">
        <v>219</v>
      </c>
      <c r="C74" s="3" t="s">
        <v>146</v>
      </c>
      <c r="D74" s="3" t="s">
        <v>230</v>
      </c>
      <c r="E74" s="10">
        <f>E46</f>
        <v>15</v>
      </c>
      <c r="F74" s="3" t="s">
        <v>138</v>
      </c>
      <c r="G74" s="6" t="s">
        <v>24</v>
      </c>
      <c r="H74" s="3" t="s">
        <v>231</v>
      </c>
    </row>
    <row r="75" spans="1:8" ht="26.1" customHeight="1">
      <c r="A75" s="4"/>
      <c r="B75" s="4" t="s">
        <v>232</v>
      </c>
      <c r="C75" s="4" t="s">
        <v>233</v>
      </c>
      <c r="D75" s="4"/>
      <c r="E75" s="9"/>
      <c r="F75" s="4"/>
      <c r="G75" s="4" t="s">
        <v>10</v>
      </c>
      <c r="H75" s="4" t="s">
        <v>234</v>
      </c>
    </row>
    <row r="76" spans="1:8">
      <c r="A76" s="3">
        <v>67</v>
      </c>
      <c r="B76" s="3" t="s">
        <v>232</v>
      </c>
      <c r="C76" s="3" t="s">
        <v>235</v>
      </c>
      <c r="D76" s="3" t="s">
        <v>236</v>
      </c>
      <c r="E76" s="10">
        <v>0.02</v>
      </c>
      <c r="F76" s="3" t="s">
        <v>237</v>
      </c>
      <c r="G76" s="5" t="s">
        <v>15</v>
      </c>
      <c r="H76" s="3" t="s">
        <v>238</v>
      </c>
    </row>
    <row r="77" spans="1:8">
      <c r="A77" s="3">
        <v>68</v>
      </c>
      <c r="B77" s="3" t="s">
        <v>232</v>
      </c>
      <c r="C77" s="3" t="s">
        <v>239</v>
      </c>
      <c r="D77" s="3" t="s">
        <v>240</v>
      </c>
      <c r="E77" s="10">
        <v>0.03</v>
      </c>
      <c r="F77" s="3" t="s">
        <v>237</v>
      </c>
      <c r="G77" s="5" t="s">
        <v>15</v>
      </c>
      <c r="H77" s="3" t="s">
        <v>241</v>
      </c>
    </row>
    <row r="78" spans="1:8">
      <c r="A78" s="3">
        <v>69</v>
      </c>
      <c r="B78" s="3" t="s">
        <v>232</v>
      </c>
      <c r="C78" s="3" t="s">
        <v>242</v>
      </c>
      <c r="D78" s="3" t="s">
        <v>243</v>
      </c>
      <c r="E78" s="10">
        <f>E76*E25*100</f>
        <v>3.5000000000000004</v>
      </c>
      <c r="F78" s="3" t="s">
        <v>138</v>
      </c>
      <c r="G78" s="6" t="s">
        <v>24</v>
      </c>
      <c r="H78" s="3" t="s">
        <v>244</v>
      </c>
    </row>
    <row r="79" spans="1:8">
      <c r="A79" s="3">
        <v>70</v>
      </c>
      <c r="B79" s="3" t="s">
        <v>232</v>
      </c>
      <c r="C79" s="3" t="s">
        <v>245</v>
      </c>
      <c r="D79" s="3" t="s">
        <v>246</v>
      </c>
      <c r="E79" s="10">
        <f>E77*E25*100</f>
        <v>5.25</v>
      </c>
      <c r="F79" s="3" t="s">
        <v>138</v>
      </c>
      <c r="G79" s="6" t="s">
        <v>24</v>
      </c>
      <c r="H79" s="3" t="s">
        <v>244</v>
      </c>
    </row>
    <row r="80" spans="1:8" ht="39" customHeight="1">
      <c r="A80" s="4"/>
      <c r="B80" s="4" t="s">
        <v>247</v>
      </c>
      <c r="C80" s="4" t="s">
        <v>248</v>
      </c>
      <c r="D80" s="4"/>
      <c r="E80" s="9"/>
      <c r="F80" s="4"/>
      <c r="G80" s="4" t="s">
        <v>10</v>
      </c>
      <c r="H80" s="4" t="s">
        <v>249</v>
      </c>
    </row>
    <row r="81" spans="1:8">
      <c r="A81" s="3">
        <v>71</v>
      </c>
      <c r="B81" s="3" t="s">
        <v>247</v>
      </c>
      <c r="C81" s="3" t="s">
        <v>250</v>
      </c>
      <c r="D81" s="3" t="s">
        <v>251</v>
      </c>
      <c r="E81" s="10">
        <v>1</v>
      </c>
      <c r="F81" s="3" t="s">
        <v>237</v>
      </c>
      <c r="G81" s="5" t="s">
        <v>15</v>
      </c>
      <c r="H81" s="3" t="s">
        <v>252</v>
      </c>
    </row>
    <row r="82" spans="1:8">
      <c r="A82" s="3">
        <v>72</v>
      </c>
      <c r="B82" s="3" t="s">
        <v>247</v>
      </c>
      <c r="C82" s="3" t="s">
        <v>253</v>
      </c>
      <c r="D82" s="3" t="s">
        <v>254</v>
      </c>
      <c r="E82" s="10">
        <f>E16*E81</f>
        <v>409.5</v>
      </c>
      <c r="F82" s="3" t="s">
        <v>51</v>
      </c>
      <c r="G82" s="6" t="s">
        <v>24</v>
      </c>
      <c r="H82" s="3" t="s">
        <v>255</v>
      </c>
    </row>
    <row r="83" spans="1:8">
      <c r="A83" s="3">
        <v>73</v>
      </c>
      <c r="B83" s="3" t="s">
        <v>247</v>
      </c>
      <c r="C83" s="3" t="s">
        <v>256</v>
      </c>
      <c r="D83" s="3" t="s">
        <v>257</v>
      </c>
      <c r="E83" s="10">
        <f>E17*E81</f>
        <v>819</v>
      </c>
      <c r="F83" s="3" t="s">
        <v>51</v>
      </c>
      <c r="G83" s="6" t="s">
        <v>24</v>
      </c>
      <c r="H83" s="3" t="s">
        <v>258</v>
      </c>
    </row>
    <row r="84" spans="1:8">
      <c r="A84" s="3">
        <v>74</v>
      </c>
      <c r="B84" s="3" t="s">
        <v>247</v>
      </c>
      <c r="C84" s="3" t="s">
        <v>253</v>
      </c>
      <c r="D84" s="3" t="s">
        <v>259</v>
      </c>
      <c r="E84" s="10">
        <f>E82/1000</f>
        <v>0.40949999999999998</v>
      </c>
      <c r="F84" s="3" t="s">
        <v>260</v>
      </c>
      <c r="G84" s="6" t="s">
        <v>24</v>
      </c>
      <c r="H84" s="3" t="s">
        <v>261</v>
      </c>
    </row>
    <row r="85" spans="1:8">
      <c r="A85" s="3">
        <v>75</v>
      </c>
      <c r="B85" s="3" t="s">
        <v>247</v>
      </c>
      <c r="C85" s="3" t="s">
        <v>256</v>
      </c>
      <c r="D85" s="3" t="s">
        <v>262</v>
      </c>
      <c r="E85" s="10">
        <f>E83/1000</f>
        <v>0.81899999999999995</v>
      </c>
      <c r="F85" s="3" t="s">
        <v>260</v>
      </c>
      <c r="G85" s="6" t="s">
        <v>24</v>
      </c>
      <c r="H85" s="3" t="s">
        <v>261</v>
      </c>
    </row>
    <row r="86" spans="1:8">
      <c r="A86" s="3">
        <v>76</v>
      </c>
      <c r="B86" s="3" t="s">
        <v>247</v>
      </c>
      <c r="C86" s="3" t="s">
        <v>263</v>
      </c>
      <c r="D86" s="3" t="s">
        <v>264</v>
      </c>
      <c r="E86" s="10">
        <f>E83/E82</f>
        <v>2</v>
      </c>
      <c r="F86" s="3" t="s">
        <v>105</v>
      </c>
      <c r="G86" s="6" t="s">
        <v>24</v>
      </c>
      <c r="H86" s="3" t="s">
        <v>265</v>
      </c>
    </row>
    <row r="87" spans="1:8" ht="26.1" customHeight="1">
      <c r="A87" s="4"/>
      <c r="B87" s="4" t="s">
        <v>266</v>
      </c>
      <c r="C87" s="4" t="s">
        <v>267</v>
      </c>
      <c r="D87" s="4"/>
      <c r="E87" s="9"/>
      <c r="F87" s="4"/>
      <c r="G87" s="4" t="s">
        <v>10</v>
      </c>
      <c r="H87" s="4" t="s">
        <v>268</v>
      </c>
    </row>
    <row r="88" spans="1:8">
      <c r="A88" s="3">
        <v>77</v>
      </c>
      <c r="B88" s="3" t="s">
        <v>266</v>
      </c>
      <c r="C88" s="3" t="s">
        <v>269</v>
      </c>
      <c r="D88" s="3" t="s">
        <v>270</v>
      </c>
      <c r="E88" s="10">
        <v>500</v>
      </c>
      <c r="F88" s="3" t="s">
        <v>31</v>
      </c>
      <c r="G88" s="5" t="s">
        <v>15</v>
      </c>
      <c r="H88" s="3" t="s">
        <v>271</v>
      </c>
    </row>
    <row r="89" spans="1:8">
      <c r="A89" s="3">
        <v>78</v>
      </c>
      <c r="B89" s="3" t="s">
        <v>266</v>
      </c>
      <c r="C89" s="3" t="s">
        <v>272</v>
      </c>
      <c r="D89" s="3" t="s">
        <v>273</v>
      </c>
      <c r="E89" s="10">
        <f>E88/E82</f>
        <v>1.2210012210012211</v>
      </c>
      <c r="F89" s="3" t="s">
        <v>274</v>
      </c>
      <c r="G89" s="6" t="s">
        <v>24</v>
      </c>
      <c r="H89" s="3" t="s">
        <v>275</v>
      </c>
    </row>
    <row r="90" spans="1:8">
      <c r="A90" s="3">
        <v>79</v>
      </c>
      <c r="B90" s="3" t="s">
        <v>266</v>
      </c>
      <c r="C90" s="3" t="s">
        <v>276</v>
      </c>
      <c r="D90" s="3" t="s">
        <v>277</v>
      </c>
      <c r="E90" s="10">
        <f>E88/E83</f>
        <v>0.61050061050061055</v>
      </c>
      <c r="F90" s="3" t="s">
        <v>274</v>
      </c>
      <c r="G90" s="6" t="s">
        <v>24</v>
      </c>
      <c r="H90" s="3" t="s">
        <v>278</v>
      </c>
    </row>
    <row r="91" spans="1:8">
      <c r="A91" s="3">
        <v>80</v>
      </c>
      <c r="B91" s="3" t="s">
        <v>266</v>
      </c>
      <c r="C91" s="3" t="s">
        <v>276</v>
      </c>
      <c r="D91" s="3" t="s">
        <v>279</v>
      </c>
      <c r="E91" s="10">
        <f>E90*24</f>
        <v>14.652014652014653</v>
      </c>
      <c r="F91" s="3" t="s">
        <v>280</v>
      </c>
      <c r="G91" s="6" t="s">
        <v>24</v>
      </c>
      <c r="H91" s="3" t="s">
        <v>281</v>
      </c>
    </row>
    <row r="92" spans="1:8">
      <c r="A92" s="3">
        <v>81</v>
      </c>
      <c r="B92" s="3" t="s">
        <v>266</v>
      </c>
      <c r="C92" s="3" t="s">
        <v>282</v>
      </c>
      <c r="D92" s="3" t="s">
        <v>283</v>
      </c>
      <c r="E92" s="10" t="s">
        <v>284</v>
      </c>
      <c r="F92" s="3" t="s">
        <v>105</v>
      </c>
      <c r="G92" s="5" t="s">
        <v>15</v>
      </c>
      <c r="H92" s="3" t="s">
        <v>285</v>
      </c>
    </row>
    <row r="93" spans="1:8" ht="28.5">
      <c r="A93" s="3">
        <v>82</v>
      </c>
      <c r="B93" s="3" t="s">
        <v>266</v>
      </c>
      <c r="C93" s="3" t="s">
        <v>286</v>
      </c>
      <c r="D93" s="3" t="s">
        <v>287</v>
      </c>
      <c r="E93" s="10" t="s">
        <v>288</v>
      </c>
      <c r="F93" s="3" t="s">
        <v>105</v>
      </c>
      <c r="G93" s="5" t="s">
        <v>15</v>
      </c>
      <c r="H93" s="3" t="s">
        <v>289</v>
      </c>
    </row>
    <row r="94" spans="1:8">
      <c r="A94" s="3">
        <v>83</v>
      </c>
      <c r="B94" s="3" t="s">
        <v>266</v>
      </c>
      <c r="C94" s="3" t="s">
        <v>290</v>
      </c>
      <c r="D94" s="3" t="s">
        <v>291</v>
      </c>
      <c r="E94" s="10" t="s">
        <v>292</v>
      </c>
      <c r="F94" s="3" t="s">
        <v>105</v>
      </c>
      <c r="G94" s="5" t="s">
        <v>15</v>
      </c>
      <c r="H94" s="3" t="s">
        <v>293</v>
      </c>
    </row>
    <row r="95" spans="1:8" ht="26.1" customHeight="1">
      <c r="A95" s="4"/>
      <c r="B95" s="4" t="s">
        <v>294</v>
      </c>
      <c r="C95" s="4" t="s">
        <v>295</v>
      </c>
      <c r="D95" s="4"/>
      <c r="E95" s="9"/>
      <c r="F95" s="4"/>
      <c r="G95" s="4" t="s">
        <v>10</v>
      </c>
      <c r="H95" s="4" t="s">
        <v>296</v>
      </c>
    </row>
    <row r="96" spans="1:8">
      <c r="A96" s="3">
        <v>84</v>
      </c>
      <c r="B96" s="3" t="s">
        <v>294</v>
      </c>
      <c r="C96" s="3" t="s">
        <v>297</v>
      </c>
      <c r="D96" s="3" t="s">
        <v>298</v>
      </c>
      <c r="E96" s="10">
        <v>1000</v>
      </c>
      <c r="F96" s="3" t="s">
        <v>31</v>
      </c>
      <c r="G96" s="5" t="s">
        <v>15</v>
      </c>
      <c r="H96" s="3" t="s">
        <v>271</v>
      </c>
    </row>
    <row r="97" spans="1:8">
      <c r="A97" s="3">
        <v>85</v>
      </c>
      <c r="B97" s="3" t="s">
        <v>294</v>
      </c>
      <c r="C97" s="3" t="s">
        <v>299</v>
      </c>
      <c r="D97" s="3" t="s">
        <v>300</v>
      </c>
      <c r="E97" s="10">
        <f>E96/E82</f>
        <v>2.4420024420024422</v>
      </c>
      <c r="F97" s="3" t="s">
        <v>274</v>
      </c>
      <c r="G97" s="6" t="s">
        <v>24</v>
      </c>
      <c r="H97" s="3" t="s">
        <v>275</v>
      </c>
    </row>
    <row r="98" spans="1:8">
      <c r="A98" s="3">
        <v>86</v>
      </c>
      <c r="B98" s="3" t="s">
        <v>294</v>
      </c>
      <c r="C98" s="3" t="s">
        <v>301</v>
      </c>
      <c r="D98" s="3" t="s">
        <v>302</v>
      </c>
      <c r="E98" s="10">
        <f>E96/E83</f>
        <v>1.2210012210012211</v>
      </c>
      <c r="F98" s="3" t="s">
        <v>274</v>
      </c>
      <c r="G98" s="6" t="s">
        <v>24</v>
      </c>
      <c r="H98" s="3" t="s">
        <v>278</v>
      </c>
    </row>
    <row r="99" spans="1:8">
      <c r="A99" s="3">
        <v>87</v>
      </c>
      <c r="B99" s="3" t="s">
        <v>294</v>
      </c>
      <c r="C99" s="3" t="s">
        <v>303</v>
      </c>
      <c r="D99" s="3" t="s">
        <v>304</v>
      </c>
      <c r="E99" s="10">
        <v>2</v>
      </c>
      <c r="F99" s="3" t="s">
        <v>305</v>
      </c>
      <c r="G99" s="5" t="s">
        <v>15</v>
      </c>
      <c r="H99" s="3" t="s">
        <v>306</v>
      </c>
    </row>
    <row r="100" spans="1:8">
      <c r="A100" s="3">
        <v>88</v>
      </c>
      <c r="B100" s="3" t="s">
        <v>294</v>
      </c>
      <c r="C100" s="3" t="s">
        <v>307</v>
      </c>
      <c r="D100" s="3" t="s">
        <v>308</v>
      </c>
      <c r="E100" s="10">
        <v>4</v>
      </c>
      <c r="F100" s="3" t="s">
        <v>305</v>
      </c>
      <c r="G100" s="5" t="s">
        <v>15</v>
      </c>
      <c r="H100" s="3" t="s">
        <v>306</v>
      </c>
    </row>
    <row r="101" spans="1:8">
      <c r="A101" s="3">
        <v>89</v>
      </c>
      <c r="B101" s="3" t="s">
        <v>294</v>
      </c>
      <c r="C101" s="3" t="s">
        <v>309</v>
      </c>
      <c r="D101" s="3" t="s">
        <v>310</v>
      </c>
      <c r="E101" s="10">
        <v>6.5</v>
      </c>
      <c r="F101" s="3" t="s">
        <v>105</v>
      </c>
      <c r="G101" s="5" t="s">
        <v>15</v>
      </c>
      <c r="H101" s="3" t="s">
        <v>306</v>
      </c>
    </row>
    <row r="102" spans="1:8">
      <c r="A102" s="3">
        <v>90</v>
      </c>
      <c r="B102" s="3" t="s">
        <v>294</v>
      </c>
      <c r="C102" s="3" t="s">
        <v>311</v>
      </c>
      <c r="D102" s="3" t="s">
        <v>312</v>
      </c>
      <c r="E102" s="10">
        <v>8</v>
      </c>
      <c r="F102" s="3" t="s">
        <v>105</v>
      </c>
      <c r="G102" s="5" t="s">
        <v>15</v>
      </c>
      <c r="H102" s="3" t="s">
        <v>306</v>
      </c>
    </row>
    <row r="103" spans="1:8">
      <c r="A103" s="3">
        <v>91</v>
      </c>
      <c r="B103" s="3" t="s">
        <v>294</v>
      </c>
      <c r="C103" s="3" t="s">
        <v>313</v>
      </c>
      <c r="D103" s="3" t="s">
        <v>314</v>
      </c>
      <c r="E103" s="10" t="s">
        <v>315</v>
      </c>
      <c r="F103" s="3" t="s">
        <v>105</v>
      </c>
      <c r="G103" s="5" t="s">
        <v>15</v>
      </c>
      <c r="H103" s="3" t="s">
        <v>316</v>
      </c>
    </row>
    <row r="104" spans="1:8">
      <c r="A104" s="3">
        <v>92</v>
      </c>
      <c r="B104" s="3" t="s">
        <v>294</v>
      </c>
      <c r="C104" s="3" t="s">
        <v>317</v>
      </c>
      <c r="D104" s="3" t="s">
        <v>318</v>
      </c>
      <c r="E104" s="10" t="s">
        <v>292</v>
      </c>
      <c r="F104" s="3" t="s">
        <v>105</v>
      </c>
      <c r="G104" s="5" t="s">
        <v>15</v>
      </c>
      <c r="H104" s="3" t="s">
        <v>319</v>
      </c>
    </row>
    <row r="105" spans="1:8" ht="26.1" customHeight="1">
      <c r="A105" s="4"/>
      <c r="B105" s="4" t="s">
        <v>320</v>
      </c>
      <c r="C105" s="4" t="s">
        <v>321</v>
      </c>
      <c r="D105" s="4"/>
      <c r="E105" s="9"/>
      <c r="F105" s="4"/>
      <c r="G105" s="4" t="s">
        <v>10</v>
      </c>
      <c r="H105" s="4" t="s">
        <v>322</v>
      </c>
    </row>
    <row r="106" spans="1:8">
      <c r="A106" s="3">
        <v>93</v>
      </c>
      <c r="B106" s="3" t="s">
        <v>320</v>
      </c>
      <c r="C106" s="3" t="s">
        <v>323</v>
      </c>
      <c r="D106" s="3" t="s">
        <v>324</v>
      </c>
      <c r="E106" s="10">
        <v>750</v>
      </c>
      <c r="F106" s="3" t="s">
        <v>31</v>
      </c>
      <c r="G106" s="5" t="s">
        <v>15</v>
      </c>
      <c r="H106" s="3" t="s">
        <v>271</v>
      </c>
    </row>
    <row r="107" spans="1:8">
      <c r="A107" s="3">
        <v>94</v>
      </c>
      <c r="B107" s="3" t="s">
        <v>320</v>
      </c>
      <c r="C107" s="3" t="s">
        <v>325</v>
      </c>
      <c r="D107" s="3" t="s">
        <v>326</v>
      </c>
      <c r="E107" s="10">
        <f>E106/E82</f>
        <v>1.8315018315018314</v>
      </c>
      <c r="F107" s="3" t="s">
        <v>274</v>
      </c>
      <c r="G107" s="6" t="s">
        <v>24</v>
      </c>
      <c r="H107" s="3" t="s">
        <v>275</v>
      </c>
    </row>
    <row r="108" spans="1:8">
      <c r="A108" s="3">
        <v>95</v>
      </c>
      <c r="B108" s="3" t="s">
        <v>320</v>
      </c>
      <c r="C108" s="3" t="s">
        <v>327</v>
      </c>
      <c r="D108" s="3" t="s">
        <v>328</v>
      </c>
      <c r="E108" s="10">
        <f>E106/E83</f>
        <v>0.91575091575091572</v>
      </c>
      <c r="F108" s="3" t="s">
        <v>274</v>
      </c>
      <c r="G108" s="6" t="s">
        <v>24</v>
      </c>
      <c r="H108" s="3" t="s">
        <v>278</v>
      </c>
    </row>
    <row r="109" spans="1:8">
      <c r="A109" s="3">
        <v>96</v>
      </c>
      <c r="B109" s="3" t="s">
        <v>320</v>
      </c>
      <c r="C109" s="3" t="s">
        <v>329</v>
      </c>
      <c r="D109" s="3" t="s">
        <v>330</v>
      </c>
      <c r="E109" s="10">
        <v>0.3</v>
      </c>
      <c r="F109" s="3" t="s">
        <v>237</v>
      </c>
      <c r="G109" s="5" t="s">
        <v>15</v>
      </c>
      <c r="H109" s="3" t="s">
        <v>331</v>
      </c>
    </row>
    <row r="110" spans="1:8">
      <c r="A110" s="3">
        <v>97</v>
      </c>
      <c r="B110" s="3" t="s">
        <v>320</v>
      </c>
      <c r="C110" s="3" t="s">
        <v>332</v>
      </c>
      <c r="D110" s="3" t="s">
        <v>333</v>
      </c>
      <c r="E110" s="10">
        <v>0.5</v>
      </c>
      <c r="F110" s="3" t="s">
        <v>237</v>
      </c>
      <c r="G110" s="5" t="s">
        <v>15</v>
      </c>
      <c r="H110" s="3" t="s">
        <v>334</v>
      </c>
    </row>
    <row r="111" spans="1:8">
      <c r="A111" s="3">
        <v>98</v>
      </c>
      <c r="B111" s="3" t="s">
        <v>320</v>
      </c>
      <c r="C111" s="3" t="s">
        <v>335</v>
      </c>
      <c r="D111" s="3" t="s">
        <v>336</v>
      </c>
      <c r="E111" s="10">
        <f>E109*E106</f>
        <v>225</v>
      </c>
      <c r="F111" s="3" t="s">
        <v>31</v>
      </c>
      <c r="G111" s="6" t="s">
        <v>24</v>
      </c>
      <c r="H111" s="3" t="s">
        <v>337</v>
      </c>
    </row>
    <row r="112" spans="1:8">
      <c r="A112" s="3">
        <v>99</v>
      </c>
      <c r="B112" s="3" t="s">
        <v>320</v>
      </c>
      <c r="C112" s="3" t="s">
        <v>338</v>
      </c>
      <c r="D112" s="3" t="s">
        <v>339</v>
      </c>
      <c r="E112" s="10">
        <f>E110*E106</f>
        <v>375</v>
      </c>
      <c r="F112" s="3" t="s">
        <v>31</v>
      </c>
      <c r="G112" s="6" t="s">
        <v>24</v>
      </c>
      <c r="H112" s="3" t="s">
        <v>340</v>
      </c>
    </row>
    <row r="113" spans="1:8">
      <c r="A113" s="3">
        <v>100</v>
      </c>
      <c r="B113" s="3" t="s">
        <v>320</v>
      </c>
      <c r="C113" s="3" t="s">
        <v>341</v>
      </c>
      <c r="D113" s="3" t="s">
        <v>342</v>
      </c>
      <c r="E113" s="10">
        <v>3</v>
      </c>
      <c r="F113" s="3" t="s">
        <v>305</v>
      </c>
      <c r="G113" s="5" t="s">
        <v>15</v>
      </c>
      <c r="H113" s="3" t="s">
        <v>306</v>
      </c>
    </row>
    <row r="114" spans="1:8">
      <c r="A114" s="3">
        <v>101</v>
      </c>
      <c r="B114" s="3" t="s">
        <v>320</v>
      </c>
      <c r="C114" s="3" t="s">
        <v>343</v>
      </c>
      <c r="D114" s="3" t="s">
        <v>344</v>
      </c>
      <c r="E114" s="10">
        <v>5</v>
      </c>
      <c r="F114" s="3" t="s">
        <v>305</v>
      </c>
      <c r="G114" s="5" t="s">
        <v>15</v>
      </c>
      <c r="H114" s="3" t="s">
        <v>306</v>
      </c>
    </row>
    <row r="115" spans="1:8">
      <c r="A115" s="3">
        <v>102</v>
      </c>
      <c r="B115" s="3" t="s">
        <v>320</v>
      </c>
      <c r="C115" s="3" t="s">
        <v>345</v>
      </c>
      <c r="D115" s="3" t="s">
        <v>346</v>
      </c>
      <c r="E115" s="10">
        <v>6.8</v>
      </c>
      <c r="F115" s="3" t="s">
        <v>105</v>
      </c>
      <c r="G115" s="5" t="s">
        <v>15</v>
      </c>
      <c r="H115" s="3" t="s">
        <v>306</v>
      </c>
    </row>
    <row r="116" spans="1:8">
      <c r="A116" s="3">
        <v>103</v>
      </c>
      <c r="B116" s="3" t="s">
        <v>320</v>
      </c>
      <c r="C116" s="3" t="s">
        <v>347</v>
      </c>
      <c r="D116" s="3" t="s">
        <v>348</v>
      </c>
      <c r="E116" s="10">
        <v>8.1999999999999993</v>
      </c>
      <c r="F116" s="3" t="s">
        <v>105</v>
      </c>
      <c r="G116" s="5" t="s">
        <v>15</v>
      </c>
      <c r="H116" s="3" t="s">
        <v>306</v>
      </c>
    </row>
    <row r="117" spans="1:8">
      <c r="A117" s="3">
        <v>104</v>
      </c>
      <c r="B117" s="3" t="s">
        <v>320</v>
      </c>
      <c r="C117" s="3" t="s">
        <v>349</v>
      </c>
      <c r="D117" s="3" t="s">
        <v>350</v>
      </c>
      <c r="E117" s="10" t="s">
        <v>351</v>
      </c>
      <c r="F117" s="3" t="s">
        <v>105</v>
      </c>
      <c r="G117" s="5" t="s">
        <v>15</v>
      </c>
      <c r="H117" s="3" t="s">
        <v>352</v>
      </c>
    </row>
    <row r="118" spans="1:8">
      <c r="A118" s="3">
        <v>105</v>
      </c>
      <c r="B118" s="3" t="s">
        <v>320</v>
      </c>
      <c r="C118" s="3" t="s">
        <v>353</v>
      </c>
      <c r="D118" s="3" t="s">
        <v>354</v>
      </c>
      <c r="E118" s="10" t="s">
        <v>292</v>
      </c>
      <c r="F118" s="3" t="s">
        <v>105</v>
      </c>
      <c r="G118" s="5" t="s">
        <v>15</v>
      </c>
      <c r="H118" s="3" t="s">
        <v>319</v>
      </c>
    </row>
    <row r="119" spans="1:8" ht="39" customHeight="1">
      <c r="A119" s="4"/>
      <c r="B119" s="4" t="s">
        <v>355</v>
      </c>
      <c r="C119" s="4" t="s">
        <v>356</v>
      </c>
      <c r="D119" s="4"/>
      <c r="E119" s="9"/>
      <c r="F119" s="4"/>
      <c r="G119" s="4" t="s">
        <v>10</v>
      </c>
      <c r="H119" s="4" t="s">
        <v>357</v>
      </c>
    </row>
    <row r="120" spans="1:8">
      <c r="A120" s="3">
        <v>106</v>
      </c>
      <c r="B120" s="3" t="s">
        <v>355</v>
      </c>
      <c r="C120" s="3" t="s">
        <v>358</v>
      </c>
      <c r="D120" s="3" t="s">
        <v>359</v>
      </c>
      <c r="E120" s="10">
        <v>250</v>
      </c>
      <c r="F120" s="3" t="s">
        <v>31</v>
      </c>
      <c r="G120" s="5" t="s">
        <v>15</v>
      </c>
      <c r="H120" s="3" t="s">
        <v>271</v>
      </c>
    </row>
    <row r="121" spans="1:8">
      <c r="A121" s="3">
        <v>107</v>
      </c>
      <c r="B121" s="3" t="s">
        <v>355</v>
      </c>
      <c r="C121" s="3" t="s">
        <v>360</v>
      </c>
      <c r="D121" s="3" t="s">
        <v>361</v>
      </c>
      <c r="E121" s="10">
        <f>E120/E82</f>
        <v>0.61050061050061055</v>
      </c>
      <c r="F121" s="3" t="s">
        <v>274</v>
      </c>
      <c r="G121" s="6" t="s">
        <v>24</v>
      </c>
      <c r="H121" s="3" t="s">
        <v>275</v>
      </c>
    </row>
    <row r="122" spans="1:8">
      <c r="A122" s="3">
        <v>108</v>
      </c>
      <c r="B122" s="3" t="s">
        <v>355</v>
      </c>
      <c r="C122" s="3" t="s">
        <v>360</v>
      </c>
      <c r="D122" s="3" t="s">
        <v>362</v>
      </c>
      <c r="E122" s="10">
        <f>E121*24</f>
        <v>14.652014652014653</v>
      </c>
      <c r="F122" s="3" t="s">
        <v>280</v>
      </c>
      <c r="G122" s="6" t="s">
        <v>24</v>
      </c>
      <c r="H122" s="3" t="s">
        <v>363</v>
      </c>
    </row>
    <row r="123" spans="1:8">
      <c r="A123" s="3">
        <v>109</v>
      </c>
      <c r="B123" s="3" t="s">
        <v>355</v>
      </c>
      <c r="C123" s="3" t="s">
        <v>364</v>
      </c>
      <c r="D123" s="3" t="s">
        <v>365</v>
      </c>
      <c r="E123" s="10">
        <f>E120/E83</f>
        <v>0.30525030525030528</v>
      </c>
      <c r="F123" s="3" t="s">
        <v>274</v>
      </c>
      <c r="G123" s="6" t="s">
        <v>24</v>
      </c>
      <c r="H123" s="3" t="s">
        <v>278</v>
      </c>
    </row>
    <row r="124" spans="1:8">
      <c r="A124" s="3">
        <v>110</v>
      </c>
      <c r="B124" s="3" t="s">
        <v>355</v>
      </c>
      <c r="C124" s="3" t="s">
        <v>364</v>
      </c>
      <c r="D124" s="3" t="s">
        <v>366</v>
      </c>
      <c r="E124" s="10">
        <f>E123*24</f>
        <v>7.3260073260073266</v>
      </c>
      <c r="F124" s="3" t="s">
        <v>280</v>
      </c>
      <c r="G124" s="6" t="s">
        <v>24</v>
      </c>
      <c r="H124" s="3" t="s">
        <v>363</v>
      </c>
    </row>
    <row r="125" spans="1:8">
      <c r="A125" s="3">
        <v>111</v>
      </c>
      <c r="B125" s="3" t="s">
        <v>355</v>
      </c>
      <c r="C125" s="3" t="s">
        <v>367</v>
      </c>
      <c r="D125" s="3" t="s">
        <v>368</v>
      </c>
      <c r="E125" s="10" t="s">
        <v>369</v>
      </c>
      <c r="F125" s="3" t="s">
        <v>105</v>
      </c>
      <c r="G125" s="5" t="s">
        <v>15</v>
      </c>
      <c r="H125" s="3" t="s">
        <v>370</v>
      </c>
    </row>
    <row r="126" spans="1:8">
      <c r="A126" s="3">
        <v>112</v>
      </c>
      <c r="B126" s="3" t="s">
        <v>355</v>
      </c>
      <c r="C126" s="3" t="s">
        <v>371</v>
      </c>
      <c r="D126" s="3" t="s">
        <v>372</v>
      </c>
      <c r="E126" s="10" t="s">
        <v>292</v>
      </c>
      <c r="F126" s="3" t="s">
        <v>105</v>
      </c>
      <c r="G126" s="5" t="s">
        <v>15</v>
      </c>
      <c r="H126" s="3" t="s">
        <v>319</v>
      </c>
    </row>
    <row r="127" spans="1:8" ht="28.5">
      <c r="A127" s="3">
        <v>113</v>
      </c>
      <c r="B127" s="3" t="s">
        <v>355</v>
      </c>
      <c r="C127" s="3" t="s">
        <v>373</v>
      </c>
      <c r="D127" s="3" t="s">
        <v>374</v>
      </c>
      <c r="E127" s="10" t="s">
        <v>375</v>
      </c>
      <c r="F127" s="3" t="s">
        <v>105</v>
      </c>
      <c r="G127" s="5" t="s">
        <v>15</v>
      </c>
      <c r="H127" s="3" t="s">
        <v>376</v>
      </c>
    </row>
    <row r="128" spans="1:8" ht="26.1" customHeight="1">
      <c r="A128" s="4"/>
      <c r="B128" s="4" t="s">
        <v>377</v>
      </c>
      <c r="C128" s="4" t="s">
        <v>378</v>
      </c>
      <c r="D128" s="4"/>
      <c r="E128" s="9"/>
      <c r="F128" s="4"/>
      <c r="G128" s="4" t="s">
        <v>10</v>
      </c>
      <c r="H128" s="4" t="s">
        <v>379</v>
      </c>
    </row>
    <row r="129" spans="1:8">
      <c r="A129" s="3">
        <v>114</v>
      </c>
      <c r="B129" s="3" t="s">
        <v>377</v>
      </c>
      <c r="C129" s="3" t="s">
        <v>380</v>
      </c>
      <c r="D129" s="3" t="s">
        <v>381</v>
      </c>
      <c r="E129" s="10">
        <v>500</v>
      </c>
      <c r="F129" s="3" t="s">
        <v>31</v>
      </c>
      <c r="G129" s="5" t="s">
        <v>15</v>
      </c>
      <c r="H129" s="3" t="s">
        <v>382</v>
      </c>
    </row>
    <row r="130" spans="1:8">
      <c r="A130" s="3">
        <v>115</v>
      </c>
      <c r="B130" s="3" t="s">
        <v>377</v>
      </c>
      <c r="C130" s="3" t="s">
        <v>383</v>
      </c>
      <c r="D130" s="3" t="s">
        <v>384</v>
      </c>
      <c r="E130" s="10">
        <v>1000</v>
      </c>
      <c r="F130" s="3" t="s">
        <v>31</v>
      </c>
      <c r="G130" s="5" t="s">
        <v>15</v>
      </c>
      <c r="H130" s="3" t="s">
        <v>385</v>
      </c>
    </row>
    <row r="131" spans="1:8" ht="28.5">
      <c r="A131" s="3">
        <v>116</v>
      </c>
      <c r="B131" s="3" t="s">
        <v>377</v>
      </c>
      <c r="C131" s="3" t="s">
        <v>386</v>
      </c>
      <c r="D131" s="3" t="s">
        <v>387</v>
      </c>
      <c r="E131" s="10">
        <f>E129/E82</f>
        <v>1.2210012210012211</v>
      </c>
      <c r="F131" s="3" t="s">
        <v>274</v>
      </c>
      <c r="G131" s="6" t="s">
        <v>24</v>
      </c>
      <c r="H131" s="3" t="s">
        <v>388</v>
      </c>
    </row>
    <row r="132" spans="1:8" ht="28.5">
      <c r="A132" s="3">
        <v>117</v>
      </c>
      <c r="B132" s="3" t="s">
        <v>377</v>
      </c>
      <c r="C132" s="3" t="s">
        <v>389</v>
      </c>
      <c r="D132" s="3" t="s">
        <v>390</v>
      </c>
      <c r="E132" s="10">
        <f>E130/E82</f>
        <v>2.4420024420024422</v>
      </c>
      <c r="F132" s="3" t="s">
        <v>274</v>
      </c>
      <c r="G132" s="6" t="s">
        <v>24</v>
      </c>
      <c r="H132" s="3" t="s">
        <v>388</v>
      </c>
    </row>
    <row r="133" spans="1:8" ht="28.5">
      <c r="A133" s="3">
        <v>118</v>
      </c>
      <c r="B133" s="3" t="s">
        <v>377</v>
      </c>
      <c r="C133" s="3" t="s">
        <v>391</v>
      </c>
      <c r="D133" s="3" t="s">
        <v>392</v>
      </c>
      <c r="E133" s="10" t="s">
        <v>393</v>
      </c>
      <c r="F133" s="3" t="s">
        <v>105</v>
      </c>
      <c r="G133" s="5" t="s">
        <v>15</v>
      </c>
      <c r="H133" s="3" t="s">
        <v>394</v>
      </c>
    </row>
    <row r="134" spans="1:8">
      <c r="A134" s="3">
        <v>119</v>
      </c>
      <c r="B134" s="3" t="s">
        <v>377</v>
      </c>
      <c r="C134" s="3" t="s">
        <v>395</v>
      </c>
      <c r="D134" s="3" t="s">
        <v>396</v>
      </c>
      <c r="E134" s="10" t="s">
        <v>397</v>
      </c>
      <c r="F134" s="3" t="s">
        <v>105</v>
      </c>
      <c r="G134" s="5" t="s">
        <v>15</v>
      </c>
      <c r="H134" s="3" t="s">
        <v>398</v>
      </c>
    </row>
    <row r="135" spans="1:8">
      <c r="A135" s="3">
        <v>120</v>
      </c>
      <c r="B135" s="3" t="s">
        <v>377</v>
      </c>
      <c r="C135" s="3" t="s">
        <v>399</v>
      </c>
      <c r="D135" s="3" t="s">
        <v>400</v>
      </c>
      <c r="E135" s="10" t="s">
        <v>292</v>
      </c>
      <c r="F135" s="3" t="s">
        <v>105</v>
      </c>
      <c r="G135" s="5" t="s">
        <v>15</v>
      </c>
      <c r="H135" s="3" t="s">
        <v>319</v>
      </c>
    </row>
    <row r="136" spans="1:8" ht="42.75">
      <c r="A136" s="3">
        <v>121</v>
      </c>
      <c r="B136" s="3" t="s">
        <v>377</v>
      </c>
      <c r="C136" s="3" t="s">
        <v>401</v>
      </c>
      <c r="D136" s="3" t="s">
        <v>402</v>
      </c>
      <c r="E136" s="10" t="s">
        <v>403</v>
      </c>
      <c r="F136" s="3" t="s">
        <v>105</v>
      </c>
      <c r="G136" s="5" t="s">
        <v>15</v>
      </c>
      <c r="H136" s="3" t="s">
        <v>404</v>
      </c>
    </row>
    <row r="137" spans="1:8" ht="38.25" customHeight="1">
      <c r="A137" s="4"/>
      <c r="B137" s="4" t="s">
        <v>405</v>
      </c>
      <c r="C137" s="4" t="s">
        <v>406</v>
      </c>
      <c r="D137" s="4"/>
      <c r="E137" s="9"/>
      <c r="F137" s="4"/>
      <c r="G137" s="4" t="s">
        <v>10</v>
      </c>
      <c r="H137" s="4" t="s">
        <v>407</v>
      </c>
    </row>
    <row r="138" spans="1:8" ht="28.5">
      <c r="A138" s="3">
        <v>122</v>
      </c>
      <c r="B138" s="3" t="s">
        <v>405</v>
      </c>
      <c r="C138" s="3" t="s">
        <v>408</v>
      </c>
      <c r="D138" s="3" t="s">
        <v>409</v>
      </c>
      <c r="E138" s="10">
        <f>E88+E96+E106+E120</f>
        <v>2500</v>
      </c>
      <c r="F138" s="3" t="s">
        <v>31</v>
      </c>
      <c r="G138" s="6" t="s">
        <v>24</v>
      </c>
      <c r="H138" s="3" t="s">
        <v>410</v>
      </c>
    </row>
    <row r="139" spans="1:8" ht="28.5">
      <c r="A139" s="3">
        <v>123</v>
      </c>
      <c r="B139" s="3" t="s">
        <v>405</v>
      </c>
      <c r="C139" s="3" t="s">
        <v>408</v>
      </c>
      <c r="D139" s="3" t="s">
        <v>411</v>
      </c>
      <c r="E139" s="10">
        <f>E138/1000</f>
        <v>2.5</v>
      </c>
      <c r="F139" s="3" t="s">
        <v>28</v>
      </c>
      <c r="G139" s="6" t="s">
        <v>24</v>
      </c>
      <c r="H139" s="3" t="s">
        <v>412</v>
      </c>
    </row>
    <row r="140" spans="1:8" ht="28.5">
      <c r="A140" s="3">
        <v>124</v>
      </c>
      <c r="B140" s="3" t="s">
        <v>405</v>
      </c>
      <c r="C140" s="3" t="s">
        <v>413</v>
      </c>
      <c r="D140" s="3" t="s">
        <v>414</v>
      </c>
      <c r="E140" s="10">
        <f>E138/E82</f>
        <v>6.1050061050061046</v>
      </c>
      <c r="F140" s="3" t="s">
        <v>274</v>
      </c>
      <c r="G140" s="6" t="s">
        <v>24</v>
      </c>
      <c r="H140" s="3" t="s">
        <v>415</v>
      </c>
    </row>
    <row r="141" spans="1:8" ht="28.5">
      <c r="A141" s="3">
        <v>125</v>
      </c>
      <c r="B141" s="3" t="s">
        <v>405</v>
      </c>
      <c r="C141" s="3" t="s">
        <v>416</v>
      </c>
      <c r="D141" s="3" t="s">
        <v>417</v>
      </c>
      <c r="E141" s="10">
        <f>E138/E83</f>
        <v>3.0525030525030523</v>
      </c>
      <c r="F141" s="3" t="s">
        <v>274</v>
      </c>
      <c r="G141" s="6" t="s">
        <v>24</v>
      </c>
      <c r="H141" s="3" t="s">
        <v>418</v>
      </c>
    </row>
    <row r="142" spans="1:8" ht="28.5">
      <c r="A142" s="3">
        <v>126</v>
      </c>
      <c r="B142" s="3" t="s">
        <v>405</v>
      </c>
      <c r="C142" s="3" t="s">
        <v>419</v>
      </c>
      <c r="D142" s="3" t="s">
        <v>420</v>
      </c>
      <c r="E142" s="10">
        <v>7</v>
      </c>
      <c r="F142" s="3" t="s">
        <v>274</v>
      </c>
      <c r="G142" s="5" t="s">
        <v>15</v>
      </c>
      <c r="H142" s="3" t="s">
        <v>421</v>
      </c>
    </row>
    <row r="143" spans="1:8" ht="28.5">
      <c r="A143" s="3">
        <v>127</v>
      </c>
      <c r="B143" s="3" t="s">
        <v>405</v>
      </c>
      <c r="C143" s="3" t="s">
        <v>422</v>
      </c>
      <c r="D143" s="3" t="s">
        <v>423</v>
      </c>
      <c r="E143" s="10">
        <v>14</v>
      </c>
      <c r="F143" s="3" t="s">
        <v>274</v>
      </c>
      <c r="G143" s="5" t="s">
        <v>15</v>
      </c>
      <c r="H143" s="3" t="s">
        <v>421</v>
      </c>
    </row>
    <row r="144" spans="1:8" ht="28.5">
      <c r="A144" s="3">
        <v>128</v>
      </c>
      <c r="B144" s="3" t="s">
        <v>405</v>
      </c>
      <c r="C144" s="3" t="s">
        <v>424</v>
      </c>
      <c r="D144" s="3" t="s">
        <v>425</v>
      </c>
      <c r="E144" s="10">
        <f>0.25*E82</f>
        <v>102.375</v>
      </c>
      <c r="F144" s="3" t="s">
        <v>51</v>
      </c>
      <c r="G144" s="6" t="s">
        <v>24</v>
      </c>
      <c r="H144" s="3" t="s">
        <v>426</v>
      </c>
    </row>
    <row r="145" spans="1:8" ht="28.5">
      <c r="A145" s="3">
        <v>129</v>
      </c>
      <c r="B145" s="3" t="s">
        <v>405</v>
      </c>
      <c r="C145" s="3" t="s">
        <v>427</v>
      </c>
      <c r="D145" s="3" t="s">
        <v>428</v>
      </c>
      <c r="E145" s="10">
        <f>0.5*E82</f>
        <v>204.75</v>
      </c>
      <c r="F145" s="3" t="s">
        <v>51</v>
      </c>
      <c r="G145" s="6" t="s">
        <v>24</v>
      </c>
      <c r="H145" s="3" t="s">
        <v>429</v>
      </c>
    </row>
    <row r="146" spans="1:8" ht="43.5" customHeight="1">
      <c r="A146" s="4"/>
      <c r="B146" s="4" t="s">
        <v>430</v>
      </c>
      <c r="C146" s="4" t="s">
        <v>431</v>
      </c>
      <c r="D146" s="4"/>
      <c r="E146" s="9"/>
      <c r="F146" s="4"/>
      <c r="G146" s="4" t="s">
        <v>10</v>
      </c>
      <c r="H146" s="4" t="s">
        <v>432</v>
      </c>
    </row>
    <row r="147" spans="1:8" ht="28.5">
      <c r="A147" s="3">
        <v>130</v>
      </c>
      <c r="B147" s="3" t="s">
        <v>430</v>
      </c>
      <c r="C147" s="3" t="s">
        <v>433</v>
      </c>
      <c r="D147" s="3" t="s">
        <v>434</v>
      </c>
      <c r="E147" s="10">
        <f>E7</f>
        <v>40.950000000000003</v>
      </c>
      <c r="F147" s="3" t="s">
        <v>28</v>
      </c>
      <c r="G147" s="7" t="s">
        <v>435</v>
      </c>
      <c r="H147" s="3" t="s">
        <v>436</v>
      </c>
    </row>
    <row r="148" spans="1:8" ht="28.5">
      <c r="A148" s="3">
        <v>131</v>
      </c>
      <c r="B148" s="3" t="s">
        <v>430</v>
      </c>
      <c r="C148" s="3" t="s">
        <v>56</v>
      </c>
      <c r="D148" s="3" t="s">
        <v>437</v>
      </c>
      <c r="E148" s="10">
        <f>E16</f>
        <v>409.5</v>
      </c>
      <c r="F148" s="3" t="s">
        <v>51</v>
      </c>
      <c r="G148" s="7" t="s">
        <v>435</v>
      </c>
      <c r="H148" s="3" t="s">
        <v>438</v>
      </c>
    </row>
    <row r="149" spans="1:8" ht="28.5">
      <c r="A149" s="3">
        <v>132</v>
      </c>
      <c r="B149" s="3" t="s">
        <v>430</v>
      </c>
      <c r="C149" s="3" t="s">
        <v>439</v>
      </c>
      <c r="D149" s="3" t="s">
        <v>440</v>
      </c>
      <c r="E149" s="10">
        <f>E17</f>
        <v>819</v>
      </c>
      <c r="F149" s="3" t="s">
        <v>51</v>
      </c>
      <c r="G149" s="7" t="s">
        <v>435</v>
      </c>
      <c r="H149" s="3" t="s">
        <v>441</v>
      </c>
    </row>
    <row r="150" spans="1:8" ht="28.5">
      <c r="A150" s="3">
        <v>133</v>
      </c>
      <c r="B150" s="3" t="s">
        <v>430</v>
      </c>
      <c r="C150" s="3" t="s">
        <v>99</v>
      </c>
      <c r="D150" s="3" t="s">
        <v>442</v>
      </c>
      <c r="E150" s="10">
        <f>E31</f>
        <v>682.50000000000011</v>
      </c>
      <c r="F150" s="3" t="s">
        <v>31</v>
      </c>
      <c r="G150" s="7" t="s">
        <v>435</v>
      </c>
      <c r="H150" s="3" t="s">
        <v>443</v>
      </c>
    </row>
    <row r="151" spans="1:8" ht="28.5">
      <c r="A151" s="3">
        <v>134</v>
      </c>
      <c r="B151" s="3" t="s">
        <v>430</v>
      </c>
      <c r="C151" s="3" t="s">
        <v>444</v>
      </c>
      <c r="D151" s="3" t="s">
        <v>445</v>
      </c>
      <c r="E151" s="10">
        <f>E34</f>
        <v>100.00000000000001</v>
      </c>
      <c r="F151" s="3" t="s">
        <v>112</v>
      </c>
      <c r="G151" s="7" t="s">
        <v>435</v>
      </c>
      <c r="H151" s="3" t="s">
        <v>446</v>
      </c>
    </row>
    <row r="152" spans="1:8" ht="28.5">
      <c r="A152" s="3">
        <v>135</v>
      </c>
      <c r="B152" s="3" t="s">
        <v>430</v>
      </c>
      <c r="C152" s="3" t="s">
        <v>447</v>
      </c>
      <c r="D152" s="3" t="s">
        <v>448</v>
      </c>
      <c r="E152" s="10">
        <f>E35</f>
        <v>50.000000000000007</v>
      </c>
      <c r="F152" s="3" t="s">
        <v>112</v>
      </c>
      <c r="G152" s="7" t="s">
        <v>435</v>
      </c>
      <c r="H152" s="3" t="s">
        <v>449</v>
      </c>
    </row>
    <row r="153" spans="1:8" ht="28.5">
      <c r="A153" s="3">
        <v>136</v>
      </c>
      <c r="B153" s="3" t="s">
        <v>430</v>
      </c>
      <c r="C153" s="3" t="s">
        <v>450</v>
      </c>
      <c r="D153" s="3" t="s">
        <v>451</v>
      </c>
      <c r="E153" s="10" t="s">
        <v>452</v>
      </c>
      <c r="F153" s="3" t="s">
        <v>67</v>
      </c>
      <c r="G153" s="7" t="s">
        <v>435</v>
      </c>
      <c r="H153" s="3" t="s">
        <v>453</v>
      </c>
    </row>
    <row r="154" spans="1:8" ht="28.5">
      <c r="A154" s="3">
        <v>137</v>
      </c>
      <c r="B154" s="3" t="s">
        <v>430</v>
      </c>
      <c r="C154" s="3" t="s">
        <v>454</v>
      </c>
      <c r="D154" s="3" t="s">
        <v>455</v>
      </c>
      <c r="E154" s="10">
        <f>E40</f>
        <v>1</v>
      </c>
      <c r="F154" s="3" t="s">
        <v>131</v>
      </c>
      <c r="G154" s="7" t="s">
        <v>435</v>
      </c>
      <c r="H154" s="3" t="s">
        <v>456</v>
      </c>
    </row>
    <row r="155" spans="1:8" ht="28.5">
      <c r="A155" s="3">
        <v>138</v>
      </c>
      <c r="B155" s="3" t="s">
        <v>430</v>
      </c>
      <c r="C155" s="3" t="s">
        <v>457</v>
      </c>
      <c r="D155" s="3" t="s">
        <v>458</v>
      </c>
      <c r="E155" s="10">
        <f>E41</f>
        <v>1.5</v>
      </c>
      <c r="F155" s="3" t="s">
        <v>131</v>
      </c>
      <c r="G155" s="7" t="s">
        <v>435</v>
      </c>
      <c r="H155" s="3" t="s">
        <v>459</v>
      </c>
    </row>
    <row r="156" spans="1:8" ht="28.5">
      <c r="A156" s="3">
        <v>139</v>
      </c>
      <c r="B156" s="3" t="s">
        <v>430</v>
      </c>
      <c r="C156" s="3" t="s">
        <v>460</v>
      </c>
      <c r="D156" s="3" t="s">
        <v>461</v>
      </c>
      <c r="E156" s="10">
        <f>E42</f>
        <v>1.5</v>
      </c>
      <c r="F156" s="3" t="s">
        <v>131</v>
      </c>
      <c r="G156" s="7" t="s">
        <v>435</v>
      </c>
      <c r="H156" s="3" t="s">
        <v>462</v>
      </c>
    </row>
    <row r="157" spans="1:8" ht="28.5">
      <c r="A157" s="3">
        <v>140</v>
      </c>
      <c r="B157" s="3" t="s">
        <v>430</v>
      </c>
      <c r="C157" s="3" t="s">
        <v>463</v>
      </c>
      <c r="D157" s="3" t="s">
        <v>464</v>
      </c>
      <c r="E157" s="10" t="s">
        <v>465</v>
      </c>
      <c r="F157" s="3" t="s">
        <v>105</v>
      </c>
      <c r="G157" s="7" t="s">
        <v>435</v>
      </c>
      <c r="H157" s="3" t="s">
        <v>466</v>
      </c>
    </row>
    <row r="158" spans="1:8" ht="28.5">
      <c r="A158" s="3">
        <v>141</v>
      </c>
      <c r="B158" s="3" t="s">
        <v>430</v>
      </c>
      <c r="C158" s="3" t="s">
        <v>467</v>
      </c>
      <c r="D158" s="3" t="s">
        <v>468</v>
      </c>
      <c r="E158" s="10">
        <f>E61</f>
        <v>2.9999999999999996E-3</v>
      </c>
      <c r="F158" s="3" t="s">
        <v>23</v>
      </c>
      <c r="G158" s="7" t="s">
        <v>435</v>
      </c>
      <c r="H158" s="3" t="s">
        <v>469</v>
      </c>
    </row>
    <row r="159" spans="1:8" ht="28.5">
      <c r="A159" s="3">
        <v>142</v>
      </c>
      <c r="B159" s="3" t="s">
        <v>430</v>
      </c>
      <c r="C159" s="3" t="s">
        <v>470</v>
      </c>
      <c r="D159" s="3" t="s">
        <v>471</v>
      </c>
      <c r="E159" s="10">
        <f>E62</f>
        <v>5.650471352374983</v>
      </c>
      <c r="F159" s="3" t="s">
        <v>105</v>
      </c>
      <c r="G159" s="7" t="s">
        <v>435</v>
      </c>
      <c r="H159" s="3" t="s">
        <v>472</v>
      </c>
    </row>
    <row r="160" spans="1:8" ht="39.75" customHeight="1">
      <c r="A160" s="4"/>
      <c r="B160" s="4" t="s">
        <v>473</v>
      </c>
      <c r="C160" s="4" t="s">
        <v>474</v>
      </c>
      <c r="D160" s="4"/>
      <c r="E160" s="9"/>
      <c r="F160" s="4"/>
      <c r="G160" s="4" t="s">
        <v>10</v>
      </c>
      <c r="H160" s="4" t="s">
        <v>475</v>
      </c>
    </row>
    <row r="161" spans="1:8" ht="28.5">
      <c r="A161" s="3">
        <v>143</v>
      </c>
      <c r="B161" s="3" t="s">
        <v>473</v>
      </c>
      <c r="C161" s="3" t="s">
        <v>476</v>
      </c>
      <c r="D161" s="3" t="s">
        <v>477</v>
      </c>
      <c r="E161" s="10">
        <f>E82</f>
        <v>409.5</v>
      </c>
      <c r="F161" s="3" t="s">
        <v>51</v>
      </c>
      <c r="G161" s="7" t="s">
        <v>435</v>
      </c>
      <c r="H161" s="3" t="s">
        <v>438</v>
      </c>
    </row>
    <row r="162" spans="1:8" ht="28.5">
      <c r="A162" s="3">
        <v>144</v>
      </c>
      <c r="B162" s="3" t="s">
        <v>473</v>
      </c>
      <c r="C162" s="3" t="s">
        <v>478</v>
      </c>
      <c r="D162" s="3" t="s">
        <v>479</v>
      </c>
      <c r="E162" s="10">
        <f>E83</f>
        <v>819</v>
      </c>
      <c r="F162" s="3" t="s">
        <v>51</v>
      </c>
      <c r="G162" s="7" t="s">
        <v>435</v>
      </c>
      <c r="H162" s="3" t="s">
        <v>441</v>
      </c>
    </row>
    <row r="163" spans="1:8" ht="28.5">
      <c r="A163" s="3">
        <v>145</v>
      </c>
      <c r="B163" s="3" t="s">
        <v>473</v>
      </c>
      <c r="C163" s="3" t="s">
        <v>480</v>
      </c>
      <c r="D163" s="3" t="s">
        <v>481</v>
      </c>
      <c r="E163" s="10">
        <f>E88</f>
        <v>500</v>
      </c>
      <c r="F163" s="3" t="s">
        <v>31</v>
      </c>
      <c r="G163" s="7" t="s">
        <v>435</v>
      </c>
      <c r="H163" s="3" t="s">
        <v>482</v>
      </c>
    </row>
    <row r="164" spans="1:8" ht="28.5">
      <c r="A164" s="3">
        <v>146</v>
      </c>
      <c r="B164" s="3" t="s">
        <v>473</v>
      </c>
      <c r="C164" s="3" t="s">
        <v>483</v>
      </c>
      <c r="D164" s="3" t="s">
        <v>484</v>
      </c>
      <c r="E164" s="10">
        <f>E96</f>
        <v>1000</v>
      </c>
      <c r="F164" s="3" t="s">
        <v>31</v>
      </c>
      <c r="G164" s="7" t="s">
        <v>435</v>
      </c>
      <c r="H164" s="3" t="s">
        <v>485</v>
      </c>
    </row>
    <row r="165" spans="1:8" ht="28.5">
      <c r="A165" s="3">
        <v>147</v>
      </c>
      <c r="B165" s="3" t="s">
        <v>473</v>
      </c>
      <c r="C165" s="3" t="s">
        <v>486</v>
      </c>
      <c r="D165" s="3" t="s">
        <v>487</v>
      </c>
      <c r="E165" s="10">
        <f>E106</f>
        <v>750</v>
      </c>
      <c r="F165" s="3" t="s">
        <v>31</v>
      </c>
      <c r="G165" s="7" t="s">
        <v>435</v>
      </c>
      <c r="H165" s="3" t="s">
        <v>488</v>
      </c>
    </row>
    <row r="166" spans="1:8" ht="28.5">
      <c r="A166" s="3">
        <v>148</v>
      </c>
      <c r="B166" s="3" t="s">
        <v>473</v>
      </c>
      <c r="C166" s="3" t="s">
        <v>489</v>
      </c>
      <c r="D166" s="3" t="s">
        <v>490</v>
      </c>
      <c r="E166" s="10">
        <f>E111</f>
        <v>225</v>
      </c>
      <c r="F166" s="3" t="s">
        <v>31</v>
      </c>
      <c r="G166" s="7" t="s">
        <v>435</v>
      </c>
      <c r="H166" s="3" t="s">
        <v>337</v>
      </c>
    </row>
    <row r="167" spans="1:8" ht="28.5">
      <c r="A167" s="3">
        <v>149</v>
      </c>
      <c r="B167" s="3" t="s">
        <v>473</v>
      </c>
      <c r="C167" s="3" t="s">
        <v>491</v>
      </c>
      <c r="D167" s="3" t="s">
        <v>492</v>
      </c>
      <c r="E167" s="10">
        <f>E112</f>
        <v>375</v>
      </c>
      <c r="F167" s="3" t="s">
        <v>31</v>
      </c>
      <c r="G167" s="7" t="s">
        <v>435</v>
      </c>
      <c r="H167" s="3" t="s">
        <v>340</v>
      </c>
    </row>
    <row r="168" spans="1:8" ht="28.5">
      <c r="A168" s="3">
        <v>150</v>
      </c>
      <c r="B168" s="3" t="s">
        <v>473</v>
      </c>
      <c r="C168" s="3" t="s">
        <v>493</v>
      </c>
      <c r="D168" s="3" t="s">
        <v>494</v>
      </c>
      <c r="E168" s="10">
        <f>E120</f>
        <v>250</v>
      </c>
      <c r="F168" s="3" t="s">
        <v>31</v>
      </c>
      <c r="G168" s="7" t="s">
        <v>435</v>
      </c>
      <c r="H168" s="3" t="s">
        <v>495</v>
      </c>
    </row>
    <row r="169" spans="1:8" ht="28.5">
      <c r="A169" s="3">
        <v>151</v>
      </c>
      <c r="B169" s="3" t="s">
        <v>473</v>
      </c>
      <c r="C169" s="3" t="s">
        <v>496</v>
      </c>
      <c r="D169" s="3" t="s">
        <v>497</v>
      </c>
      <c r="E169" s="10" t="s">
        <v>498</v>
      </c>
      <c r="F169" s="3" t="s">
        <v>31</v>
      </c>
      <c r="G169" s="7" t="s">
        <v>435</v>
      </c>
      <c r="H169" s="3" t="s">
        <v>499</v>
      </c>
    </row>
    <row r="170" spans="1:8" ht="28.5">
      <c r="A170" s="3">
        <v>152</v>
      </c>
      <c r="B170" s="3" t="s">
        <v>473</v>
      </c>
      <c r="C170" s="3" t="s">
        <v>500</v>
      </c>
      <c r="D170" s="3" t="s">
        <v>501</v>
      </c>
      <c r="E170" s="10">
        <f>E138</f>
        <v>2500</v>
      </c>
      <c r="F170" s="3" t="s">
        <v>31</v>
      </c>
      <c r="G170" s="7" t="s">
        <v>435</v>
      </c>
      <c r="H170" s="3" t="s">
        <v>502</v>
      </c>
    </row>
    <row r="171" spans="1:8" ht="28.5">
      <c r="A171" s="3">
        <v>153</v>
      </c>
      <c r="B171" s="3" t="s">
        <v>473</v>
      </c>
      <c r="C171" s="3" t="s">
        <v>413</v>
      </c>
      <c r="D171" s="3" t="s">
        <v>503</v>
      </c>
      <c r="E171" s="10">
        <f>E140</f>
        <v>6.1050061050061046</v>
      </c>
      <c r="F171" s="3" t="s">
        <v>274</v>
      </c>
      <c r="G171" s="7" t="s">
        <v>435</v>
      </c>
      <c r="H171" s="3" t="s">
        <v>504</v>
      </c>
    </row>
    <row r="172" spans="1:8" ht="28.5">
      <c r="A172" s="3">
        <v>154</v>
      </c>
      <c r="B172" s="3" t="s">
        <v>473</v>
      </c>
      <c r="C172" s="3" t="s">
        <v>416</v>
      </c>
      <c r="D172" s="3" t="s">
        <v>505</v>
      </c>
      <c r="E172" s="10">
        <f>E141</f>
        <v>3.0525030525030523</v>
      </c>
      <c r="F172" s="3" t="s">
        <v>274</v>
      </c>
      <c r="G172" s="7" t="s">
        <v>435</v>
      </c>
      <c r="H172" s="3" t="s">
        <v>418</v>
      </c>
    </row>
    <row r="173" spans="1:8" ht="28.5">
      <c r="A173" s="3">
        <v>155</v>
      </c>
      <c r="B173" s="3" t="s">
        <v>473</v>
      </c>
      <c r="C173" s="3" t="s">
        <v>506</v>
      </c>
      <c r="D173" s="3" t="s">
        <v>507</v>
      </c>
      <c r="E173" s="10" t="str">
        <f>E99&amp;"-"&amp;E100</f>
        <v>2-4</v>
      </c>
      <c r="F173" s="3" t="s">
        <v>305</v>
      </c>
      <c r="G173" s="7" t="s">
        <v>435</v>
      </c>
      <c r="H173" s="3" t="s">
        <v>306</v>
      </c>
    </row>
    <row r="174" spans="1:8" ht="28.5">
      <c r="A174" s="3">
        <v>156</v>
      </c>
      <c r="B174" s="3" t="s">
        <v>473</v>
      </c>
      <c r="C174" s="3" t="s">
        <v>508</v>
      </c>
      <c r="D174" s="3" t="s">
        <v>509</v>
      </c>
      <c r="E174" s="10" t="str">
        <f>E113&amp;"-"&amp;E114</f>
        <v>3-5</v>
      </c>
      <c r="F174" s="3" t="s">
        <v>305</v>
      </c>
      <c r="G174" s="7" t="s">
        <v>435</v>
      </c>
      <c r="H174" s="3" t="s">
        <v>306</v>
      </c>
    </row>
    <row r="175" spans="1:8" ht="28.5">
      <c r="A175" s="3">
        <v>157</v>
      </c>
      <c r="B175" s="3" t="s">
        <v>473</v>
      </c>
      <c r="C175" s="3" t="s">
        <v>510</v>
      </c>
      <c r="D175" s="3" t="s">
        <v>511</v>
      </c>
      <c r="E175" s="10" t="s">
        <v>512</v>
      </c>
      <c r="F175" s="3" t="s">
        <v>105</v>
      </c>
      <c r="G175" s="7" t="s">
        <v>435</v>
      </c>
      <c r="H175" s="3" t="s">
        <v>513</v>
      </c>
    </row>
    <row r="176" spans="1:8" ht="28.5">
      <c r="A176" s="3">
        <v>158</v>
      </c>
      <c r="B176" s="3" t="s">
        <v>473</v>
      </c>
      <c r="C176" s="3" t="s">
        <v>514</v>
      </c>
      <c r="D176" s="3" t="s">
        <v>515</v>
      </c>
      <c r="E176" s="10" t="s">
        <v>516</v>
      </c>
      <c r="F176" s="3" t="s">
        <v>274</v>
      </c>
      <c r="G176" s="7" t="s">
        <v>435</v>
      </c>
      <c r="H176" s="3" t="s">
        <v>517</v>
      </c>
    </row>
    <row r="177" spans="1:8" ht="28.5">
      <c r="A177" s="3">
        <v>159</v>
      </c>
      <c r="B177" s="3" t="s">
        <v>473</v>
      </c>
      <c r="C177" s="3" t="s">
        <v>518</v>
      </c>
      <c r="D177" s="3" t="s">
        <v>519</v>
      </c>
      <c r="E177" s="10" t="s">
        <v>520</v>
      </c>
      <c r="F177" s="3" t="s">
        <v>51</v>
      </c>
      <c r="G177" s="7" t="s">
        <v>435</v>
      </c>
      <c r="H177" s="3" t="s">
        <v>521</v>
      </c>
    </row>
    <row r="178" spans="1:8" ht="26.1" customHeight="1">
      <c r="A178" s="4"/>
      <c r="B178" s="4" t="s">
        <v>522</v>
      </c>
      <c r="C178" s="4" t="s">
        <v>523</v>
      </c>
      <c r="D178" s="4"/>
      <c r="E178" s="9"/>
      <c r="F178" s="4"/>
      <c r="G178" s="4" t="s">
        <v>10</v>
      </c>
      <c r="H178" s="4" t="s">
        <v>524</v>
      </c>
    </row>
    <row r="179" spans="1:8" ht="28.5">
      <c r="A179" s="3">
        <v>160</v>
      </c>
      <c r="B179" s="3" t="s">
        <v>522</v>
      </c>
      <c r="C179" s="3" t="s">
        <v>525</v>
      </c>
      <c r="D179" s="3" t="s">
        <v>526</v>
      </c>
      <c r="E179" s="10" t="s">
        <v>527</v>
      </c>
      <c r="F179" s="3" t="s">
        <v>528</v>
      </c>
      <c r="G179" s="8" t="s">
        <v>529</v>
      </c>
      <c r="H179" s="3" t="s">
        <v>530</v>
      </c>
    </row>
    <row r="180" spans="1:8" ht="28.5">
      <c r="A180" s="3">
        <v>161</v>
      </c>
      <c r="B180" s="3" t="s">
        <v>522</v>
      </c>
      <c r="C180" s="3" t="s">
        <v>531</v>
      </c>
      <c r="D180" s="3" t="s">
        <v>532</v>
      </c>
      <c r="E180" s="10" t="s">
        <v>533</v>
      </c>
      <c r="F180" s="3" t="s">
        <v>528</v>
      </c>
      <c r="G180" s="8" t="s">
        <v>529</v>
      </c>
      <c r="H180" s="3" t="s">
        <v>534</v>
      </c>
    </row>
    <row r="181" spans="1:8" ht="28.5">
      <c r="A181" s="3">
        <v>162</v>
      </c>
      <c r="B181" s="3" t="s">
        <v>522</v>
      </c>
      <c r="C181" s="3" t="s">
        <v>535</v>
      </c>
      <c r="D181" s="3" t="s">
        <v>536</v>
      </c>
      <c r="E181" s="10" t="s">
        <v>537</v>
      </c>
      <c r="F181" s="3" t="s">
        <v>528</v>
      </c>
      <c r="G181" s="8" t="s">
        <v>529</v>
      </c>
      <c r="H181" s="3" t="s">
        <v>538</v>
      </c>
    </row>
    <row r="182" spans="1:8" ht="156.75">
      <c r="A182" s="3">
        <v>163</v>
      </c>
      <c r="B182" s="3" t="s">
        <v>522</v>
      </c>
      <c r="C182" s="3" t="s">
        <v>539</v>
      </c>
      <c r="D182" s="3" t="s">
        <v>540</v>
      </c>
      <c r="E182" s="10" t="s">
        <v>541</v>
      </c>
      <c r="F182" s="3" t="s">
        <v>542</v>
      </c>
      <c r="G182" s="8" t="s">
        <v>529</v>
      </c>
      <c r="H182" s="3" t="s">
        <v>543</v>
      </c>
    </row>
    <row r="183" spans="1:8" ht="71.25">
      <c r="A183" s="3">
        <v>164</v>
      </c>
      <c r="B183" s="3" t="s">
        <v>522</v>
      </c>
      <c r="C183" s="3" t="s">
        <v>544</v>
      </c>
      <c r="D183" s="3" t="s">
        <v>545</v>
      </c>
      <c r="E183" s="10" t="s">
        <v>546</v>
      </c>
      <c r="F183" s="3" t="s">
        <v>542</v>
      </c>
      <c r="G183" s="8" t="s">
        <v>529</v>
      </c>
      <c r="H183" s="3" t="s">
        <v>547</v>
      </c>
    </row>
    <row r="184" spans="1:8" ht="71.25">
      <c r="A184" s="3">
        <v>165</v>
      </c>
      <c r="B184" s="3" t="s">
        <v>522</v>
      </c>
      <c r="C184" s="3" t="s">
        <v>548</v>
      </c>
      <c r="D184" s="3" t="s">
        <v>549</v>
      </c>
      <c r="E184" s="10" t="s">
        <v>550</v>
      </c>
      <c r="F184" s="3" t="s">
        <v>542</v>
      </c>
      <c r="G184" s="8" t="s">
        <v>529</v>
      </c>
      <c r="H184" s="3" t="s">
        <v>551</v>
      </c>
    </row>
    <row r="185" spans="1:8" ht="85.5">
      <c r="A185" s="3">
        <v>166</v>
      </c>
      <c r="B185" s="3" t="s">
        <v>522</v>
      </c>
      <c r="C185" s="3" t="s">
        <v>552</v>
      </c>
      <c r="D185" s="3" t="s">
        <v>553</v>
      </c>
      <c r="E185" s="10" t="s">
        <v>554</v>
      </c>
      <c r="F185" s="3" t="s">
        <v>105</v>
      </c>
      <c r="G185" s="8" t="s">
        <v>555</v>
      </c>
      <c r="H185" s="3" t="s">
        <v>556</v>
      </c>
    </row>
    <row r="187" spans="1:8" ht="42.75" customHeight="1">
      <c r="A187" s="67"/>
      <c r="B187" s="68" t="s">
        <v>569</v>
      </c>
      <c r="C187" s="68" t="s">
        <v>570</v>
      </c>
      <c r="D187" s="68"/>
      <c r="E187" s="68"/>
      <c r="F187" s="68"/>
      <c r="G187" s="68" t="s">
        <v>10</v>
      </c>
      <c r="H187" s="69" t="s">
        <v>571</v>
      </c>
    </row>
    <row r="188" spans="1:8" ht="18" customHeight="1">
      <c r="A188" s="70">
        <v>167</v>
      </c>
      <c r="B188" s="71" t="s">
        <v>569</v>
      </c>
      <c r="C188" s="71" t="s">
        <v>572</v>
      </c>
      <c r="D188" s="71" t="s">
        <v>573</v>
      </c>
      <c r="E188" s="23">
        <f>MBBR_Diffuser!E12</f>
        <v>26.25</v>
      </c>
      <c r="F188" s="71" t="s">
        <v>574</v>
      </c>
      <c r="G188" s="71" t="s">
        <v>435</v>
      </c>
      <c r="H188" s="72" t="s">
        <v>575</v>
      </c>
    </row>
    <row r="189" spans="1:8" ht="18" customHeight="1">
      <c r="A189" s="70">
        <v>168</v>
      </c>
      <c r="B189" s="71" t="s">
        <v>569</v>
      </c>
      <c r="C189" s="71" t="s">
        <v>576</v>
      </c>
      <c r="D189" s="71" t="s">
        <v>577</v>
      </c>
      <c r="E189" s="23">
        <f>MBBR_Diffuser!E16</f>
        <v>26.25</v>
      </c>
      <c r="F189" s="71" t="s">
        <v>574</v>
      </c>
      <c r="G189" s="71" t="s">
        <v>435</v>
      </c>
      <c r="H189" s="72" t="s">
        <v>578</v>
      </c>
    </row>
    <row r="190" spans="1:8" ht="18" customHeight="1">
      <c r="A190" s="70">
        <v>169</v>
      </c>
      <c r="B190" s="71" t="s">
        <v>569</v>
      </c>
      <c r="C190" s="71" t="s">
        <v>579</v>
      </c>
      <c r="D190" s="71" t="s">
        <v>580</v>
      </c>
      <c r="E190" s="23">
        <f>MBBR_Diffuser!E22</f>
        <v>1</v>
      </c>
      <c r="F190" s="71" t="s">
        <v>581</v>
      </c>
      <c r="G190" s="71" t="s">
        <v>435</v>
      </c>
      <c r="H190" s="72" t="s">
        <v>582</v>
      </c>
    </row>
    <row r="191" spans="1:8" ht="18" customHeight="1">
      <c r="A191" s="70">
        <v>170</v>
      </c>
      <c r="B191" s="71" t="s">
        <v>569</v>
      </c>
      <c r="C191" s="71" t="s">
        <v>583</v>
      </c>
      <c r="D191" s="71" t="s">
        <v>584</v>
      </c>
      <c r="E191" s="23">
        <f>MBBR_Diffuser!E27</f>
        <v>0.5</v>
      </c>
      <c r="F191" s="71" t="s">
        <v>585</v>
      </c>
      <c r="G191" s="71" t="s">
        <v>435</v>
      </c>
      <c r="H191" s="72" t="s">
        <v>586</v>
      </c>
    </row>
    <row r="192" spans="1:8" ht="18" customHeight="1">
      <c r="A192" s="70">
        <v>171</v>
      </c>
      <c r="B192" s="71" t="s">
        <v>569</v>
      </c>
      <c r="C192" s="71" t="s">
        <v>587</v>
      </c>
      <c r="D192" s="71" t="s">
        <v>588</v>
      </c>
      <c r="E192" s="23">
        <f>MBBR_Diffuser!E30</f>
        <v>0.88422719006418127</v>
      </c>
      <c r="F192" s="71" t="s">
        <v>589</v>
      </c>
      <c r="G192" s="71" t="s">
        <v>435</v>
      </c>
      <c r="H192" s="72" t="s">
        <v>590</v>
      </c>
    </row>
    <row r="193" spans="1:8" ht="18" customHeight="1">
      <c r="A193" s="70">
        <v>172</v>
      </c>
      <c r="B193" s="71" t="s">
        <v>569</v>
      </c>
      <c r="C193" s="71" t="s">
        <v>591</v>
      </c>
      <c r="D193" s="71" t="s">
        <v>592</v>
      </c>
      <c r="E193" s="23">
        <f>MBBR_Diffuser!E31</f>
        <v>30</v>
      </c>
      <c r="F193" s="71" t="s">
        <v>593</v>
      </c>
      <c r="G193" s="71" t="s">
        <v>435</v>
      </c>
      <c r="H193" s="72" t="s">
        <v>594</v>
      </c>
    </row>
    <row r="194" spans="1:8" ht="39.75" customHeight="1">
      <c r="A194" s="70">
        <v>173</v>
      </c>
      <c r="B194" s="71" t="s">
        <v>569</v>
      </c>
      <c r="C194" s="71" t="s">
        <v>595</v>
      </c>
      <c r="D194" s="71" t="s">
        <v>596</v>
      </c>
      <c r="E194" s="23" t="s">
        <v>597</v>
      </c>
      <c r="F194" s="71" t="s">
        <v>105</v>
      </c>
      <c r="G194" s="71" t="s">
        <v>529</v>
      </c>
      <c r="H194" s="72" t="s">
        <v>598</v>
      </c>
    </row>
    <row r="195" spans="1:8" ht="18" customHeight="1">
      <c r="A195" s="70">
        <v>174</v>
      </c>
      <c r="B195" s="71" t="s">
        <v>569</v>
      </c>
      <c r="C195" s="71" t="s">
        <v>599</v>
      </c>
      <c r="D195" s="71" t="s">
        <v>600</v>
      </c>
      <c r="E195" s="23">
        <f>MBBR_Diffuser!E86</f>
        <v>50</v>
      </c>
      <c r="F195" s="71" t="s">
        <v>601</v>
      </c>
      <c r="G195" s="71" t="s">
        <v>435</v>
      </c>
      <c r="H195" s="72" t="s">
        <v>602</v>
      </c>
    </row>
    <row r="196" spans="1:8" ht="48" customHeight="1">
      <c r="A196" s="70">
        <v>175</v>
      </c>
      <c r="B196" s="71" t="s">
        <v>569</v>
      </c>
      <c r="C196" s="71" t="s">
        <v>603</v>
      </c>
      <c r="D196" s="71" t="s">
        <v>604</v>
      </c>
      <c r="E196" s="23" t="str">
        <f>MBBR_Diffuser!E19</f>
        <v>PROVISIONAL: BELUM ADA DATA OTR</v>
      </c>
      <c r="F196" s="71" t="s">
        <v>105</v>
      </c>
      <c r="G196" s="71" t="s">
        <v>435</v>
      </c>
      <c r="H196" s="72" t="s">
        <v>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E22" sqref="E22"/>
    </sheetView>
  </sheetViews>
  <sheetFormatPr defaultRowHeight="14.25"/>
  <cols>
    <col min="1" max="1" width="28" customWidth="1"/>
    <col min="2" max="2" width="22" customWidth="1"/>
  </cols>
  <sheetData>
    <row r="1" spans="1:2" ht="15">
      <c r="A1" s="80" t="s">
        <v>557</v>
      </c>
      <c r="B1" s="81"/>
    </row>
    <row r="2" spans="1:2" ht="15">
      <c r="A2" s="12" t="s">
        <v>558</v>
      </c>
      <c r="B2" s="12" t="s">
        <v>4</v>
      </c>
    </row>
    <row r="3" spans="1:2">
      <c r="A3" s="1" t="s">
        <v>476</v>
      </c>
      <c r="B3" s="1">
        <f>Model_Desain!E82</f>
        <v>409.5</v>
      </c>
    </row>
    <row r="4" spans="1:2">
      <c r="A4" s="1" t="s">
        <v>478</v>
      </c>
      <c r="B4" s="1">
        <f>Model_Desain!E83</f>
        <v>819</v>
      </c>
    </row>
    <row r="5" spans="1:2">
      <c r="A5" s="1" t="s">
        <v>480</v>
      </c>
      <c r="B5" s="1">
        <f>Model_Desain!E88</f>
        <v>500</v>
      </c>
    </row>
    <row r="6" spans="1:2">
      <c r="A6" s="1" t="s">
        <v>483</v>
      </c>
      <c r="B6" s="1">
        <f>Model_Desain!E96</f>
        <v>1000</v>
      </c>
    </row>
    <row r="7" spans="1:2">
      <c r="A7" s="1" t="s">
        <v>486</v>
      </c>
      <c r="B7" s="1">
        <f>Model_Desain!E106</f>
        <v>750</v>
      </c>
    </row>
    <row r="8" spans="1:2">
      <c r="A8" s="1" t="s">
        <v>489</v>
      </c>
      <c r="B8" s="1">
        <f>Model_Desain!E111</f>
        <v>225</v>
      </c>
    </row>
    <row r="9" spans="1:2">
      <c r="A9" s="1" t="s">
        <v>493</v>
      </c>
      <c r="B9" s="1">
        <f>Model_Desain!E120</f>
        <v>250</v>
      </c>
    </row>
    <row r="10" spans="1:2">
      <c r="A10" s="1" t="s">
        <v>380</v>
      </c>
      <c r="B10" s="1">
        <f>Model_Desain!E129</f>
        <v>500</v>
      </c>
    </row>
    <row r="11" spans="1:2">
      <c r="A11" s="1" t="s">
        <v>383</v>
      </c>
      <c r="B11" s="1">
        <f>Model_Desain!E130</f>
        <v>1000</v>
      </c>
    </row>
    <row r="12" spans="1:2">
      <c r="A12" s="1" t="s">
        <v>500</v>
      </c>
      <c r="B12" s="1">
        <f>Model_Desain!E138</f>
        <v>2500</v>
      </c>
    </row>
    <row r="13" spans="1:2">
      <c r="A13" s="1" t="s">
        <v>413</v>
      </c>
      <c r="B13" s="1">
        <f>Model_Desain!E140</f>
        <v>6.1050061050061046</v>
      </c>
    </row>
    <row r="14" spans="1:2">
      <c r="A14" s="1" t="s">
        <v>416</v>
      </c>
      <c r="B14" s="1">
        <f>Model_Desain!E141</f>
        <v>3.0525030525030523</v>
      </c>
    </row>
    <row r="15" spans="1:2">
      <c r="A15" s="1" t="s">
        <v>559</v>
      </c>
      <c r="B15" s="1">
        <f>Model_Desain!E99</f>
        <v>2</v>
      </c>
    </row>
    <row r="16" spans="1:2">
      <c r="A16" s="1" t="s">
        <v>560</v>
      </c>
      <c r="B16" s="1">
        <f>Model_Desain!E100</f>
        <v>4</v>
      </c>
    </row>
    <row r="17" spans="1:2">
      <c r="A17" s="1" t="s">
        <v>561</v>
      </c>
      <c r="B17" s="1">
        <f>Model_Desain!E113</f>
        <v>3</v>
      </c>
    </row>
    <row r="18" spans="1:2">
      <c r="A18" s="1" t="s">
        <v>562</v>
      </c>
      <c r="B18" s="1">
        <f>Model_Desain!E114</f>
        <v>5</v>
      </c>
    </row>
    <row r="20" spans="1:2" ht="36" customHeight="1">
      <c r="A20" s="64" t="s">
        <v>606</v>
      </c>
      <c r="B20" s="75">
        <f>MBBR_Diffuser!E12</f>
        <v>26.25</v>
      </c>
    </row>
    <row r="21" spans="1:2" ht="50.25" customHeight="1">
      <c r="A21" s="65" t="s">
        <v>607</v>
      </c>
      <c r="B21" s="76">
        <f>MBBR_Diffuser!E16</f>
        <v>26.25</v>
      </c>
    </row>
    <row r="22" spans="1:2" ht="18.95" customHeight="1">
      <c r="A22" s="65" t="s">
        <v>608</v>
      </c>
      <c r="B22" s="76">
        <f>MBBR_Diffuser!E22</f>
        <v>1</v>
      </c>
    </row>
    <row r="23" spans="1:2" ht="27" customHeight="1">
      <c r="A23" s="65" t="s">
        <v>609</v>
      </c>
      <c r="B23" s="76">
        <f>MBBR_Diffuser!E27</f>
        <v>0.5</v>
      </c>
    </row>
    <row r="24" spans="1:2" ht="36.75" customHeight="1">
      <c r="A24" s="65" t="s">
        <v>610</v>
      </c>
      <c r="B24" s="76">
        <f>MBBR_Diffuser!E30</f>
        <v>0.88422719006418127</v>
      </c>
    </row>
    <row r="25" spans="1:2" ht="24" customHeight="1">
      <c r="A25" s="65" t="s">
        <v>611</v>
      </c>
      <c r="B25" s="73" t="s">
        <v>597</v>
      </c>
    </row>
    <row r="26" spans="1:2" ht="33.75" customHeight="1">
      <c r="A26" s="66" t="s">
        <v>612</v>
      </c>
      <c r="B26" s="74" t="str">
        <f>MBBR_Diffuser!E19</f>
        <v>PROVISIONAL: BELUM ADA DATA OTR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4.25"/>
  <cols>
    <col min="1" max="1" width="120" customWidth="1"/>
  </cols>
  <sheetData>
    <row r="1" spans="1:1" ht="18">
      <c r="A1" s="11" t="s">
        <v>563</v>
      </c>
    </row>
    <row r="2" spans="1:1">
      <c r="A2" s="1" t="s">
        <v>564</v>
      </c>
    </row>
    <row r="3" spans="1:1">
      <c r="A3" s="1" t="s">
        <v>565</v>
      </c>
    </row>
    <row r="4" spans="1:1">
      <c r="A4" s="1" t="s">
        <v>566</v>
      </c>
    </row>
    <row r="5" spans="1:1" ht="28.5">
      <c r="A5" s="1" t="s">
        <v>567</v>
      </c>
    </row>
    <row r="6" spans="1:1">
      <c r="A6" s="1" t="s">
        <v>568</v>
      </c>
    </row>
    <row r="7" spans="1:1" ht="36" customHeight="1">
      <c r="A7" s="77" t="s">
        <v>613</v>
      </c>
    </row>
    <row r="8" spans="1:1" ht="36" customHeight="1">
      <c r="A8" s="78" t="s">
        <v>614</v>
      </c>
    </row>
    <row r="9" spans="1:1" ht="36" customHeight="1">
      <c r="A9" s="78" t="s">
        <v>615</v>
      </c>
    </row>
    <row r="10" spans="1:1" ht="36" customHeight="1">
      <c r="A10" s="79" t="s">
        <v>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2"/>
  <sheetViews>
    <sheetView workbookViewId="0">
      <selection activeCell="B6" sqref="B6"/>
    </sheetView>
  </sheetViews>
  <sheetFormatPr defaultRowHeight="14.25"/>
  <cols>
    <col min="1" max="1" width="14" customWidth="1"/>
    <col min="2" max="2" width="27.625" customWidth="1"/>
    <col min="3" max="3" width="35.25" customWidth="1"/>
    <col min="4" max="4" width="25" customWidth="1"/>
    <col min="5" max="5" width="18" customWidth="1"/>
    <col min="6" max="6" width="15" customWidth="1"/>
    <col min="7" max="7" width="13" customWidth="1"/>
    <col min="8" max="8" width="52" customWidth="1"/>
    <col min="9" max="9" width="3" customWidth="1"/>
    <col min="10" max="21" width="13" customWidth="1"/>
  </cols>
  <sheetData>
    <row r="1" spans="1:21" ht="26.1" customHeight="1">
      <c r="A1" s="82" t="s">
        <v>617</v>
      </c>
      <c r="B1" s="82"/>
      <c r="C1" s="82"/>
      <c r="D1" s="82"/>
      <c r="E1" s="82"/>
      <c r="F1" s="82"/>
      <c r="G1" s="82"/>
      <c r="H1" s="82"/>
    </row>
    <row r="2" spans="1:21" ht="33.950000000000003" customHeight="1">
      <c r="A2" s="83" t="s">
        <v>618</v>
      </c>
      <c r="B2" s="83"/>
      <c r="C2" s="83"/>
      <c r="D2" s="83"/>
      <c r="E2" s="83"/>
      <c r="F2" s="83"/>
      <c r="G2" s="83"/>
      <c r="H2" s="83"/>
    </row>
    <row r="4" spans="1:21" ht="21.95" customHeight="1">
      <c r="A4" s="14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6" t="s">
        <v>7</v>
      </c>
      <c r="J4" s="82" t="s">
        <v>619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</row>
    <row r="5" spans="1:21" ht="18" customHeight="1">
      <c r="A5" s="24"/>
      <c r="B5" s="21" t="s">
        <v>620</v>
      </c>
      <c r="C5" s="21" t="s">
        <v>621</v>
      </c>
      <c r="D5" s="27"/>
      <c r="E5" s="21"/>
      <c r="F5" s="27"/>
      <c r="G5" s="27" t="s">
        <v>10</v>
      </c>
      <c r="H5" s="22" t="s">
        <v>622</v>
      </c>
      <c r="J5" s="83" t="s">
        <v>623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1" ht="18" customHeight="1">
      <c r="A6" s="25">
        <v>1</v>
      </c>
      <c r="B6" s="17" t="s">
        <v>620</v>
      </c>
      <c r="C6" s="17" t="s">
        <v>323</v>
      </c>
      <c r="D6" s="28" t="s">
        <v>324</v>
      </c>
      <c r="E6" s="30">
        <f>Model_Desain!E106</f>
        <v>750</v>
      </c>
      <c r="F6" s="28" t="s">
        <v>31</v>
      </c>
      <c r="G6" s="28" t="s">
        <v>24</v>
      </c>
      <c r="H6" s="18" t="s">
        <v>624</v>
      </c>
    </row>
    <row r="7" spans="1:21" ht="18" customHeight="1">
      <c r="A7" s="25">
        <v>2</v>
      </c>
      <c r="B7" s="17" t="s">
        <v>620</v>
      </c>
      <c r="C7" s="17" t="s">
        <v>329</v>
      </c>
      <c r="D7" s="28" t="s">
        <v>330</v>
      </c>
      <c r="E7" s="34">
        <f>Model_Desain!E109</f>
        <v>0.3</v>
      </c>
      <c r="F7" s="28" t="s">
        <v>237</v>
      </c>
      <c r="G7" s="28" t="s">
        <v>24</v>
      </c>
      <c r="H7" s="18" t="s">
        <v>624</v>
      </c>
      <c r="K7" s="84" t="s">
        <v>625</v>
      </c>
      <c r="L7" s="84"/>
      <c r="M7" s="84"/>
      <c r="N7" s="84"/>
      <c r="O7" s="84"/>
      <c r="P7" s="84"/>
      <c r="Q7" s="84"/>
      <c r="R7" s="84"/>
      <c r="S7" s="84"/>
      <c r="T7" s="84"/>
    </row>
    <row r="8" spans="1:21" ht="18" customHeight="1">
      <c r="A8" s="25">
        <v>3</v>
      </c>
      <c r="B8" s="17" t="s">
        <v>620</v>
      </c>
      <c r="C8" s="17" t="s">
        <v>626</v>
      </c>
      <c r="D8" s="28" t="s">
        <v>627</v>
      </c>
      <c r="E8" s="30">
        <f>Model_Desain!E111</f>
        <v>225</v>
      </c>
      <c r="F8" s="28" t="s">
        <v>31</v>
      </c>
      <c r="G8" s="28" t="s">
        <v>24</v>
      </c>
      <c r="H8" s="18" t="s">
        <v>624</v>
      </c>
    </row>
    <row r="9" spans="1:21" ht="18" customHeight="1">
      <c r="A9" s="25">
        <v>4</v>
      </c>
      <c r="B9" s="17" t="s">
        <v>620</v>
      </c>
      <c r="C9" s="17" t="s">
        <v>628</v>
      </c>
      <c r="D9" s="28" t="s">
        <v>342</v>
      </c>
      <c r="E9" s="30">
        <f>Model_Desain!E113</f>
        <v>3</v>
      </c>
      <c r="F9" s="28" t="s">
        <v>305</v>
      </c>
      <c r="G9" s="28" t="s">
        <v>24</v>
      </c>
      <c r="H9" s="18" t="s">
        <v>624</v>
      </c>
      <c r="J9" s="39" t="s">
        <v>629</v>
      </c>
      <c r="K9" s="40" t="s">
        <v>630</v>
      </c>
      <c r="L9" s="41" t="s">
        <v>630</v>
      </c>
      <c r="M9" s="41" t="s">
        <v>630</v>
      </c>
      <c r="N9" s="41" t="s">
        <v>630</v>
      </c>
      <c r="O9" s="41" t="s">
        <v>630</v>
      </c>
      <c r="P9" s="41" t="s">
        <v>630</v>
      </c>
      <c r="Q9" s="41" t="s">
        <v>630</v>
      </c>
      <c r="R9" s="41" t="s">
        <v>630</v>
      </c>
      <c r="S9" s="41" t="s">
        <v>630</v>
      </c>
      <c r="T9" s="42" t="s">
        <v>630</v>
      </c>
      <c r="U9" s="43" t="s">
        <v>631</v>
      </c>
    </row>
    <row r="10" spans="1:21" ht="18" customHeight="1">
      <c r="A10" s="25">
        <v>5</v>
      </c>
      <c r="B10" s="17" t="s">
        <v>620</v>
      </c>
      <c r="C10" s="17" t="s">
        <v>632</v>
      </c>
      <c r="D10" s="28" t="s">
        <v>344</v>
      </c>
      <c r="E10" s="30">
        <f>Model_Desain!E114</f>
        <v>5</v>
      </c>
      <c r="F10" s="28" t="s">
        <v>305</v>
      </c>
      <c r="G10" s="28" t="s">
        <v>24</v>
      </c>
      <c r="H10" s="18" t="s">
        <v>624</v>
      </c>
    </row>
    <row r="11" spans="1:21" ht="18" customHeight="1">
      <c r="A11" s="25">
        <v>6</v>
      </c>
      <c r="B11" s="17" t="s">
        <v>620</v>
      </c>
      <c r="C11" s="17" t="s">
        <v>633</v>
      </c>
      <c r="D11" s="28" t="s">
        <v>634</v>
      </c>
      <c r="E11" s="31">
        <v>35</v>
      </c>
      <c r="F11" s="28" t="s">
        <v>635</v>
      </c>
      <c r="G11" s="28" t="s">
        <v>15</v>
      </c>
      <c r="H11" s="18" t="s">
        <v>636</v>
      </c>
    </row>
    <row r="12" spans="1:21" ht="18" customHeight="1">
      <c r="A12" s="25">
        <v>7</v>
      </c>
      <c r="B12" s="17" t="s">
        <v>620</v>
      </c>
      <c r="C12" s="17" t="s">
        <v>637</v>
      </c>
      <c r="D12" s="28" t="s">
        <v>638</v>
      </c>
      <c r="E12" s="30">
        <f>E6/1000*E11</f>
        <v>26.25</v>
      </c>
      <c r="F12" s="28" t="s">
        <v>574</v>
      </c>
      <c r="G12" s="28" t="s">
        <v>24</v>
      </c>
      <c r="H12" s="18" t="s">
        <v>639</v>
      </c>
      <c r="J12" s="39" t="s">
        <v>640</v>
      </c>
      <c r="K12" s="40" t="s">
        <v>630</v>
      </c>
      <c r="L12" s="41" t="s">
        <v>630</v>
      </c>
      <c r="M12" s="41" t="s">
        <v>630</v>
      </c>
      <c r="N12" s="41" t="s">
        <v>630</v>
      </c>
      <c r="O12" s="41" t="s">
        <v>630</v>
      </c>
      <c r="P12" s="41" t="s">
        <v>630</v>
      </c>
      <c r="Q12" s="41" t="s">
        <v>630</v>
      </c>
      <c r="R12" s="41" t="s">
        <v>630</v>
      </c>
      <c r="S12" s="41" t="s">
        <v>630</v>
      </c>
      <c r="T12" s="42" t="s">
        <v>630</v>
      </c>
      <c r="U12" s="43" t="s">
        <v>631</v>
      </c>
    </row>
    <row r="13" spans="1:21" ht="18" customHeight="1">
      <c r="A13" s="25">
        <v>8</v>
      </c>
      <c r="B13" s="17" t="s">
        <v>620</v>
      </c>
      <c r="C13" s="17" t="s">
        <v>641</v>
      </c>
      <c r="D13" s="28" t="s">
        <v>642</v>
      </c>
      <c r="E13" s="31">
        <v>0</v>
      </c>
      <c r="F13" s="28" t="s">
        <v>643</v>
      </c>
      <c r="G13" s="28" t="s">
        <v>15</v>
      </c>
      <c r="H13" s="18" t="s">
        <v>644</v>
      </c>
    </row>
    <row r="14" spans="1:21" ht="18" customHeight="1">
      <c r="A14" s="25">
        <v>9</v>
      </c>
      <c r="B14" s="17" t="s">
        <v>620</v>
      </c>
      <c r="C14" s="17" t="s">
        <v>645</v>
      </c>
      <c r="D14" s="28" t="s">
        <v>646</v>
      </c>
      <c r="E14" s="31">
        <v>0</v>
      </c>
      <c r="F14" s="28" t="s">
        <v>237</v>
      </c>
      <c r="G14" s="28" t="s">
        <v>15</v>
      </c>
      <c r="H14" s="18" t="s">
        <v>647</v>
      </c>
    </row>
    <row r="15" spans="1:21" ht="18" customHeight="1">
      <c r="A15" s="25">
        <v>10</v>
      </c>
      <c r="B15" s="17" t="s">
        <v>620</v>
      </c>
      <c r="C15" s="17" t="s">
        <v>648</v>
      </c>
      <c r="D15" s="28" t="s">
        <v>649</v>
      </c>
      <c r="E15" s="30">
        <f>IF(E13*E14&gt;0,E13/(60*1.204*0.232*E14)*1000,0)</f>
        <v>0</v>
      </c>
      <c r="F15" s="28" t="s">
        <v>574</v>
      </c>
      <c r="G15" s="28" t="s">
        <v>24</v>
      </c>
      <c r="H15" s="18" t="s">
        <v>650</v>
      </c>
      <c r="J15" s="39" t="s">
        <v>651</v>
      </c>
      <c r="K15" s="40" t="s">
        <v>630</v>
      </c>
      <c r="L15" s="41" t="s">
        <v>630</v>
      </c>
      <c r="M15" s="41" t="s">
        <v>630</v>
      </c>
      <c r="N15" s="41" t="s">
        <v>630</v>
      </c>
      <c r="O15" s="41" t="s">
        <v>630</v>
      </c>
      <c r="P15" s="41" t="s">
        <v>630</v>
      </c>
      <c r="Q15" s="41" t="s">
        <v>630</v>
      </c>
      <c r="R15" s="41" t="s">
        <v>630</v>
      </c>
      <c r="S15" s="41" t="s">
        <v>630</v>
      </c>
      <c r="T15" s="42" t="s">
        <v>630</v>
      </c>
      <c r="U15" s="43" t="s">
        <v>631</v>
      </c>
    </row>
    <row r="16" spans="1:21" ht="18" customHeight="1">
      <c r="A16" s="25">
        <v>11</v>
      </c>
      <c r="B16" s="17" t="s">
        <v>620</v>
      </c>
      <c r="C16" s="17" t="s">
        <v>576</v>
      </c>
      <c r="D16" s="28" t="s">
        <v>652</v>
      </c>
      <c r="E16" s="30">
        <f>MAX(E12,E15)</f>
        <v>26.25</v>
      </c>
      <c r="F16" s="28" t="s">
        <v>574</v>
      </c>
      <c r="G16" s="28" t="s">
        <v>24</v>
      </c>
      <c r="H16" s="18" t="s">
        <v>653</v>
      </c>
    </row>
    <row r="17" spans="1:21" ht="30" customHeight="1">
      <c r="A17" s="25">
        <v>12</v>
      </c>
      <c r="B17" s="17" t="s">
        <v>620</v>
      </c>
      <c r="C17" s="17" t="s">
        <v>654</v>
      </c>
      <c r="D17" s="28" t="s">
        <v>655</v>
      </c>
      <c r="E17" s="31">
        <v>1</v>
      </c>
      <c r="F17" s="28" t="s">
        <v>237</v>
      </c>
      <c r="G17" s="28" t="s">
        <v>15</v>
      </c>
      <c r="H17" s="18" t="s">
        <v>656</v>
      </c>
      <c r="J17" s="85" t="s">
        <v>657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</row>
    <row r="18" spans="1:21" ht="18" customHeight="1">
      <c r="A18" s="25">
        <v>13</v>
      </c>
      <c r="B18" s="17" t="s">
        <v>620</v>
      </c>
      <c r="C18" s="17" t="s">
        <v>658</v>
      </c>
      <c r="D18" s="28" t="s">
        <v>659</v>
      </c>
      <c r="E18" s="30">
        <f>E16*E17</f>
        <v>26.25</v>
      </c>
      <c r="F18" s="28" t="s">
        <v>574</v>
      </c>
      <c r="G18" s="28" t="s">
        <v>24</v>
      </c>
      <c r="H18" s="18" t="s">
        <v>660</v>
      </c>
    </row>
    <row r="19" spans="1:21" ht="55.5" customHeight="1">
      <c r="A19" s="25">
        <v>14</v>
      </c>
      <c r="B19" s="17" t="s">
        <v>620</v>
      </c>
      <c r="C19" s="17" t="s">
        <v>661</v>
      </c>
      <c r="D19" s="28" t="s">
        <v>662</v>
      </c>
      <c r="E19" s="37" t="str">
        <f>IF(E13*E14&gt;0,"VERIFIKASI OTR + WET TEST","PROVISIONAL: BELUM ADA DATA OTR")</f>
        <v>PROVISIONAL: BELUM ADA DATA OTR</v>
      </c>
      <c r="F19" s="28" t="s">
        <v>105</v>
      </c>
      <c r="G19" s="28" t="s">
        <v>435</v>
      </c>
      <c r="H19" s="18" t="s">
        <v>663</v>
      </c>
    </row>
    <row r="20" spans="1:21">
      <c r="A20" s="25"/>
      <c r="B20" s="17"/>
      <c r="C20" s="17"/>
      <c r="D20" s="28"/>
      <c r="E20" s="32"/>
      <c r="F20" s="28"/>
      <c r="G20" s="28"/>
      <c r="H20" s="18"/>
    </row>
    <row r="21" spans="1:21" ht="18" customHeight="1">
      <c r="A21" s="24"/>
      <c r="B21" s="21" t="s">
        <v>664</v>
      </c>
      <c r="C21" s="21" t="s">
        <v>665</v>
      </c>
      <c r="D21" s="27"/>
      <c r="E21" s="33"/>
      <c r="F21" s="27"/>
      <c r="G21" s="27" t="s">
        <v>10</v>
      </c>
      <c r="H21" s="22" t="s">
        <v>666</v>
      </c>
    </row>
    <row r="22" spans="1:21" ht="18" customHeight="1">
      <c r="A22" s="25">
        <v>15</v>
      </c>
      <c r="B22" s="17" t="s">
        <v>664</v>
      </c>
      <c r="C22" s="17" t="s">
        <v>579</v>
      </c>
      <c r="D22" s="28" t="s">
        <v>667</v>
      </c>
      <c r="E22" s="31">
        <v>1</v>
      </c>
      <c r="F22" s="28" t="s">
        <v>581</v>
      </c>
      <c r="G22" s="28" t="s">
        <v>15</v>
      </c>
      <c r="H22" s="18" t="s">
        <v>668</v>
      </c>
    </row>
    <row r="23" spans="1:21" ht="18" customHeight="1">
      <c r="A23" s="25">
        <v>16</v>
      </c>
      <c r="B23" s="17" t="s">
        <v>664</v>
      </c>
      <c r="C23" s="17" t="s">
        <v>579</v>
      </c>
      <c r="D23" s="28" t="s">
        <v>669</v>
      </c>
      <c r="E23" s="35">
        <f>E22/1000</f>
        <v>1E-3</v>
      </c>
      <c r="F23" s="28" t="s">
        <v>14</v>
      </c>
      <c r="G23" s="28" t="s">
        <v>24</v>
      </c>
      <c r="H23" s="18" t="s">
        <v>670</v>
      </c>
    </row>
    <row r="24" spans="1:21" ht="18" customHeight="1">
      <c r="A24" s="25">
        <v>17</v>
      </c>
      <c r="B24" s="17" t="s">
        <v>664</v>
      </c>
      <c r="C24" s="17" t="s">
        <v>671</v>
      </c>
      <c r="D24" s="28" t="s">
        <v>672</v>
      </c>
      <c r="E24" s="35">
        <f>PI()*E23^2/4</f>
        <v>7.8539816339744823E-7</v>
      </c>
      <c r="F24" s="28" t="s">
        <v>23</v>
      </c>
      <c r="G24" s="28" t="s">
        <v>24</v>
      </c>
      <c r="H24" s="18" t="s">
        <v>673</v>
      </c>
    </row>
    <row r="25" spans="1:21" ht="18" customHeight="1">
      <c r="A25" s="25">
        <v>18</v>
      </c>
      <c r="B25" s="17" t="s">
        <v>664</v>
      </c>
      <c r="C25" s="17" t="s">
        <v>674</v>
      </c>
      <c r="D25" s="28" t="s">
        <v>675</v>
      </c>
      <c r="E25" s="31">
        <v>0.65</v>
      </c>
      <c r="F25" s="28" t="s">
        <v>105</v>
      </c>
      <c r="G25" s="28" t="s">
        <v>15</v>
      </c>
      <c r="H25" s="18" t="s">
        <v>676</v>
      </c>
    </row>
    <row r="26" spans="1:21" ht="18" customHeight="1">
      <c r="A26" s="25">
        <v>19</v>
      </c>
      <c r="B26" s="17" t="s">
        <v>664</v>
      </c>
      <c r="C26" s="17" t="s">
        <v>677</v>
      </c>
      <c r="D26" s="28" t="s">
        <v>678</v>
      </c>
      <c r="E26" s="31">
        <v>1.2</v>
      </c>
      <c r="F26" s="28" t="s">
        <v>679</v>
      </c>
      <c r="G26" s="28" t="s">
        <v>15</v>
      </c>
      <c r="H26" s="18" t="s">
        <v>680</v>
      </c>
    </row>
    <row r="27" spans="1:21" ht="18" customHeight="1">
      <c r="A27" s="25">
        <v>20</v>
      </c>
      <c r="B27" s="17" t="s">
        <v>664</v>
      </c>
      <c r="C27" s="17" t="s">
        <v>583</v>
      </c>
      <c r="D27" s="28" t="s">
        <v>681</v>
      </c>
      <c r="E27" s="31">
        <v>0.5</v>
      </c>
      <c r="F27" s="28" t="s">
        <v>585</v>
      </c>
      <c r="G27" s="28" t="s">
        <v>15</v>
      </c>
      <c r="H27" s="18" t="s">
        <v>682</v>
      </c>
    </row>
    <row r="28" spans="1:21" ht="18" customHeight="1">
      <c r="A28" s="25">
        <v>21</v>
      </c>
      <c r="B28" s="17" t="s">
        <v>664</v>
      </c>
      <c r="C28" s="17" t="s">
        <v>583</v>
      </c>
      <c r="D28" s="28" t="s">
        <v>683</v>
      </c>
      <c r="E28" s="30">
        <f>E27*1000</f>
        <v>500</v>
      </c>
      <c r="F28" s="28" t="s">
        <v>601</v>
      </c>
      <c r="G28" s="28" t="s">
        <v>24</v>
      </c>
      <c r="H28" s="18" t="s">
        <v>684</v>
      </c>
    </row>
    <row r="29" spans="1:21" ht="18" customHeight="1">
      <c r="A29" s="25">
        <v>22</v>
      </c>
      <c r="B29" s="17" t="s">
        <v>664</v>
      </c>
      <c r="C29" s="17" t="s">
        <v>583</v>
      </c>
      <c r="D29" s="28" t="s">
        <v>685</v>
      </c>
      <c r="E29" s="30">
        <f>E28/9.80665</f>
        <v>50.985810648896418</v>
      </c>
      <c r="F29" s="28" t="s">
        <v>686</v>
      </c>
      <c r="G29" s="28" t="s">
        <v>24</v>
      </c>
      <c r="H29" s="18" t="s">
        <v>687</v>
      </c>
    </row>
    <row r="30" spans="1:21" ht="18" customHeight="1">
      <c r="A30" s="25">
        <v>23</v>
      </c>
      <c r="B30" s="17" t="s">
        <v>664</v>
      </c>
      <c r="C30" s="17" t="s">
        <v>587</v>
      </c>
      <c r="D30" s="28" t="s">
        <v>688</v>
      </c>
      <c r="E30" s="30">
        <f>E25*E24*SQRT(2*E28/E26)*60000</f>
        <v>0.88422719006418127</v>
      </c>
      <c r="F30" s="28" t="s">
        <v>589</v>
      </c>
      <c r="G30" s="28" t="s">
        <v>24</v>
      </c>
      <c r="H30" s="18" t="s">
        <v>689</v>
      </c>
    </row>
    <row r="31" spans="1:21" ht="18" customHeight="1">
      <c r="A31" s="25">
        <v>24</v>
      </c>
      <c r="B31" s="17" t="s">
        <v>664</v>
      </c>
      <c r="C31" s="17" t="s">
        <v>591</v>
      </c>
      <c r="D31" s="28" t="s">
        <v>690</v>
      </c>
      <c r="E31" s="30">
        <f>ROUNDUP(E16/E30,0)</f>
        <v>30</v>
      </c>
      <c r="F31" s="28" t="s">
        <v>593</v>
      </c>
      <c r="G31" s="28" t="s">
        <v>24</v>
      </c>
      <c r="H31" s="18" t="s">
        <v>594</v>
      </c>
    </row>
    <row r="32" spans="1:21" ht="18" customHeight="1">
      <c r="A32" s="25">
        <v>25</v>
      </c>
      <c r="B32" s="17" t="s">
        <v>664</v>
      </c>
      <c r="C32" s="17" t="s">
        <v>691</v>
      </c>
      <c r="D32" s="28" t="s">
        <v>692</v>
      </c>
      <c r="E32" s="31">
        <v>30</v>
      </c>
      <c r="F32" s="28" t="s">
        <v>593</v>
      </c>
      <c r="G32" s="28" t="s">
        <v>15</v>
      </c>
      <c r="H32" s="18" t="s">
        <v>693</v>
      </c>
    </row>
    <row r="33" spans="1:8" ht="18" customHeight="1">
      <c r="A33" s="25">
        <v>26</v>
      </c>
      <c r="B33" s="17" t="s">
        <v>664</v>
      </c>
      <c r="C33" s="17" t="s">
        <v>694</v>
      </c>
      <c r="D33" s="28" t="s">
        <v>695</v>
      </c>
      <c r="E33" s="30">
        <f>E16/E32</f>
        <v>0.875</v>
      </c>
      <c r="F33" s="28" t="s">
        <v>589</v>
      </c>
      <c r="G33" s="28" t="s">
        <v>24</v>
      </c>
      <c r="H33" s="18" t="s">
        <v>696</v>
      </c>
    </row>
    <row r="34" spans="1:8" ht="18" customHeight="1">
      <c r="A34" s="25">
        <v>27</v>
      </c>
      <c r="B34" s="17" t="s">
        <v>664</v>
      </c>
      <c r="C34" s="17" t="s">
        <v>697</v>
      </c>
      <c r="D34" s="28" t="s">
        <v>698</v>
      </c>
      <c r="E34" s="30">
        <f>E28*(E33/E30)^2</f>
        <v>489.61913199946252</v>
      </c>
      <c r="F34" s="28" t="s">
        <v>601</v>
      </c>
      <c r="G34" s="28" t="s">
        <v>24</v>
      </c>
      <c r="H34" s="18" t="s">
        <v>699</v>
      </c>
    </row>
    <row r="35" spans="1:8" ht="18" customHeight="1">
      <c r="A35" s="25">
        <v>28</v>
      </c>
      <c r="B35" s="17" t="s">
        <v>664</v>
      </c>
      <c r="C35" s="17" t="s">
        <v>697</v>
      </c>
      <c r="D35" s="28" t="s">
        <v>700</v>
      </c>
      <c r="E35" s="30">
        <f>E34/1000</f>
        <v>0.4896191319994625</v>
      </c>
      <c r="F35" s="28" t="s">
        <v>585</v>
      </c>
      <c r="G35" s="28" t="s">
        <v>24</v>
      </c>
      <c r="H35" s="18" t="s">
        <v>701</v>
      </c>
    </row>
    <row r="36" spans="1:8" ht="18" customHeight="1">
      <c r="A36" s="25">
        <v>29</v>
      </c>
      <c r="B36" s="17" t="s">
        <v>664</v>
      </c>
      <c r="C36" s="17" t="s">
        <v>697</v>
      </c>
      <c r="D36" s="28" t="s">
        <v>702</v>
      </c>
      <c r="E36" s="30">
        <f>E34/9.80665</f>
        <v>49.927256708403235</v>
      </c>
      <c r="F36" s="28" t="s">
        <v>686</v>
      </c>
      <c r="G36" s="28" t="s">
        <v>24</v>
      </c>
      <c r="H36" s="18" t="s">
        <v>703</v>
      </c>
    </row>
    <row r="37" spans="1:8" ht="49.5" customHeight="1">
      <c r="A37" s="25">
        <v>30</v>
      </c>
      <c r="B37" s="17" t="s">
        <v>664</v>
      </c>
      <c r="C37" s="17" t="s">
        <v>704</v>
      </c>
      <c r="D37" s="28" t="s">
        <v>705</v>
      </c>
      <c r="E37" s="37" t="str">
        <f>IF(E32&gt;=E31,"CUKUP UNTUK Q KRITIS","TAMBAH LUBANG / REDESIGN")</f>
        <v>CUKUP UNTUK Q KRITIS</v>
      </c>
      <c r="F37" s="28" t="s">
        <v>105</v>
      </c>
      <c r="G37" s="28" t="s">
        <v>435</v>
      </c>
      <c r="H37" s="18" t="s">
        <v>706</v>
      </c>
    </row>
    <row r="38" spans="1:8">
      <c r="A38" s="25"/>
      <c r="B38" s="17"/>
      <c r="C38" s="17"/>
      <c r="D38" s="28"/>
      <c r="E38" s="32"/>
      <c r="F38" s="28"/>
      <c r="G38" s="28"/>
      <c r="H38" s="18"/>
    </row>
    <row r="39" spans="1:8" ht="18" customHeight="1">
      <c r="A39" s="24"/>
      <c r="B39" s="21" t="s">
        <v>707</v>
      </c>
      <c r="C39" s="21" t="s">
        <v>708</v>
      </c>
      <c r="D39" s="27"/>
      <c r="E39" s="33"/>
      <c r="F39" s="27"/>
      <c r="G39" s="27" t="s">
        <v>10</v>
      </c>
      <c r="H39" s="22" t="s">
        <v>709</v>
      </c>
    </row>
    <row r="40" spans="1:8" ht="18" customHeight="1">
      <c r="A40" s="25">
        <v>31</v>
      </c>
      <c r="B40" s="17" t="s">
        <v>707</v>
      </c>
      <c r="C40" s="17" t="s">
        <v>710</v>
      </c>
      <c r="D40" s="28" t="s">
        <v>711</v>
      </c>
      <c r="E40" s="30">
        <f>E12</f>
        <v>26.25</v>
      </c>
      <c r="F40" s="28" t="s">
        <v>574</v>
      </c>
      <c r="G40" s="28" t="s">
        <v>24</v>
      </c>
      <c r="H40" s="18" t="s">
        <v>712</v>
      </c>
    </row>
    <row r="41" spans="1:8" ht="18" customHeight="1">
      <c r="A41" s="25">
        <v>32</v>
      </c>
      <c r="B41" s="17" t="s">
        <v>707</v>
      </c>
      <c r="C41" s="17" t="s">
        <v>713</v>
      </c>
      <c r="D41" s="28" t="s">
        <v>714</v>
      </c>
      <c r="E41" s="31">
        <v>3</v>
      </c>
      <c r="F41" s="28" t="s">
        <v>715</v>
      </c>
      <c r="G41" s="28" t="s">
        <v>15</v>
      </c>
      <c r="H41" s="18" t="s">
        <v>716</v>
      </c>
    </row>
    <row r="42" spans="1:8" ht="18" customHeight="1">
      <c r="A42" s="25">
        <v>33</v>
      </c>
      <c r="B42" s="17" t="s">
        <v>707</v>
      </c>
      <c r="C42" s="17" t="s">
        <v>717</v>
      </c>
      <c r="D42" s="28" t="s">
        <v>718</v>
      </c>
      <c r="E42" s="31">
        <v>10</v>
      </c>
      <c r="F42" s="28" t="s">
        <v>719</v>
      </c>
      <c r="G42" s="28" t="s">
        <v>15</v>
      </c>
      <c r="H42" s="18" t="s">
        <v>720</v>
      </c>
    </row>
    <row r="43" spans="1:8" ht="18" customHeight="1">
      <c r="A43" s="25">
        <v>34</v>
      </c>
      <c r="B43" s="17" t="s">
        <v>707</v>
      </c>
      <c r="C43" s="17" t="s">
        <v>721</v>
      </c>
      <c r="D43" s="28" t="s">
        <v>722</v>
      </c>
      <c r="E43" s="30">
        <f>E41*E42</f>
        <v>30</v>
      </c>
      <c r="F43" s="28" t="s">
        <v>593</v>
      </c>
      <c r="G43" s="28" t="s">
        <v>24</v>
      </c>
      <c r="H43" s="18" t="s">
        <v>723</v>
      </c>
    </row>
    <row r="44" spans="1:8" ht="18" customHeight="1">
      <c r="A44" s="25">
        <v>35</v>
      </c>
      <c r="B44" s="17" t="s">
        <v>707</v>
      </c>
      <c r="C44" s="17" t="s">
        <v>724</v>
      </c>
      <c r="D44" s="28" t="s">
        <v>725</v>
      </c>
      <c r="E44" s="30">
        <f>E40/E43</f>
        <v>0.875</v>
      </c>
      <c r="F44" s="28" t="s">
        <v>589</v>
      </c>
      <c r="G44" s="28" t="s">
        <v>24</v>
      </c>
      <c r="H44" s="18" t="s">
        <v>726</v>
      </c>
    </row>
    <row r="45" spans="1:8" ht="18" customHeight="1">
      <c r="A45" s="25">
        <v>36</v>
      </c>
      <c r="B45" s="17" t="s">
        <v>707</v>
      </c>
      <c r="C45" s="17" t="s">
        <v>727</v>
      </c>
      <c r="D45" s="28" t="s">
        <v>728</v>
      </c>
      <c r="E45" s="30">
        <f>E28*(E44/E30)^2/1000</f>
        <v>0.4896191319994625</v>
      </c>
      <c r="F45" s="28" t="s">
        <v>585</v>
      </c>
      <c r="G45" s="28" t="s">
        <v>24</v>
      </c>
      <c r="H45" s="18" t="s">
        <v>729</v>
      </c>
    </row>
    <row r="46" spans="1:8" ht="18" customHeight="1">
      <c r="A46" s="25">
        <v>37</v>
      </c>
      <c r="B46" s="17" t="s">
        <v>707</v>
      </c>
      <c r="C46" s="17" t="s">
        <v>730</v>
      </c>
      <c r="D46" s="28" t="s">
        <v>731</v>
      </c>
      <c r="E46" s="30">
        <f>E12*1.2</f>
        <v>31.5</v>
      </c>
      <c r="F46" s="28" t="s">
        <v>574</v>
      </c>
      <c r="G46" s="28" t="s">
        <v>24</v>
      </c>
      <c r="H46" s="18" t="s">
        <v>732</v>
      </c>
    </row>
    <row r="47" spans="1:8" ht="18" customHeight="1">
      <c r="A47" s="25">
        <v>38</v>
      </c>
      <c r="B47" s="17" t="s">
        <v>707</v>
      </c>
      <c r="C47" s="17" t="s">
        <v>733</v>
      </c>
      <c r="D47" s="28" t="s">
        <v>734</v>
      </c>
      <c r="E47" s="31">
        <v>4</v>
      </c>
      <c r="F47" s="28" t="s">
        <v>715</v>
      </c>
      <c r="G47" s="28" t="s">
        <v>15</v>
      </c>
      <c r="H47" s="18" t="s">
        <v>735</v>
      </c>
    </row>
    <row r="48" spans="1:8" ht="18" customHeight="1">
      <c r="A48" s="25">
        <v>39</v>
      </c>
      <c r="B48" s="17" t="s">
        <v>707</v>
      </c>
      <c r="C48" s="17" t="s">
        <v>736</v>
      </c>
      <c r="D48" s="28" t="s">
        <v>737</v>
      </c>
      <c r="E48" s="31">
        <v>9</v>
      </c>
      <c r="F48" s="28" t="s">
        <v>719</v>
      </c>
      <c r="G48" s="28" t="s">
        <v>15</v>
      </c>
      <c r="H48" s="18" t="s">
        <v>738</v>
      </c>
    </row>
    <row r="49" spans="1:8" ht="18" customHeight="1">
      <c r="A49" s="25">
        <v>40</v>
      </c>
      <c r="B49" s="17" t="s">
        <v>707</v>
      </c>
      <c r="C49" s="17" t="s">
        <v>739</v>
      </c>
      <c r="D49" s="28" t="s">
        <v>740</v>
      </c>
      <c r="E49" s="30">
        <f>E47*E48</f>
        <v>36</v>
      </c>
      <c r="F49" s="28" t="s">
        <v>593</v>
      </c>
      <c r="G49" s="28" t="s">
        <v>24</v>
      </c>
      <c r="H49" s="18" t="s">
        <v>723</v>
      </c>
    </row>
    <row r="50" spans="1:8" ht="18" customHeight="1">
      <c r="A50" s="25">
        <v>41</v>
      </c>
      <c r="B50" s="17" t="s">
        <v>707</v>
      </c>
      <c r="C50" s="17" t="s">
        <v>741</v>
      </c>
      <c r="D50" s="28" t="s">
        <v>742</v>
      </c>
      <c r="E50" s="30">
        <f>E46/E49</f>
        <v>0.875</v>
      </c>
      <c r="F50" s="28" t="s">
        <v>589</v>
      </c>
      <c r="G50" s="28" t="s">
        <v>24</v>
      </c>
      <c r="H50" s="18" t="s">
        <v>743</v>
      </c>
    </row>
    <row r="51" spans="1:8" ht="18" customHeight="1">
      <c r="A51" s="25">
        <v>42</v>
      </c>
      <c r="B51" s="17" t="s">
        <v>707</v>
      </c>
      <c r="C51" s="17" t="s">
        <v>744</v>
      </c>
      <c r="D51" s="28" t="s">
        <v>745</v>
      </c>
      <c r="E51" s="30">
        <f>E28*(E50/E30)^2/1000</f>
        <v>0.4896191319994625</v>
      </c>
      <c r="F51" s="28" t="s">
        <v>585</v>
      </c>
      <c r="G51" s="28" t="s">
        <v>24</v>
      </c>
      <c r="H51" s="18" t="s">
        <v>729</v>
      </c>
    </row>
    <row r="52" spans="1:8" ht="48" customHeight="1">
      <c r="A52" s="25">
        <v>43</v>
      </c>
      <c r="B52" s="17" t="s">
        <v>707</v>
      </c>
      <c r="C52" s="17" t="s">
        <v>746</v>
      </c>
      <c r="D52" s="28" t="s">
        <v>747</v>
      </c>
      <c r="E52" s="37" t="str">
        <f>IF(E16&lt;=E40,"CONFIG A: 3 LATERAL × 10 LUBANG",IF(E16&lt;=E46,"CONFIG B: 4 LATERAL × 9 LUBANG","RE-DESIGN GRID"))</f>
        <v>CONFIG A: 3 LATERAL × 10 LUBANG</v>
      </c>
      <c r="F52" s="28" t="s">
        <v>105</v>
      </c>
      <c r="G52" s="28" t="s">
        <v>435</v>
      </c>
      <c r="H52" s="18" t="s">
        <v>748</v>
      </c>
    </row>
    <row r="53" spans="1:8">
      <c r="A53" s="25"/>
      <c r="B53" s="17"/>
      <c r="C53" s="17"/>
      <c r="D53" s="28"/>
      <c r="E53" s="32"/>
      <c r="F53" s="28"/>
      <c r="G53" s="28"/>
      <c r="H53" s="18"/>
    </row>
    <row r="54" spans="1:8" ht="18" customHeight="1">
      <c r="A54" s="24"/>
      <c r="B54" s="21" t="s">
        <v>749</v>
      </c>
      <c r="C54" s="21" t="s">
        <v>750</v>
      </c>
      <c r="D54" s="27"/>
      <c r="E54" s="33"/>
      <c r="F54" s="27"/>
      <c r="G54" s="27" t="s">
        <v>10</v>
      </c>
      <c r="H54" s="22" t="s">
        <v>751</v>
      </c>
    </row>
    <row r="55" spans="1:8" ht="18" customHeight="1">
      <c r="A55" s="25">
        <v>44</v>
      </c>
      <c r="B55" s="17" t="s">
        <v>749</v>
      </c>
      <c r="C55" s="17" t="s">
        <v>752</v>
      </c>
      <c r="D55" s="28" t="s">
        <v>753</v>
      </c>
      <c r="E55" s="31">
        <v>0</v>
      </c>
      <c r="F55" s="28" t="s">
        <v>14</v>
      </c>
      <c r="G55" s="28" t="s">
        <v>15</v>
      </c>
      <c r="H55" s="18" t="s">
        <v>754</v>
      </c>
    </row>
    <row r="56" spans="1:8" ht="18" customHeight="1">
      <c r="A56" s="25">
        <v>45</v>
      </c>
      <c r="B56" s="17" t="s">
        <v>749</v>
      </c>
      <c r="C56" s="17" t="s">
        <v>755</v>
      </c>
      <c r="D56" s="28" t="s">
        <v>756</v>
      </c>
      <c r="E56" s="31">
        <v>0</v>
      </c>
      <c r="F56" s="28" t="s">
        <v>14</v>
      </c>
      <c r="G56" s="28" t="s">
        <v>15</v>
      </c>
      <c r="H56" s="18" t="s">
        <v>754</v>
      </c>
    </row>
    <row r="57" spans="1:8" ht="18" customHeight="1">
      <c r="A57" s="25">
        <v>46</v>
      </c>
      <c r="B57" s="17" t="s">
        <v>749</v>
      </c>
      <c r="C57" s="17" t="s">
        <v>757</v>
      </c>
      <c r="D57" s="28" t="s">
        <v>758</v>
      </c>
      <c r="E57" s="30">
        <f>IF(E55*E56&gt;0,E6/1000/(E55*E56),0)</f>
        <v>0</v>
      </c>
      <c r="F57" s="28" t="s">
        <v>14</v>
      </c>
      <c r="G57" s="28" t="s">
        <v>24</v>
      </c>
      <c r="H57" s="18" t="s">
        <v>759</v>
      </c>
    </row>
    <row r="58" spans="1:8" ht="18" customHeight="1">
      <c r="A58" s="25">
        <v>47</v>
      </c>
      <c r="B58" s="17" t="s">
        <v>749</v>
      </c>
      <c r="C58" s="17" t="s">
        <v>760</v>
      </c>
      <c r="D58" s="28" t="s">
        <v>761</v>
      </c>
      <c r="E58" s="31">
        <v>3</v>
      </c>
      <c r="F58" s="28" t="s">
        <v>715</v>
      </c>
      <c r="G58" s="28" t="s">
        <v>15</v>
      </c>
      <c r="H58" s="18" t="s">
        <v>762</v>
      </c>
    </row>
    <row r="59" spans="1:8" ht="18" customHeight="1">
      <c r="A59" s="25">
        <v>48</v>
      </c>
      <c r="B59" s="17" t="s">
        <v>749</v>
      </c>
      <c r="C59" s="17" t="s">
        <v>763</v>
      </c>
      <c r="D59" s="28" t="s">
        <v>764</v>
      </c>
      <c r="E59" s="30">
        <f>IF(MOD(E32,E58)=0,E32/E58,0)</f>
        <v>10</v>
      </c>
      <c r="F59" s="28" t="s">
        <v>719</v>
      </c>
      <c r="G59" s="28" t="s">
        <v>24</v>
      </c>
      <c r="H59" s="18" t="s">
        <v>765</v>
      </c>
    </row>
    <row r="60" spans="1:8" ht="18" customHeight="1">
      <c r="A60" s="25">
        <v>49</v>
      </c>
      <c r="B60" s="17" t="s">
        <v>749</v>
      </c>
      <c r="C60" s="17" t="s">
        <v>766</v>
      </c>
      <c r="D60" s="28" t="s">
        <v>767</v>
      </c>
      <c r="E60" s="30">
        <f>IF(AND(E56&gt;0,E58&gt;1),E56/(E58-1),0)</f>
        <v>0</v>
      </c>
      <c r="F60" s="28" t="s">
        <v>14</v>
      </c>
      <c r="G60" s="28" t="s">
        <v>24</v>
      </c>
      <c r="H60" s="18" t="s">
        <v>768</v>
      </c>
    </row>
    <row r="61" spans="1:8" ht="18" customHeight="1">
      <c r="A61" s="25">
        <v>50</v>
      </c>
      <c r="B61" s="17" t="s">
        <v>749</v>
      </c>
      <c r="C61" s="17" t="s">
        <v>769</v>
      </c>
      <c r="D61" s="28" t="s">
        <v>770</v>
      </c>
      <c r="E61" s="30">
        <f>IF(AND(E55&gt;0,E59&gt;0),E55/(E59+1),0)</f>
        <v>0</v>
      </c>
      <c r="F61" s="28" t="s">
        <v>14</v>
      </c>
      <c r="G61" s="28" t="s">
        <v>24</v>
      </c>
      <c r="H61" s="18" t="s">
        <v>771</v>
      </c>
    </row>
    <row r="62" spans="1:8" ht="18" customHeight="1">
      <c r="A62" s="25">
        <v>51</v>
      </c>
      <c r="B62" s="17" t="s">
        <v>749</v>
      </c>
      <c r="C62" s="17" t="s">
        <v>772</v>
      </c>
      <c r="D62" s="28" t="s">
        <v>773</v>
      </c>
      <c r="E62" s="31">
        <v>0.05</v>
      </c>
      <c r="F62" s="28" t="s">
        <v>14</v>
      </c>
      <c r="G62" s="28" t="s">
        <v>15</v>
      </c>
      <c r="H62" s="18" t="s">
        <v>774</v>
      </c>
    </row>
    <row r="63" spans="1:8" ht="18" customHeight="1">
      <c r="A63" s="25">
        <v>52</v>
      </c>
      <c r="B63" s="17" t="s">
        <v>749</v>
      </c>
      <c r="C63" s="17" t="s">
        <v>775</v>
      </c>
      <c r="D63" s="28" t="s">
        <v>776</v>
      </c>
      <c r="E63" s="30">
        <f>IF(E57&gt;E62,E57-E62,0)</f>
        <v>0</v>
      </c>
      <c r="F63" s="28" t="s">
        <v>14</v>
      </c>
      <c r="G63" s="28" t="s">
        <v>24</v>
      </c>
      <c r="H63" s="18" t="s">
        <v>777</v>
      </c>
    </row>
    <row r="64" spans="1:8" ht="45.75" customHeight="1">
      <c r="A64" s="25">
        <v>53</v>
      </c>
      <c r="B64" s="17" t="s">
        <v>749</v>
      </c>
      <c r="C64" s="17" t="s">
        <v>778</v>
      </c>
      <c r="D64" s="28" t="s">
        <v>779</v>
      </c>
      <c r="E64" s="38" t="s">
        <v>780</v>
      </c>
      <c r="F64" s="28" t="s">
        <v>105</v>
      </c>
      <c r="G64" s="28" t="s">
        <v>15</v>
      </c>
      <c r="H64" s="18" t="s">
        <v>781</v>
      </c>
    </row>
    <row r="65" spans="1:8" ht="50.25" customHeight="1">
      <c r="A65" s="25">
        <v>54</v>
      </c>
      <c r="B65" s="17" t="s">
        <v>749</v>
      </c>
      <c r="C65" s="17" t="s">
        <v>782</v>
      </c>
      <c r="D65" s="28" t="s">
        <v>783</v>
      </c>
      <c r="E65" s="37" t="str">
        <f>IF(AND(E55&gt;0,E56&gt;0,E63&gt;0,E59&gt;0),"GEOMETRI SIAP","ISI L &amp; W INTERNAL TANGKI")</f>
        <v>ISI L &amp; W INTERNAL TANGKI</v>
      </c>
      <c r="F65" s="28" t="s">
        <v>105</v>
      </c>
      <c r="G65" s="28" t="s">
        <v>435</v>
      </c>
      <c r="H65" s="18" t="s">
        <v>784</v>
      </c>
    </row>
    <row r="66" spans="1:8">
      <c r="A66" s="25"/>
      <c r="B66" s="17"/>
      <c r="C66" s="17"/>
      <c r="D66" s="28"/>
      <c r="E66" s="32"/>
      <c r="F66" s="28"/>
      <c r="G66" s="28"/>
      <c r="H66" s="18"/>
    </row>
    <row r="67" spans="1:8" ht="18" customHeight="1">
      <c r="A67" s="24"/>
      <c r="B67" s="21" t="s">
        <v>785</v>
      </c>
      <c r="C67" s="21" t="s">
        <v>786</v>
      </c>
      <c r="D67" s="27"/>
      <c r="E67" s="33"/>
      <c r="F67" s="27"/>
      <c r="G67" s="27" t="s">
        <v>10</v>
      </c>
      <c r="H67" s="22" t="s">
        <v>787</v>
      </c>
    </row>
    <row r="68" spans="1:8" ht="18" customHeight="1">
      <c r="A68" s="25">
        <v>55</v>
      </c>
      <c r="B68" s="17" t="s">
        <v>785</v>
      </c>
      <c r="C68" s="17" t="s">
        <v>788</v>
      </c>
      <c r="D68" s="28" t="s">
        <v>789</v>
      </c>
      <c r="E68" s="31">
        <v>0</v>
      </c>
      <c r="F68" s="28" t="s">
        <v>14</v>
      </c>
      <c r="G68" s="28" t="s">
        <v>15</v>
      </c>
      <c r="H68" s="18" t="s">
        <v>790</v>
      </c>
    </row>
    <row r="69" spans="1:8" ht="18" customHeight="1">
      <c r="A69" s="25">
        <v>56</v>
      </c>
      <c r="B69" s="17" t="s">
        <v>785</v>
      </c>
      <c r="C69" s="17" t="s">
        <v>791</v>
      </c>
      <c r="D69" s="28" t="s">
        <v>792</v>
      </c>
      <c r="E69" s="31">
        <v>0</v>
      </c>
      <c r="F69" s="28" t="s">
        <v>14</v>
      </c>
      <c r="G69" s="28" t="s">
        <v>15</v>
      </c>
      <c r="H69" s="18" t="s">
        <v>793</v>
      </c>
    </row>
    <row r="70" spans="1:8" ht="18" customHeight="1">
      <c r="A70" s="25">
        <v>57</v>
      </c>
      <c r="B70" s="17" t="s">
        <v>785</v>
      </c>
      <c r="C70" s="17" t="s">
        <v>794</v>
      </c>
      <c r="D70" s="28" t="s">
        <v>795</v>
      </c>
      <c r="E70" s="31">
        <v>0</v>
      </c>
      <c r="F70" s="28" t="s">
        <v>105</v>
      </c>
      <c r="G70" s="28" t="s">
        <v>15</v>
      </c>
      <c r="H70" s="18" t="s">
        <v>796</v>
      </c>
    </row>
    <row r="71" spans="1:8" ht="18" customHeight="1">
      <c r="A71" s="25">
        <v>58</v>
      </c>
      <c r="B71" s="17" t="s">
        <v>785</v>
      </c>
      <c r="C71" s="17" t="s">
        <v>797</v>
      </c>
      <c r="D71" s="28" t="s">
        <v>798</v>
      </c>
      <c r="E71" s="31">
        <v>0</v>
      </c>
      <c r="F71" s="28" t="s">
        <v>14</v>
      </c>
      <c r="G71" s="28" t="s">
        <v>15</v>
      </c>
      <c r="H71" s="18" t="s">
        <v>790</v>
      </c>
    </row>
    <row r="72" spans="1:8" ht="18" customHeight="1">
      <c r="A72" s="25">
        <v>59</v>
      </c>
      <c r="B72" s="17" t="s">
        <v>785</v>
      </c>
      <c r="C72" s="17" t="s">
        <v>799</v>
      </c>
      <c r="D72" s="28" t="s">
        <v>800</v>
      </c>
      <c r="E72" s="31">
        <v>0</v>
      </c>
      <c r="F72" s="28" t="s">
        <v>14</v>
      </c>
      <c r="G72" s="28" t="s">
        <v>15</v>
      </c>
      <c r="H72" s="18" t="s">
        <v>793</v>
      </c>
    </row>
    <row r="73" spans="1:8" ht="18" customHeight="1">
      <c r="A73" s="25">
        <v>60</v>
      </c>
      <c r="B73" s="17" t="s">
        <v>785</v>
      </c>
      <c r="C73" s="17" t="s">
        <v>801</v>
      </c>
      <c r="D73" s="28" t="s">
        <v>802</v>
      </c>
      <c r="E73" s="31">
        <v>0</v>
      </c>
      <c r="F73" s="28" t="s">
        <v>105</v>
      </c>
      <c r="G73" s="28" t="s">
        <v>15</v>
      </c>
      <c r="H73" s="18" t="s">
        <v>803</v>
      </c>
    </row>
    <row r="74" spans="1:8" ht="18" customHeight="1">
      <c r="A74" s="25">
        <v>61</v>
      </c>
      <c r="B74" s="17" t="s">
        <v>785</v>
      </c>
      <c r="C74" s="17" t="s">
        <v>804</v>
      </c>
      <c r="D74" s="28" t="s">
        <v>805</v>
      </c>
      <c r="E74" s="36">
        <v>1.8099999999999999E-5</v>
      </c>
      <c r="F74" s="28" t="s">
        <v>806</v>
      </c>
      <c r="G74" s="28" t="s">
        <v>15</v>
      </c>
      <c r="H74" s="18" t="s">
        <v>807</v>
      </c>
    </row>
    <row r="75" spans="1:8" ht="18" customHeight="1">
      <c r="A75" s="25">
        <v>62</v>
      </c>
      <c r="B75" s="17" t="s">
        <v>785</v>
      </c>
      <c r="C75" s="17" t="s">
        <v>808</v>
      </c>
      <c r="D75" s="28" t="s">
        <v>809</v>
      </c>
      <c r="E75" s="35">
        <f>E16/60000</f>
        <v>4.3750000000000001E-4</v>
      </c>
      <c r="F75" s="28" t="s">
        <v>79</v>
      </c>
      <c r="G75" s="28" t="s">
        <v>24</v>
      </c>
      <c r="H75" s="18" t="s">
        <v>810</v>
      </c>
    </row>
    <row r="76" spans="1:8" ht="18" customHeight="1">
      <c r="A76" s="25">
        <v>63</v>
      </c>
      <c r="B76" s="17" t="s">
        <v>785</v>
      </c>
      <c r="C76" s="17" t="s">
        <v>811</v>
      </c>
      <c r="D76" s="28" t="s">
        <v>812</v>
      </c>
      <c r="E76" s="35">
        <f>IF(E68&gt;0,4*E75/(PI()*E68^2),0)</f>
        <v>0</v>
      </c>
      <c r="F76" s="28" t="s">
        <v>200</v>
      </c>
      <c r="G76" s="28" t="s">
        <v>24</v>
      </c>
      <c r="H76" s="18" t="s">
        <v>813</v>
      </c>
    </row>
    <row r="77" spans="1:8" ht="18" customHeight="1">
      <c r="A77" s="25">
        <v>64</v>
      </c>
      <c r="B77" s="17" t="s">
        <v>785</v>
      </c>
      <c r="C77" s="17" t="s">
        <v>814</v>
      </c>
      <c r="D77" s="28" t="s">
        <v>815</v>
      </c>
      <c r="E77" s="35">
        <f>IF(E76&gt;0,E26*E76*E68/E74,0)</f>
        <v>0</v>
      </c>
      <c r="F77" s="28" t="s">
        <v>105</v>
      </c>
      <c r="G77" s="28" t="s">
        <v>24</v>
      </c>
      <c r="H77" s="18" t="s">
        <v>816</v>
      </c>
    </row>
    <row r="78" spans="1:8" ht="18" customHeight="1">
      <c r="A78" s="25">
        <v>65</v>
      </c>
      <c r="B78" s="17" t="s">
        <v>785</v>
      </c>
      <c r="C78" s="17" t="s">
        <v>817</v>
      </c>
      <c r="D78" s="28" t="s">
        <v>818</v>
      </c>
      <c r="E78" s="35">
        <f>IF(E77&gt;0,0.3164/E77^0.25,0)</f>
        <v>0</v>
      </c>
      <c r="F78" s="28" t="s">
        <v>105</v>
      </c>
      <c r="G78" s="28" t="s">
        <v>24</v>
      </c>
      <c r="H78" s="18" t="s">
        <v>819</v>
      </c>
    </row>
    <row r="79" spans="1:8" ht="18" customHeight="1">
      <c r="A79" s="25">
        <v>66</v>
      </c>
      <c r="B79" s="17" t="s">
        <v>785</v>
      </c>
      <c r="C79" s="17" t="s">
        <v>820</v>
      </c>
      <c r="D79" s="28" t="s">
        <v>821</v>
      </c>
      <c r="E79" s="35">
        <f>IF(E78&gt;0,(E78*E69/E68+E70)*E26*E76^2/2,0)</f>
        <v>0</v>
      </c>
      <c r="F79" s="28" t="s">
        <v>601</v>
      </c>
      <c r="G79" s="28" t="s">
        <v>24</v>
      </c>
      <c r="H79" s="18" t="s">
        <v>822</v>
      </c>
    </row>
    <row r="80" spans="1:8" ht="18" customHeight="1">
      <c r="A80" s="25">
        <v>67</v>
      </c>
      <c r="B80" s="17" t="s">
        <v>785</v>
      </c>
      <c r="C80" s="17" t="s">
        <v>823</v>
      </c>
      <c r="D80" s="28" t="s">
        <v>824</v>
      </c>
      <c r="E80" s="35">
        <f>E16/E58/60000</f>
        <v>1.4583333333333335E-4</v>
      </c>
      <c r="F80" s="28" t="s">
        <v>79</v>
      </c>
      <c r="G80" s="28" t="s">
        <v>24</v>
      </c>
      <c r="H80" s="18" t="s">
        <v>825</v>
      </c>
    </row>
    <row r="81" spans="1:8" ht="18" customHeight="1">
      <c r="A81" s="25">
        <v>68</v>
      </c>
      <c r="B81" s="17" t="s">
        <v>785</v>
      </c>
      <c r="C81" s="17" t="s">
        <v>826</v>
      </c>
      <c r="D81" s="28" t="s">
        <v>827</v>
      </c>
      <c r="E81" s="35">
        <f>IF(E71&gt;0,4*E80/(PI()*E71^2),0)</f>
        <v>0</v>
      </c>
      <c r="F81" s="28" t="s">
        <v>200</v>
      </c>
      <c r="G81" s="28" t="s">
        <v>24</v>
      </c>
      <c r="H81" s="18" t="s">
        <v>828</v>
      </c>
    </row>
    <row r="82" spans="1:8" ht="18" customHeight="1">
      <c r="A82" s="25">
        <v>69</v>
      </c>
      <c r="B82" s="17" t="s">
        <v>785</v>
      </c>
      <c r="C82" s="17" t="s">
        <v>829</v>
      </c>
      <c r="D82" s="28" t="s">
        <v>830</v>
      </c>
      <c r="E82" s="35">
        <f>IF(E81&gt;0,E26*E81*E71/E74,0)</f>
        <v>0</v>
      </c>
      <c r="F82" s="28" t="s">
        <v>105</v>
      </c>
      <c r="G82" s="28" t="s">
        <v>24</v>
      </c>
      <c r="H82" s="18" t="s">
        <v>816</v>
      </c>
    </row>
    <row r="83" spans="1:8" ht="18" customHeight="1">
      <c r="A83" s="25">
        <v>70</v>
      </c>
      <c r="B83" s="17" t="s">
        <v>785</v>
      </c>
      <c r="C83" s="17" t="s">
        <v>831</v>
      </c>
      <c r="D83" s="28" t="s">
        <v>832</v>
      </c>
      <c r="E83" s="35">
        <f>IF(E82&gt;0,0.3164/E82^0.25,0)</f>
        <v>0</v>
      </c>
      <c r="F83" s="28" t="s">
        <v>105</v>
      </c>
      <c r="G83" s="28" t="s">
        <v>24</v>
      </c>
      <c r="H83" s="18" t="s">
        <v>819</v>
      </c>
    </row>
    <row r="84" spans="1:8" ht="18" customHeight="1">
      <c r="A84" s="25">
        <v>71</v>
      </c>
      <c r="B84" s="17" t="s">
        <v>785</v>
      </c>
      <c r="C84" s="17" t="s">
        <v>833</v>
      </c>
      <c r="D84" s="28" t="s">
        <v>834</v>
      </c>
      <c r="E84" s="35">
        <f>IF(E83&gt;0,(E83*E72/E71+E73)*E26*E81^2/2,0)</f>
        <v>0</v>
      </c>
      <c r="F84" s="28" t="s">
        <v>601</v>
      </c>
      <c r="G84" s="28" t="s">
        <v>24</v>
      </c>
      <c r="H84" s="18" t="s">
        <v>822</v>
      </c>
    </row>
    <row r="85" spans="1:8" ht="18" customHeight="1">
      <c r="A85" s="25">
        <v>72</v>
      </c>
      <c r="B85" s="17" t="s">
        <v>785</v>
      </c>
      <c r="C85" s="17" t="s">
        <v>835</v>
      </c>
      <c r="D85" s="28" t="s">
        <v>836</v>
      </c>
      <c r="E85" s="35">
        <f>E79+E84</f>
        <v>0</v>
      </c>
      <c r="F85" s="28" t="s">
        <v>601</v>
      </c>
      <c r="G85" s="28" t="s">
        <v>24</v>
      </c>
      <c r="H85" s="18" t="s">
        <v>837</v>
      </c>
    </row>
    <row r="86" spans="1:8" ht="18" customHeight="1">
      <c r="A86" s="25">
        <v>73</v>
      </c>
      <c r="B86" s="17" t="s">
        <v>785</v>
      </c>
      <c r="C86" s="17" t="s">
        <v>838</v>
      </c>
      <c r="D86" s="28" t="s">
        <v>839</v>
      </c>
      <c r="E86" s="35">
        <f>E28*0.1</f>
        <v>50</v>
      </c>
      <c r="F86" s="28" t="s">
        <v>601</v>
      </c>
      <c r="G86" s="28" t="s">
        <v>24</v>
      </c>
      <c r="H86" s="18" t="s">
        <v>840</v>
      </c>
    </row>
    <row r="87" spans="1:8" ht="49.5" customHeight="1">
      <c r="A87" s="25">
        <v>74</v>
      </c>
      <c r="B87" s="17" t="s">
        <v>785</v>
      </c>
      <c r="C87" s="17" t="s">
        <v>841</v>
      </c>
      <c r="D87" s="28" t="s">
        <v>842</v>
      </c>
      <c r="E87" s="37" t="str">
        <f>IF(OR(E68&lt;=0,E69&lt;=0,E71&lt;=0,E72&lt;=0),"ISI DIMENSI PIPA",IF(E85&lt;=E86,"PASS: ΔP LINE OK","UPSIZING HEADER/LATERAL"))</f>
        <v>ISI DIMENSI PIPA</v>
      </c>
      <c r="F87" s="28" t="s">
        <v>105</v>
      </c>
      <c r="G87" s="28" t="s">
        <v>435</v>
      </c>
      <c r="H87" s="18" t="s">
        <v>843</v>
      </c>
    </row>
    <row r="88" spans="1:8">
      <c r="A88" s="25"/>
      <c r="B88" s="17"/>
      <c r="C88" s="17"/>
      <c r="D88" s="28"/>
      <c r="E88" s="32"/>
      <c r="F88" s="28"/>
      <c r="G88" s="28"/>
      <c r="H88" s="18"/>
    </row>
    <row r="89" spans="1:8" ht="18" customHeight="1">
      <c r="A89" s="24"/>
      <c r="B89" s="21" t="s">
        <v>844</v>
      </c>
      <c r="C89" s="21" t="s">
        <v>845</v>
      </c>
      <c r="D89" s="27"/>
      <c r="E89" s="33"/>
      <c r="F89" s="27"/>
      <c r="G89" s="27" t="s">
        <v>10</v>
      </c>
      <c r="H89" s="22" t="s">
        <v>846</v>
      </c>
    </row>
    <row r="90" spans="1:8" ht="18" customHeight="1">
      <c r="A90" s="25">
        <v>75</v>
      </c>
      <c r="B90" s="17" t="s">
        <v>844</v>
      </c>
      <c r="C90" s="17" t="s">
        <v>775</v>
      </c>
      <c r="D90" s="28" t="s">
        <v>847</v>
      </c>
      <c r="E90" s="30">
        <f>E63</f>
        <v>0</v>
      </c>
      <c r="F90" s="28" t="s">
        <v>14</v>
      </c>
      <c r="G90" s="28" t="s">
        <v>24</v>
      </c>
      <c r="H90" s="18" t="s">
        <v>848</v>
      </c>
    </row>
    <row r="91" spans="1:8" ht="18" customHeight="1">
      <c r="A91" s="25">
        <v>76</v>
      </c>
      <c r="B91" s="17" t="s">
        <v>844</v>
      </c>
      <c r="C91" s="17" t="s">
        <v>849</v>
      </c>
      <c r="D91" s="28" t="s">
        <v>850</v>
      </c>
      <c r="E91" s="30">
        <f>E90*9.80665</f>
        <v>0</v>
      </c>
      <c r="F91" s="28" t="s">
        <v>851</v>
      </c>
      <c r="G91" s="28" t="s">
        <v>24</v>
      </c>
      <c r="H91" s="18" t="s">
        <v>852</v>
      </c>
    </row>
    <row r="92" spans="1:8" ht="18" customHeight="1">
      <c r="A92" s="25">
        <v>77</v>
      </c>
      <c r="B92" s="17" t="s">
        <v>844</v>
      </c>
      <c r="C92" s="17" t="s">
        <v>853</v>
      </c>
      <c r="D92" s="28" t="s">
        <v>854</v>
      </c>
      <c r="E92" s="31">
        <v>0</v>
      </c>
      <c r="F92" s="28" t="s">
        <v>585</v>
      </c>
      <c r="G92" s="28" t="s">
        <v>15</v>
      </c>
      <c r="H92" s="18" t="s">
        <v>855</v>
      </c>
    </row>
    <row r="93" spans="1:8" ht="18" customHeight="1">
      <c r="A93" s="25">
        <v>78</v>
      </c>
      <c r="B93" s="17" t="s">
        <v>844</v>
      </c>
      <c r="C93" s="17" t="s">
        <v>856</v>
      </c>
      <c r="D93" s="28" t="s">
        <v>857</v>
      </c>
      <c r="E93" s="31">
        <v>0</v>
      </c>
      <c r="F93" s="28" t="s">
        <v>585</v>
      </c>
      <c r="G93" s="28" t="s">
        <v>15</v>
      </c>
      <c r="H93" s="18" t="s">
        <v>858</v>
      </c>
    </row>
    <row r="94" spans="1:8" ht="18" customHeight="1">
      <c r="A94" s="25">
        <v>79</v>
      </c>
      <c r="B94" s="17" t="s">
        <v>844</v>
      </c>
      <c r="C94" s="17" t="s">
        <v>859</v>
      </c>
      <c r="D94" s="28" t="s">
        <v>860</v>
      </c>
      <c r="E94" s="30">
        <f>E85/1000</f>
        <v>0</v>
      </c>
      <c r="F94" s="28" t="s">
        <v>585</v>
      </c>
      <c r="G94" s="28" t="s">
        <v>24</v>
      </c>
      <c r="H94" s="18" t="s">
        <v>861</v>
      </c>
    </row>
    <row r="95" spans="1:8" ht="18" customHeight="1">
      <c r="A95" s="25">
        <v>80</v>
      </c>
      <c r="B95" s="17" t="s">
        <v>844</v>
      </c>
      <c r="C95" s="17" t="s">
        <v>862</v>
      </c>
      <c r="D95" s="28" t="s">
        <v>863</v>
      </c>
      <c r="E95" s="30">
        <f>IF(E90&gt;0,E91+E27+E94+E92+E93,0)</f>
        <v>0</v>
      </c>
      <c r="F95" s="28" t="s">
        <v>851</v>
      </c>
      <c r="G95" s="28" t="s">
        <v>24</v>
      </c>
      <c r="H95" s="18" t="s">
        <v>864</v>
      </c>
    </row>
    <row r="96" spans="1:8" ht="18" customHeight="1">
      <c r="A96" s="25">
        <v>81</v>
      </c>
      <c r="B96" s="17" t="s">
        <v>844</v>
      </c>
      <c r="C96" s="17" t="s">
        <v>865</v>
      </c>
      <c r="D96" s="28" t="s">
        <v>866</v>
      </c>
      <c r="E96" s="30">
        <f>E18</f>
        <v>26.25</v>
      </c>
      <c r="F96" s="28" t="s">
        <v>574</v>
      </c>
      <c r="G96" s="28" t="s">
        <v>24</v>
      </c>
      <c r="H96" s="18" t="s">
        <v>867</v>
      </c>
    </row>
    <row r="97" spans="1:11" ht="45" customHeight="1">
      <c r="A97" s="26">
        <v>82</v>
      </c>
      <c r="B97" s="19" t="s">
        <v>844</v>
      </c>
      <c r="C97" s="19" t="s">
        <v>868</v>
      </c>
      <c r="D97" s="29" t="s">
        <v>869</v>
      </c>
      <c r="E97" s="37" t="str">
        <f>IF(AND(E95&gt;0,E96&gt;0),"PILIH BLOWER: Q ≥ Q_BLOWER PADA P_BLOWER","INPUT GEOMETRI / PIPING DULU")</f>
        <v>INPUT GEOMETRI / PIPING DULU</v>
      </c>
      <c r="F97" s="29" t="s">
        <v>105</v>
      </c>
      <c r="G97" s="29" t="s">
        <v>435</v>
      </c>
      <c r="H97" s="20" t="s">
        <v>870</v>
      </c>
    </row>
    <row r="100" spans="1:11" ht="21.95" customHeight="1">
      <c r="A100" s="82" t="s">
        <v>871</v>
      </c>
      <c r="B100" s="82"/>
      <c r="C100" s="82"/>
      <c r="D100" s="82"/>
      <c r="E100" s="82"/>
      <c r="F100" s="82"/>
      <c r="G100" s="82"/>
      <c r="H100" s="82"/>
      <c r="I100" s="82"/>
      <c r="J100" s="82"/>
      <c r="K100" s="82"/>
    </row>
    <row r="101" spans="1:11" ht="30" customHeight="1">
      <c r="A101" s="13" t="s">
        <v>872</v>
      </c>
      <c r="B101" s="13" t="s">
        <v>873</v>
      </c>
      <c r="C101" s="13" t="s">
        <v>874</v>
      </c>
      <c r="D101" s="13" t="s">
        <v>875</v>
      </c>
      <c r="E101" s="13" t="s">
        <v>876</v>
      </c>
      <c r="F101" s="13" t="s">
        <v>877</v>
      </c>
      <c r="G101" s="13" t="s">
        <v>878</v>
      </c>
      <c r="H101" s="13" t="s">
        <v>879</v>
      </c>
      <c r="I101" s="13" t="s">
        <v>880</v>
      </c>
      <c r="J101" s="13" t="s">
        <v>881</v>
      </c>
      <c r="K101" s="13" t="s">
        <v>882</v>
      </c>
    </row>
    <row r="102" spans="1:11">
      <c r="A102" s="64" t="s">
        <v>883</v>
      </c>
      <c r="B102" s="58">
        <v>0.6</v>
      </c>
      <c r="C102" s="59">
        <f>$E$12*B102</f>
        <v>15.75</v>
      </c>
      <c r="D102" s="46"/>
      <c r="E102" s="47"/>
      <c r="F102" s="48"/>
      <c r="G102" s="48"/>
      <c r="H102" s="48"/>
      <c r="I102" s="47"/>
      <c r="J102" s="48"/>
      <c r="K102" s="49"/>
    </row>
    <row r="103" spans="1:11">
      <c r="A103" s="65" t="s">
        <v>884</v>
      </c>
      <c r="B103" s="60">
        <v>0.8</v>
      </c>
      <c r="C103" s="61">
        <f>$E$12*B103</f>
        <v>21</v>
      </c>
      <c r="D103" s="50"/>
      <c r="E103" s="51"/>
      <c r="F103" s="52"/>
      <c r="G103" s="52"/>
      <c r="H103" s="52"/>
      <c r="I103" s="51"/>
      <c r="J103" s="52"/>
      <c r="K103" s="53"/>
    </row>
    <row r="104" spans="1:11">
      <c r="A104" s="65" t="s">
        <v>885</v>
      </c>
      <c r="B104" s="60">
        <v>1</v>
      </c>
      <c r="C104" s="61">
        <f>$E$12*B104</f>
        <v>26.25</v>
      </c>
      <c r="D104" s="50"/>
      <c r="E104" s="51"/>
      <c r="F104" s="52"/>
      <c r="G104" s="52"/>
      <c r="H104" s="52"/>
      <c r="I104" s="51"/>
      <c r="J104" s="52"/>
      <c r="K104" s="53"/>
    </row>
    <row r="105" spans="1:11">
      <c r="A105" s="66" t="s">
        <v>886</v>
      </c>
      <c r="B105" s="62">
        <v>1.2</v>
      </c>
      <c r="C105" s="63">
        <f>$E$12*B105</f>
        <v>31.5</v>
      </c>
      <c r="D105" s="54"/>
      <c r="E105" s="55"/>
      <c r="F105" s="56"/>
      <c r="G105" s="56"/>
      <c r="H105" s="56"/>
      <c r="I105" s="55"/>
      <c r="J105" s="56"/>
      <c r="K105" s="57"/>
    </row>
    <row r="108" spans="1:11" ht="18">
      <c r="A108" s="82" t="s">
        <v>887</v>
      </c>
      <c r="B108" s="82"/>
      <c r="C108" s="82"/>
      <c r="D108" s="82"/>
      <c r="E108" s="82"/>
      <c r="F108" s="82"/>
      <c r="G108" s="82"/>
      <c r="H108" s="82"/>
    </row>
    <row r="109" spans="1:11" ht="21.95" customHeight="1">
      <c r="A109" s="13" t="s">
        <v>888</v>
      </c>
      <c r="B109" s="13" t="s">
        <v>889</v>
      </c>
      <c r="C109" s="13" t="s">
        <v>890</v>
      </c>
    </row>
    <row r="110" spans="1:11" ht="21.95" customHeight="1">
      <c r="A110" s="64" t="s">
        <v>891</v>
      </c>
      <c r="B110" s="44" t="s">
        <v>892</v>
      </c>
      <c r="C110" s="45" t="s">
        <v>893</v>
      </c>
    </row>
    <row r="111" spans="1:11" ht="21.95" customHeight="1">
      <c r="A111" s="65" t="s">
        <v>894</v>
      </c>
      <c r="B111" s="17" t="s">
        <v>895</v>
      </c>
      <c r="C111" s="18" t="s">
        <v>896</v>
      </c>
    </row>
    <row r="112" spans="1:11" ht="21.95" customHeight="1">
      <c r="A112" s="65" t="s">
        <v>897</v>
      </c>
      <c r="B112" s="17" t="s">
        <v>898</v>
      </c>
      <c r="C112" s="18" t="s">
        <v>899</v>
      </c>
    </row>
    <row r="113" spans="1:8" ht="21.95" customHeight="1">
      <c r="A113" s="65" t="s">
        <v>881</v>
      </c>
      <c r="B113" s="17" t="s">
        <v>900</v>
      </c>
      <c r="C113" s="18" t="s">
        <v>901</v>
      </c>
    </row>
    <row r="114" spans="1:8" ht="21.95" customHeight="1">
      <c r="A114" s="65" t="s">
        <v>902</v>
      </c>
      <c r="B114" s="17" t="s">
        <v>903</v>
      </c>
      <c r="C114" s="18" t="s">
        <v>904</v>
      </c>
    </row>
    <row r="115" spans="1:8" ht="21.95" customHeight="1">
      <c r="A115" s="66" t="s">
        <v>905</v>
      </c>
      <c r="B115" s="19" t="s">
        <v>906</v>
      </c>
      <c r="C115" s="20" t="s">
        <v>907</v>
      </c>
    </row>
    <row r="118" spans="1:8" ht="18">
      <c r="A118" s="82" t="s">
        <v>908</v>
      </c>
      <c r="B118" s="82"/>
      <c r="C118" s="82"/>
      <c r="D118" s="82"/>
      <c r="E118" s="82"/>
      <c r="F118" s="82"/>
      <c r="G118" s="82"/>
      <c r="H118" s="82"/>
    </row>
    <row r="119" spans="1:8" ht="27.95" customHeight="1">
      <c r="A119" s="13" t="s">
        <v>909</v>
      </c>
      <c r="B119" s="13" t="s">
        <v>542</v>
      </c>
      <c r="C119" s="13" t="s">
        <v>910</v>
      </c>
    </row>
    <row r="120" spans="1:8" ht="52.5" customHeight="1">
      <c r="A120" s="64" t="s">
        <v>911</v>
      </c>
      <c r="B120" s="44" t="s">
        <v>912</v>
      </c>
      <c r="C120" s="45" t="s">
        <v>913</v>
      </c>
    </row>
    <row r="121" spans="1:8" ht="60" customHeight="1">
      <c r="A121" s="65" t="s">
        <v>914</v>
      </c>
      <c r="B121" s="17" t="s">
        <v>915</v>
      </c>
      <c r="C121" s="18" t="s">
        <v>916</v>
      </c>
    </row>
    <row r="122" spans="1:8" ht="51" customHeight="1">
      <c r="A122" s="66" t="s">
        <v>917</v>
      </c>
      <c r="B122" s="19" t="s">
        <v>918</v>
      </c>
      <c r="C122" s="20" t="s">
        <v>919</v>
      </c>
    </row>
  </sheetData>
  <mergeCells count="9">
    <mergeCell ref="J17:U17"/>
    <mergeCell ref="A100:K100"/>
    <mergeCell ref="A108:H108"/>
    <mergeCell ref="A118:H118"/>
    <mergeCell ref="A1:H1"/>
    <mergeCell ref="A2:H2"/>
    <mergeCell ref="J4:U4"/>
    <mergeCell ref="J5:U5"/>
    <mergeCell ref="K7: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Model_Desain</vt:lpstr>
      <vt:lpstr>Ringkasan</vt:lpstr>
      <vt:lpstr>Catatan</vt:lpstr>
      <vt:lpstr>MBBR_Diffuser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Petro Oxo Nusantara</cp:lastModifiedBy>
  <dcterms:modified xsi:type="dcterms:W3CDTF">2026-06-21T22:26:33Z</dcterms:modified>
</cp:coreProperties>
</file>