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DATA\Projects\kawruhnology\docs\"/>
    </mc:Choice>
  </mc:AlternateContent>
  <xr:revisionPtr revIDLastSave="0" documentId="13_ncr:1_{4EC43158-6724-405E-A9CF-69604BBC5189}" xr6:coauthVersionLast="47" xr6:coauthVersionMax="47" xr10:uidLastSave="{00000000-0000-0000-0000-000000000000}"/>
  <bookViews>
    <workbookView xWindow="45" yWindow="0" windowWidth="20775" windowHeight="15600" xr2:uid="{FB27018C-91CD-4774-A5CA-B9836AC9BF6C}"/>
  </bookViews>
  <sheets>
    <sheet name="airlift-model" sheetId="3" r:id="rId1"/>
    <sheet name="Sheet1" sheetId="1" r:id="rId2"/>
  </sheets>
  <definedNames>
    <definedName name="ExternalData_2" localSheetId="0" hidden="1">'airlift-model'!$A$1:$H$79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69" i="3" l="1"/>
  <c r="F70" i="3"/>
  <c r="F72" i="3"/>
  <c r="F73" i="3" s="1"/>
  <c r="F59" i="3"/>
  <c r="F60" i="3" s="1"/>
  <c r="F49" i="3"/>
  <c r="F54" i="3" s="1"/>
  <c r="F46" i="3"/>
  <c r="F20" i="3"/>
  <c r="F19" i="3"/>
  <c r="F16" i="3"/>
  <c r="F15" i="3"/>
  <c r="F14" i="3"/>
  <c r="F18" i="3" s="1"/>
  <c r="F13" i="3"/>
  <c r="F12" i="3"/>
  <c r="F17" i="3" s="1"/>
  <c r="F3" i="3"/>
  <c r="F5" i="3" s="1"/>
  <c r="F77" i="3" s="1"/>
  <c r="F28" i="3" l="1"/>
  <c r="F74" i="3" s="1"/>
  <c r="F27" i="3"/>
  <c r="F29" i="3" s="1"/>
  <c r="F55" i="3"/>
  <c r="F56" i="3" s="1"/>
  <c r="F32" i="3"/>
  <c r="F21" i="3"/>
  <c r="F24" i="3" s="1"/>
  <c r="F57" i="3"/>
  <c r="F58" i="3" s="1"/>
  <c r="F50" i="3"/>
  <c r="F51" i="3" s="1"/>
  <c r="F52" i="3" s="1"/>
  <c r="F37" i="3" l="1"/>
  <c r="F38" i="3" s="1"/>
  <c r="F39" i="3" s="1"/>
  <c r="F40" i="3"/>
  <c r="F41" i="3" s="1"/>
  <c r="F42" i="3" s="1"/>
  <c r="F33" i="3"/>
  <c r="F75" i="3"/>
  <c r="F76" i="3" s="1"/>
  <c r="F30" i="3"/>
  <c r="F43" i="3" l="1"/>
  <c r="F34" i="3"/>
  <c r="F78" i="3" s="1"/>
  <c r="F79" i="3" s="1"/>
  <c r="F44" i="3" l="1"/>
  <c r="F61" i="3"/>
  <c r="F62" i="3" l="1"/>
  <c r="F64" i="3" s="1"/>
  <c r="F65" i="3" s="1"/>
  <c r="F66" i="3"/>
  <c r="F68" i="3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89E225C-1CC8-4352-9A76-F14EA6C6FE0D}" keepAlive="1" name="Query - airlift-model" description="Connection to the 'airlift-model' query in the workbook." type="5" refreshedVersion="0" background="1">
    <dbPr connection="Provider=Microsoft.Mashup.OleDb.1;Data Source=$Workbook$;Location=airlift-model;Extended Properties=&quot;&quot;" command="SELECT * FROM [airlift-model]"/>
  </connection>
  <connection id="2" xr16:uid="{AB7BFA74-D30F-407F-99E6-E2F9C1CCA07B}" keepAlive="1" name="Query - airlift-model (2)" description="Connection to the 'airlift-model (2)' query in the workbook." type="5" refreshedVersion="8" background="1" saveData="1">
    <dbPr connection="Provider=Microsoft.Mashup.OleDb.1;Data Source=$Workbook$;Location=&quot;airlift-model (2)&quot;;Extended Properties=&quot;&quot;" command="SELECT * FROM [airlift-model (2)]"/>
  </connection>
</connections>
</file>

<file path=xl/sharedStrings.xml><?xml version="1.0" encoding="utf-8"?>
<sst xmlns="http://schemas.openxmlformats.org/spreadsheetml/2006/main" count="496" uniqueCount="295">
  <si>
    <t>No</t>
  </si>
  <si>
    <t>Jenis</t>
  </si>
  <si>
    <t>Parameter</t>
  </si>
  <si>
    <t>Simbol</t>
  </si>
  <si>
    <t>Satuan</t>
  </si>
  <si>
    <t>Nilai_atau_Formula_Excel</t>
  </si>
  <si>
    <t>Rumus_Umum</t>
  </si>
  <si>
    <t>Keterangan</t>
  </si>
  <si>
    <t>Input</t>
  </si>
  <si>
    <t>Diameter kolam</t>
  </si>
  <si>
    <t>D_tank</t>
  </si>
  <si>
    <t>m</t>
  </si>
  <si>
    <t>2</t>
  </si>
  <si>
    <t/>
  </si>
  <si>
    <t>Diameter kolam Gambiran</t>
  </si>
  <si>
    <t>Perhitungan</t>
  </si>
  <si>
    <t>Radius kolam</t>
  </si>
  <si>
    <t>R_tank</t>
  </si>
  <si>
    <t>D/2</t>
  </si>
  <si>
    <t>Kedalaman air</t>
  </si>
  <si>
    <t>H_water</t>
  </si>
  <si>
    <t>0.74</t>
  </si>
  <si>
    <t>Kedalaman aktual kolam</t>
  </si>
  <si>
    <t>Volume kolam</t>
  </si>
  <si>
    <t>V_tank</t>
  </si>
  <si>
    <t>m3</t>
  </si>
  <si>
    <t>pi*r^2*h</t>
  </si>
  <si>
    <t>Volume efektif kolam</t>
  </si>
  <si>
    <t>Diameter dalam lift tube</t>
  </si>
  <si>
    <t>D_tube</t>
  </si>
  <si>
    <t>0.076</t>
  </si>
  <si>
    <t>ID lift tube 76 mm</t>
  </si>
  <si>
    <t>Total flow path</t>
  </si>
  <si>
    <t>L_total</t>
  </si>
  <si>
    <t>1</t>
  </si>
  <si>
    <t>Total panjang lift tube + discharge pipe</t>
  </si>
  <si>
    <t>Kedalaman injeksi</t>
  </si>
  <si>
    <t>h_inj</t>
  </si>
  <si>
    <t>0.65</t>
  </si>
  <si>
    <t>Kedalaman diffuser dari permukaan/outlet</t>
  </si>
  <si>
    <t>Outlet depth</t>
  </si>
  <si>
    <t>h_out</t>
  </si>
  <si>
    <t>0.05</t>
  </si>
  <si>
    <t>Outlet 50 mm di bawah permukaan</t>
  </si>
  <si>
    <t>Debit udara</t>
  </si>
  <si>
    <t>Qa_Lmin</t>
  </si>
  <si>
    <t>L/min</t>
  </si>
  <si>
    <t>71</t>
  </si>
  <si>
    <t>Data Wurts-Parker</t>
  </si>
  <si>
    <t>Debit air</t>
  </si>
  <si>
    <t>Qw_Lmin</t>
  </si>
  <si>
    <t>73.9</t>
  </si>
  <si>
    <t>Konversi</t>
  </si>
  <si>
    <t>Qa</t>
  </si>
  <si>
    <t>m3/s</t>
  </si>
  <si>
    <t>Qa_Lmin/1000/60</t>
  </si>
  <si>
    <t>Konversi L/min ke m3/s</t>
  </si>
  <si>
    <t>Qw</t>
  </si>
  <si>
    <t>Qw_Lmin/1000/60</t>
  </si>
  <si>
    <t>Qa_m3h</t>
  </si>
  <si>
    <t>m3/jam</t>
  </si>
  <si>
    <t>Qa_Lmin*0.06</t>
  </si>
  <si>
    <t>Konversi ke m3/jam</t>
  </si>
  <si>
    <t>Qw_m3h</t>
  </si>
  <si>
    <t>Qw_Lmin*0.06</t>
  </si>
  <si>
    <t>Debit campuran</t>
  </si>
  <si>
    <t>Qm_Lmin</t>
  </si>
  <si>
    <t>Qa+Qw</t>
  </si>
  <si>
    <t>Debit campuran dalam L/min</t>
  </si>
  <si>
    <t>Qm</t>
  </si>
  <si>
    <t>Debit campuran dalam m3/s</t>
  </si>
  <si>
    <t>Qm_m3h</t>
  </si>
  <si>
    <t>Debit campuran dalam m3/jam</t>
  </si>
  <si>
    <t>Rasio air terhadap udara</t>
  </si>
  <si>
    <t>R_w_a</t>
  </si>
  <si>
    <t>-</t>
  </si>
  <si>
    <t>Qw/Qa</t>
  </si>
  <si>
    <t>Rasio data eksperimen</t>
  </si>
  <si>
    <t>Luas penampang tube</t>
  </si>
  <si>
    <t>A_tube</t>
  </si>
  <si>
    <t>m2</t>
  </si>
  <si>
    <t>pi*D^2/4</t>
  </si>
  <si>
    <t>Luas lift tube</t>
  </si>
  <si>
    <t>Void fraction homogen</t>
  </si>
  <si>
    <t>alpha</t>
  </si>
  <si>
    <t>Qa/(Qa+Qw)</t>
  </si>
  <si>
    <t>Model no-slip</t>
  </si>
  <si>
    <t>Densitas air</t>
  </si>
  <si>
    <t>rho_w</t>
  </si>
  <si>
    <t>kg/m3</t>
  </si>
  <si>
    <t>1000</t>
  </si>
  <si>
    <t>Densitas air tawar</t>
  </si>
  <si>
    <t>Densitas udara</t>
  </si>
  <si>
    <t>rho_a</t>
  </si>
  <si>
    <t>1.2</t>
  </si>
  <si>
    <t>Densitas campuran</t>
  </si>
  <si>
    <t>rho_m</t>
  </si>
  <si>
    <t>(1-alpha)*rho_w+alpha*rho_a</t>
  </si>
  <si>
    <t>Densitas campuran homogen</t>
  </si>
  <si>
    <t>Viskositas air</t>
  </si>
  <si>
    <t>mu_w</t>
  </si>
  <si>
    <t>Pa.s</t>
  </si>
  <si>
    <t>0.001</t>
  </si>
  <si>
    <t>Gravitasi</t>
  </si>
  <si>
    <t>g</t>
  </si>
  <si>
    <t>m/s2</t>
  </si>
  <si>
    <t>Konstanta gravitasi</t>
  </si>
  <si>
    <t>Kecepatan air ekuivalen</t>
  </si>
  <si>
    <t>v_w</t>
  </si>
  <si>
    <t>m/s</t>
  </si>
  <si>
    <t>Qw/A</t>
  </si>
  <si>
    <t>Kecepatan air saja</t>
  </si>
  <si>
    <t>Kecepatan campuran</t>
  </si>
  <si>
    <t>v_m</t>
  </si>
  <si>
    <t>Qm/A</t>
  </si>
  <si>
    <t>Kecepatan campuran/discharge terendam</t>
  </si>
  <si>
    <t>Reynolds air</t>
  </si>
  <si>
    <t>Re_w</t>
  </si>
  <si>
    <t>rho*v*D/mu</t>
  </si>
  <si>
    <t>Reynolds berbasis air</t>
  </si>
  <si>
    <t>Reynolds campuran</t>
  </si>
  <si>
    <t>Re_m</t>
  </si>
  <si>
    <t>rho_m*v_m*D/mu</t>
  </si>
  <si>
    <t>Estimasi homogen</t>
  </si>
  <si>
    <t>Darcy friction factor</t>
  </si>
  <si>
    <t>f</t>
  </si>
  <si>
    <t>0.026</t>
  </si>
  <si>
    <t>Asumsi PVC turbulen ringan</t>
  </si>
  <si>
    <t>Friction head campuran</t>
  </si>
  <si>
    <t>hf_mix</t>
  </si>
  <si>
    <t>f*(L/D)*(v^2/2g)</t>
  </si>
  <si>
    <t>Head loss berbasis fluida campuran</t>
  </si>
  <si>
    <t>Friction pressure drop</t>
  </si>
  <si>
    <t>dP_f</t>
  </si>
  <si>
    <t>Pa</t>
  </si>
  <si>
    <t>rho_m*g*hf</t>
  </si>
  <si>
    <t>dP_f_mmH2O</t>
  </si>
  <si>
    <t>mmH2O</t>
  </si>
  <si>
    <t>dP/g</t>
  </si>
  <si>
    <t>Pressure-equivalent mmH2O</t>
  </si>
  <si>
    <t>K elbow 90 derajat</t>
  </si>
  <si>
    <t>K_elbow</t>
  </si>
  <si>
    <t>0.75</t>
  </si>
  <si>
    <t>Koefisien minor loss elbow</t>
  </si>
  <si>
    <t>K outlet</t>
  </si>
  <si>
    <t>K_outlet</t>
  </si>
  <si>
    <t>Koefisien outlet terendam</t>
  </si>
  <si>
    <t>Elbow head campuran</t>
  </si>
  <si>
    <t>h_elbow_mix</t>
  </si>
  <si>
    <t>K*v^2/2g</t>
  </si>
  <si>
    <t>Head loss elbow</t>
  </si>
  <si>
    <t>Elbow pressure drop</t>
  </si>
  <si>
    <t>dP_elbow</t>
  </si>
  <si>
    <t>rho_m*g*h</t>
  </si>
  <si>
    <t>Pressure drop elbow</t>
  </si>
  <si>
    <t>dP_elbow_mmH2O</t>
  </si>
  <si>
    <t>Outlet head campuran</t>
  </si>
  <si>
    <t>h_out_mix</t>
  </si>
  <si>
    <t>Head loss outlet</t>
  </si>
  <si>
    <t>Outlet pressure drop</t>
  </si>
  <si>
    <t>dP_outlet</t>
  </si>
  <si>
    <t>Pressure drop outlet</t>
  </si>
  <si>
    <t>dP_outlet_mmH2O</t>
  </si>
  <si>
    <t>Total pressure drop tube</t>
  </si>
  <si>
    <t>dP_tube</t>
  </si>
  <si>
    <t>friction+elbow+outlet</t>
  </si>
  <si>
    <t>dP_tube_mmH2O</t>
  </si>
  <si>
    <t>Target pressure drop diffuser</t>
  </si>
  <si>
    <t>dP_diff_target_mmH2O</t>
  </si>
  <si>
    <t>50</t>
  </si>
  <si>
    <t>Target distribusi udara</t>
  </si>
  <si>
    <t>dP_diff_target</t>
  </si>
  <si>
    <t>mmH2O*g</t>
  </si>
  <si>
    <t>Konversi ke Pa</t>
  </si>
  <si>
    <t>Discharge coefficient</t>
  </si>
  <si>
    <t>Cd</t>
  </si>
  <si>
    <t>Koefisien orifice</t>
  </si>
  <si>
    <t>Diameter lubang diffuser</t>
  </si>
  <si>
    <t>d_hole</t>
  </si>
  <si>
    <t>Diameter lubang 1 mm</t>
  </si>
  <si>
    <t>Luas 1 lubang diffuser</t>
  </si>
  <si>
    <t>A_hole</t>
  </si>
  <si>
    <t>pi*d^2/4</t>
  </si>
  <si>
    <t>Luas 1 orifice</t>
  </si>
  <si>
    <t>Luas total diffuser perlu</t>
  </si>
  <si>
    <t>A_diff_required</t>
  </si>
  <si>
    <t>Q/(Cd*sqrt(2dP/rho))</t>
  </si>
  <si>
    <t>Luas total untuk target dP</t>
  </si>
  <si>
    <t>Jumlah lubang teoritis</t>
  </si>
  <si>
    <t>N_theory</t>
  </si>
  <si>
    <t>buah</t>
  </si>
  <si>
    <t>A_total/A_hole</t>
  </si>
  <si>
    <t>Jumlah lubang dibulatkan</t>
  </si>
  <si>
    <t>N_round</t>
  </si>
  <si>
    <t>roundup(N)</t>
  </si>
  <si>
    <t>Pembulatan ke atas</t>
  </si>
  <si>
    <t>Jumlah lubang terpilih</t>
  </si>
  <si>
    <t>N_selected</t>
  </si>
  <si>
    <t>85</t>
  </si>
  <si>
    <t>Desain final</t>
  </si>
  <si>
    <t>Luas total aktual diffuser</t>
  </si>
  <si>
    <t>A_diff_actual</t>
  </si>
  <si>
    <t>N*A_hole</t>
  </si>
  <si>
    <t>Luas total aktual</t>
  </si>
  <si>
    <t>Debit diffuser aktual pada target dP</t>
  </si>
  <si>
    <t>Q_diff_actual</t>
  </si>
  <si>
    <t>Cd*A*sqrt(2dP/rho)</t>
  </si>
  <si>
    <t>Debit udara aktual</t>
  </si>
  <si>
    <t>Debit diffuser aktual</t>
  </si>
  <si>
    <t>Q_diff_actual_Lmin</t>
  </si>
  <si>
    <t>Q*60000</t>
  </si>
  <si>
    <t>Konversi m3/s ke L/min</t>
  </si>
  <si>
    <t>Pressure drop diffuser aktual</t>
  </si>
  <si>
    <t>dP_diff_actual</t>
  </si>
  <si>
    <t>rho/2*(Q/(Cd*A))^2</t>
  </si>
  <si>
    <t>dP aktual untuk Qa target</t>
  </si>
  <si>
    <t>dP_diff_actual_mmH2O</t>
  </si>
  <si>
    <t>Tekanan start-up</t>
  </si>
  <si>
    <t>P_start_mmH2O</t>
  </si>
  <si>
    <t>h_inj*1000</t>
  </si>
  <si>
    <t>Hydrostatic head air</t>
  </si>
  <si>
    <t>P_start</t>
  </si>
  <si>
    <t>Tekanan operasi total</t>
  </si>
  <si>
    <t>P_oper</t>
  </si>
  <si>
    <t>P_start+dP_tube+dP_diff</t>
  </si>
  <si>
    <t>Tekanan operasi konservatif</t>
  </si>
  <si>
    <t>P_oper_mmH2O</t>
  </si>
  <si>
    <t>P/g</t>
  </si>
  <si>
    <t>Konversi ke mmH2O</t>
  </si>
  <si>
    <t>Margin desain tekanan</t>
  </si>
  <si>
    <t>SF_pressure</t>
  </si>
  <si>
    <t>Margin fouling/variasi</t>
  </si>
  <si>
    <t>Tekanan desain blower</t>
  </si>
  <si>
    <t>P_design_mmH2O</t>
  </si>
  <si>
    <t>P_oper*SF</t>
  </si>
  <si>
    <t>P_design</t>
  </si>
  <si>
    <t>Daya udara</t>
  </si>
  <si>
    <t>P_air</t>
  </si>
  <si>
    <t>W</t>
  </si>
  <si>
    <t>Qa*dP</t>
  </si>
  <si>
    <t>Daya pneumatik operasi</t>
  </si>
  <si>
    <t>Efisiensi blower</t>
  </si>
  <si>
    <t>eta_blower</t>
  </si>
  <si>
    <t>0.4</t>
  </si>
  <si>
    <t>Asumsi efisiensi blower</t>
  </si>
  <si>
    <t>Daya listrik teoritis</t>
  </si>
  <si>
    <t>P_elec</t>
  </si>
  <si>
    <t>P_air/eta</t>
  </si>
  <si>
    <t>Daya teoritis minimum</t>
  </si>
  <si>
    <t>Output</t>
  </si>
  <si>
    <t>Daya blower rekomendasi minimum</t>
  </si>
  <si>
    <t>P_blower_min</t>
  </si>
  <si>
    <t>Rekomendasi praktis</t>
  </si>
  <si>
    <t>Daya blower rekomendasi maksimum</t>
  </si>
  <si>
    <t>P_blower_max</t>
  </si>
  <si>
    <t>Surface tension air</t>
  </si>
  <si>
    <t>sigma</t>
  </si>
  <si>
    <t>N/m</t>
  </si>
  <si>
    <t>0.072</t>
  </si>
  <si>
    <t>Air bersih</t>
  </si>
  <si>
    <t>Diameter bubble estimasi</t>
  </si>
  <si>
    <t>d_bubble</t>
  </si>
  <si>
    <t>((6*sigma*d)/(g*(rho_w-rho_a)))^(1/3)</t>
  </si>
  <si>
    <t>Estimasi bubble Fritz sederhana</t>
  </si>
  <si>
    <t>d_bubble_mm</t>
  </si>
  <si>
    <t>mm</t>
  </si>
  <si>
    <t>d*1000</t>
  </si>
  <si>
    <t>Estimasi mm</t>
  </si>
  <si>
    <t>Waktu kontak</t>
  </si>
  <si>
    <t>t_contact</t>
  </si>
  <si>
    <t>s</t>
  </si>
  <si>
    <t>L/v_m</t>
  </si>
  <si>
    <t>Waktu kontak dalam flow path</t>
  </si>
  <si>
    <t>Laju massa campuran</t>
  </si>
  <si>
    <t>m_dot</t>
  </si>
  <si>
    <t>kg/s</t>
  </si>
  <si>
    <t>rho_m*Qm</t>
  </si>
  <si>
    <t>Momentum discharge</t>
  </si>
  <si>
    <t>M</t>
  </si>
  <si>
    <t>N</t>
  </si>
  <si>
    <t>m_dot*v</t>
  </si>
  <si>
    <t>Estimasi gaya momentum</t>
  </si>
  <si>
    <t>Turnover kolam</t>
  </si>
  <si>
    <t>TR</t>
  </si>
  <si>
    <t>1/jam</t>
  </si>
  <si>
    <t>Qw_m3h/V_tank</t>
  </si>
  <si>
    <t>Turnover hidrolik</t>
  </si>
  <si>
    <t>Rasio diffuser terhadap tube</t>
  </si>
  <si>
    <t>R_diff_tube</t>
  </si>
  <si>
    <t>Status distribusi diffuser</t>
  </si>
  <si>
    <t>Status</t>
  </si>
  <si>
    <t>dP_diff/dP_header</t>
  </si>
  <si>
    <t>Rule praktis jika dibandingkan variasi header</t>
  </si>
  <si>
    <t>dP_diff/dP_friction</t>
  </si>
  <si>
    <t>Rasio pressure drop diffuser terhadap friction tube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</si>
</sst>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NumberFormat="1"/>
    <xf numFmtId="0" fontId="0" fillId="0" borderId="0" xfId="0" applyAlignment="1">
      <alignment horizontal="center"/>
    </xf>
    <xf numFmtId="0" fontId="0" fillId="0" borderId="0" xfId="0" applyNumberFormat="1" applyAlignment="1">
      <alignment horizontal="center"/>
    </xf>
  </cellXfs>
  <cellStyles count="1">
    <cellStyle name="Normal" xfId="0" builtinId="0"/>
  </cellStyles>
  <dxfs count="7"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2" xr16:uid="{82EF7146-1F1A-41E1-92CD-6803C9560427}" autoFormatId="16" applyNumberFormats="0" applyBorderFormats="0" applyFontFormats="0" applyPatternFormats="0" applyAlignmentFormats="0" applyWidthHeightFormats="0">
  <queryTableRefresh nextId="9">
    <queryTableFields count="8">
      <queryTableField id="1" name="No" tableColumnId="1"/>
      <queryTableField id="2" name="Jenis" tableColumnId="2"/>
      <queryTableField id="3" name="Parameter" tableColumnId="3"/>
      <queryTableField id="4" name="Simbol" tableColumnId="4"/>
      <queryTableField id="5" name="Satuan" tableColumnId="5"/>
      <queryTableField id="6" name="Nilai_atau_Formula_Excel" tableColumnId="6"/>
      <queryTableField id="7" name="Rumus_Umum" tableColumnId="7"/>
      <queryTableField id="8" name="Keterangan" tableColumnId="8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495AAE6-C10E-4AE1-BF2B-E9F63834972F}" name="airlift_model__2" displayName="airlift_model__2" ref="A1:H79" tableType="queryTable" totalsRowShown="0">
  <autoFilter ref="A1:H79" xr:uid="{E495AAE6-C10E-4AE1-BF2B-E9F63834972F}"/>
  <tableColumns count="8">
    <tableColumn id="1" xr3:uid="{DE17721C-D75D-4407-8918-E5AFBA1AB193}" uniqueName="1" name="No" queryTableFieldId="1"/>
    <tableColumn id="2" xr3:uid="{750D747E-2486-418B-AF9E-F3B73A0FC4C9}" uniqueName="2" name="Jenis" queryTableFieldId="2" dataDxfId="6"/>
    <tableColumn id="3" xr3:uid="{F8C4E1CC-550F-4C6C-94EB-55D5CD2D83C1}" uniqueName="3" name="Parameter" queryTableFieldId="3" dataDxfId="5"/>
    <tableColumn id="4" xr3:uid="{8987E326-7E94-49B4-8164-85EDB91336D4}" uniqueName="4" name="Simbol" queryTableFieldId="4" dataDxfId="4"/>
    <tableColumn id="5" xr3:uid="{C91AC32E-4D17-48F7-B292-BC29C153F7E4}" uniqueName="5" name="Satuan" queryTableFieldId="5" dataDxfId="2"/>
    <tableColumn id="6" xr3:uid="{D16CC36E-7982-45A2-B933-C84415313433}" uniqueName="6" name="Nilai_atau_Formula_Excel" queryTableFieldId="6" dataDxfId="0"/>
    <tableColumn id="7" xr3:uid="{E601D4D1-C4A7-4F5E-8641-500BD0B3F794}" uniqueName="7" name="Rumus_Umum" queryTableFieldId="7" dataDxfId="1"/>
    <tableColumn id="8" xr3:uid="{7AE01310-8802-4862-8A14-5E121EE88BA3}" uniqueName="8" name="Keterangan" queryTableFieldId="8" dataDxfId="3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AB47D-9880-42E7-9351-F038722B58B4}">
  <dimension ref="A1:H79"/>
  <sheetViews>
    <sheetView tabSelected="1" topLeftCell="A49" workbookViewId="0">
      <selection activeCell="F70" sqref="F70"/>
    </sheetView>
  </sheetViews>
  <sheetFormatPr defaultRowHeight="15" x14ac:dyDescent="0.25"/>
  <cols>
    <col min="1" max="1" width="5.85546875" bestFit="1" customWidth="1"/>
    <col min="2" max="2" width="17.140625" customWidth="1"/>
    <col min="3" max="3" width="35" bestFit="1" customWidth="1"/>
    <col min="4" max="4" width="20.5703125" customWidth="1"/>
    <col min="5" max="5" width="9.28515625" bestFit="1" customWidth="1"/>
    <col min="6" max="6" width="24.7109375" style="2" customWidth="1"/>
    <col min="7" max="7" width="36.28515625" bestFit="1" customWidth="1"/>
    <col min="8" max="8" width="47" bestFit="1" customWidth="1"/>
  </cols>
  <sheetData>
    <row r="1" spans="1: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s="2" t="s">
        <v>5</v>
      </c>
      <c r="G1" t="s">
        <v>6</v>
      </c>
      <c r="H1" t="s">
        <v>7</v>
      </c>
    </row>
    <row r="2" spans="1:8" x14ac:dyDescent="0.25">
      <c r="A2">
        <v>1</v>
      </c>
      <c r="B2" s="1" t="s">
        <v>8</v>
      </c>
      <c r="C2" s="1" t="s">
        <v>9</v>
      </c>
      <c r="D2" s="1" t="s">
        <v>10</v>
      </c>
      <c r="E2" s="1" t="s">
        <v>11</v>
      </c>
      <c r="F2" s="3" t="s">
        <v>12</v>
      </c>
      <c r="G2" s="1" t="s">
        <v>13</v>
      </c>
      <c r="H2" s="1" t="s">
        <v>14</v>
      </c>
    </row>
    <row r="3" spans="1:8" x14ac:dyDescent="0.25">
      <c r="A3">
        <v>2</v>
      </c>
      <c r="B3" s="1" t="s">
        <v>15</v>
      </c>
      <c r="C3" s="1" t="s">
        <v>16</v>
      </c>
      <c r="D3" s="1" t="s">
        <v>17</v>
      </c>
      <c r="E3" s="1" t="s">
        <v>11</v>
      </c>
      <c r="F3" s="3">
        <f>F2/2</f>
        <v>1</v>
      </c>
      <c r="G3" s="1" t="s">
        <v>18</v>
      </c>
      <c r="H3" s="1" t="s">
        <v>16</v>
      </c>
    </row>
    <row r="4" spans="1:8" x14ac:dyDescent="0.25">
      <c r="A4">
        <v>3</v>
      </c>
      <c r="B4" s="1" t="s">
        <v>8</v>
      </c>
      <c r="C4" s="1" t="s">
        <v>19</v>
      </c>
      <c r="D4" s="1" t="s">
        <v>20</v>
      </c>
      <c r="E4" s="1" t="s">
        <v>11</v>
      </c>
      <c r="F4" s="3" t="s">
        <v>21</v>
      </c>
      <c r="G4" s="1" t="s">
        <v>13</v>
      </c>
      <c r="H4" s="1" t="s">
        <v>22</v>
      </c>
    </row>
    <row r="5" spans="1:8" x14ac:dyDescent="0.25">
      <c r="A5">
        <v>4</v>
      </c>
      <c r="B5" s="1" t="s">
        <v>15</v>
      </c>
      <c r="C5" s="1" t="s">
        <v>23</v>
      </c>
      <c r="D5" s="1" t="s">
        <v>24</v>
      </c>
      <c r="E5" s="1" t="s">
        <v>25</v>
      </c>
      <c r="F5" s="3">
        <f>PI()*F3^2*F4</f>
        <v>2.3247785636564471</v>
      </c>
      <c r="G5" s="1" t="s">
        <v>26</v>
      </c>
      <c r="H5" s="1" t="s">
        <v>27</v>
      </c>
    </row>
    <row r="6" spans="1:8" x14ac:dyDescent="0.25">
      <c r="A6">
        <v>5</v>
      </c>
      <c r="B6" s="1" t="s">
        <v>8</v>
      </c>
      <c r="C6" s="1" t="s">
        <v>28</v>
      </c>
      <c r="D6" s="1" t="s">
        <v>29</v>
      </c>
      <c r="E6" s="1" t="s">
        <v>11</v>
      </c>
      <c r="F6" s="3" t="s">
        <v>30</v>
      </c>
      <c r="G6" s="1" t="s">
        <v>13</v>
      </c>
      <c r="H6" s="1" t="s">
        <v>31</v>
      </c>
    </row>
    <row r="7" spans="1:8" x14ac:dyDescent="0.25">
      <c r="A7">
        <v>6</v>
      </c>
      <c r="B7" s="1" t="s">
        <v>8</v>
      </c>
      <c r="C7" s="1" t="s">
        <v>32</v>
      </c>
      <c r="D7" s="1" t="s">
        <v>33</v>
      </c>
      <c r="E7" s="1" t="s">
        <v>11</v>
      </c>
      <c r="F7" s="3" t="s">
        <v>34</v>
      </c>
      <c r="G7" s="1"/>
      <c r="H7" s="1" t="s">
        <v>35</v>
      </c>
    </row>
    <row r="8" spans="1:8" x14ac:dyDescent="0.25">
      <c r="A8">
        <v>7</v>
      </c>
      <c r="B8" s="1" t="s">
        <v>8</v>
      </c>
      <c r="C8" s="1" t="s">
        <v>36</v>
      </c>
      <c r="D8" s="1" t="s">
        <v>37</v>
      </c>
      <c r="E8" s="1" t="s">
        <v>11</v>
      </c>
      <c r="F8" s="3" t="s">
        <v>38</v>
      </c>
      <c r="G8" s="1" t="s">
        <v>13</v>
      </c>
      <c r="H8" s="1" t="s">
        <v>39</v>
      </c>
    </row>
    <row r="9" spans="1:8" x14ac:dyDescent="0.25">
      <c r="A9">
        <v>8</v>
      </c>
      <c r="B9" s="1" t="s">
        <v>8</v>
      </c>
      <c r="C9" s="1" t="s">
        <v>40</v>
      </c>
      <c r="D9" s="1" t="s">
        <v>41</v>
      </c>
      <c r="E9" s="1" t="s">
        <v>11</v>
      </c>
      <c r="F9" s="3" t="s">
        <v>42</v>
      </c>
      <c r="G9" s="1" t="s">
        <v>13</v>
      </c>
      <c r="H9" s="1" t="s">
        <v>43</v>
      </c>
    </row>
    <row r="10" spans="1:8" x14ac:dyDescent="0.25">
      <c r="A10">
        <v>9</v>
      </c>
      <c r="B10" s="1" t="s">
        <v>8</v>
      </c>
      <c r="C10" s="1" t="s">
        <v>44</v>
      </c>
      <c r="D10" s="1" t="s">
        <v>45</v>
      </c>
      <c r="E10" s="1" t="s">
        <v>46</v>
      </c>
      <c r="F10" s="3" t="s">
        <v>47</v>
      </c>
      <c r="G10" s="1" t="s">
        <v>13</v>
      </c>
      <c r="H10" s="1" t="s">
        <v>48</v>
      </c>
    </row>
    <row r="11" spans="1:8" x14ac:dyDescent="0.25">
      <c r="A11">
        <v>10</v>
      </c>
      <c r="B11" s="1" t="s">
        <v>8</v>
      </c>
      <c r="C11" s="1" t="s">
        <v>49</v>
      </c>
      <c r="D11" s="1" t="s">
        <v>50</v>
      </c>
      <c r="E11" s="1" t="s">
        <v>46</v>
      </c>
      <c r="F11" s="3" t="s">
        <v>51</v>
      </c>
      <c r="G11" s="1" t="s">
        <v>13</v>
      </c>
      <c r="H11" s="1" t="s">
        <v>48</v>
      </c>
    </row>
    <row r="12" spans="1:8" x14ac:dyDescent="0.25">
      <c r="A12">
        <v>11</v>
      </c>
      <c r="B12" s="1" t="s">
        <v>52</v>
      </c>
      <c r="C12" s="1" t="s">
        <v>44</v>
      </c>
      <c r="D12" s="1" t="s">
        <v>53</v>
      </c>
      <c r="E12" s="1" t="s">
        <v>54</v>
      </c>
      <c r="F12" s="3">
        <f>F10/1000/60</f>
        <v>1.1833333333333333E-3</v>
      </c>
      <c r="G12" s="1" t="s">
        <v>55</v>
      </c>
      <c r="H12" s="1" t="s">
        <v>56</v>
      </c>
    </row>
    <row r="13" spans="1:8" x14ac:dyDescent="0.25">
      <c r="A13">
        <v>12</v>
      </c>
      <c r="B13" s="1" t="s">
        <v>52</v>
      </c>
      <c r="C13" s="1" t="s">
        <v>49</v>
      </c>
      <c r="D13" s="1" t="s">
        <v>57</v>
      </c>
      <c r="E13" s="1" t="s">
        <v>54</v>
      </c>
      <c r="F13" s="3">
        <f>F11/1000/60</f>
        <v>1.2316666666666667E-3</v>
      </c>
      <c r="G13" s="1" t="s">
        <v>58</v>
      </c>
      <c r="H13" s="1" t="s">
        <v>56</v>
      </c>
    </row>
    <row r="14" spans="1:8" x14ac:dyDescent="0.25">
      <c r="A14">
        <v>13</v>
      </c>
      <c r="B14" s="1" t="s">
        <v>52</v>
      </c>
      <c r="C14" s="1" t="s">
        <v>44</v>
      </c>
      <c r="D14" s="1" t="s">
        <v>59</v>
      </c>
      <c r="E14" s="1" t="s">
        <v>60</v>
      </c>
      <c r="F14" s="3">
        <f>F10*0.06</f>
        <v>4.26</v>
      </c>
      <c r="G14" s="1" t="s">
        <v>61</v>
      </c>
      <c r="H14" s="1" t="s">
        <v>62</v>
      </c>
    </row>
    <row r="15" spans="1:8" x14ac:dyDescent="0.25">
      <c r="A15">
        <v>14</v>
      </c>
      <c r="B15" s="1" t="s">
        <v>52</v>
      </c>
      <c r="C15" s="1" t="s">
        <v>49</v>
      </c>
      <c r="D15" s="1" t="s">
        <v>63</v>
      </c>
      <c r="E15" s="1" t="s">
        <v>60</v>
      </c>
      <c r="F15" s="3">
        <f>F11*0.06</f>
        <v>4.4340000000000002</v>
      </c>
      <c r="G15" s="1" t="s">
        <v>64</v>
      </c>
      <c r="H15" s="1" t="s">
        <v>62</v>
      </c>
    </row>
    <row r="16" spans="1:8" x14ac:dyDescent="0.25">
      <c r="A16">
        <v>15</v>
      </c>
      <c r="B16" s="1" t="s">
        <v>15</v>
      </c>
      <c r="C16" s="1" t="s">
        <v>65</v>
      </c>
      <c r="D16" s="1" t="s">
        <v>66</v>
      </c>
      <c r="E16" s="1" t="s">
        <v>46</v>
      </c>
      <c r="F16" s="3">
        <f>F10+F11</f>
        <v>144.9</v>
      </c>
      <c r="G16" s="1" t="s">
        <v>67</v>
      </c>
      <c r="H16" s="1" t="s">
        <v>68</v>
      </c>
    </row>
    <row r="17" spans="1:8" x14ac:dyDescent="0.25">
      <c r="A17">
        <v>16</v>
      </c>
      <c r="B17" s="1" t="s">
        <v>15</v>
      </c>
      <c r="C17" s="1" t="s">
        <v>65</v>
      </c>
      <c r="D17" s="1" t="s">
        <v>69</v>
      </c>
      <c r="E17" s="1" t="s">
        <v>54</v>
      </c>
      <c r="F17" s="3">
        <f>F12+F13</f>
        <v>2.415E-3</v>
      </c>
      <c r="G17" s="1" t="s">
        <v>67</v>
      </c>
      <c r="H17" s="1" t="s">
        <v>70</v>
      </c>
    </row>
    <row r="18" spans="1:8" x14ac:dyDescent="0.25">
      <c r="A18">
        <v>17</v>
      </c>
      <c r="B18" s="1" t="s">
        <v>15</v>
      </c>
      <c r="C18" s="1" t="s">
        <v>65</v>
      </c>
      <c r="D18" s="1" t="s">
        <v>71</v>
      </c>
      <c r="E18" s="1" t="s">
        <v>60</v>
      </c>
      <c r="F18" s="3">
        <f>F14+F15</f>
        <v>8.6939999999999991</v>
      </c>
      <c r="G18" s="1" t="s">
        <v>67</v>
      </c>
      <c r="H18" s="1" t="s">
        <v>72</v>
      </c>
    </row>
    <row r="19" spans="1:8" x14ac:dyDescent="0.25">
      <c r="A19">
        <v>18</v>
      </c>
      <c r="B19" s="1" t="s">
        <v>15</v>
      </c>
      <c r="C19" s="1" t="s">
        <v>73</v>
      </c>
      <c r="D19" s="1" t="s">
        <v>74</v>
      </c>
      <c r="E19" s="1" t="s">
        <v>75</v>
      </c>
      <c r="F19" s="3">
        <f>F11/F10</f>
        <v>1.0408450704225354</v>
      </c>
      <c r="G19" s="1" t="s">
        <v>76</v>
      </c>
      <c r="H19" s="1" t="s">
        <v>77</v>
      </c>
    </row>
    <row r="20" spans="1:8" x14ac:dyDescent="0.25">
      <c r="A20">
        <v>19</v>
      </c>
      <c r="B20" s="1" t="s">
        <v>15</v>
      </c>
      <c r="C20" s="1" t="s">
        <v>78</v>
      </c>
      <c r="D20" s="1" t="s">
        <v>79</v>
      </c>
      <c r="E20" s="1" t="s">
        <v>80</v>
      </c>
      <c r="F20" s="3">
        <f>PI()*F6^2/4</f>
        <v>4.5364597917836608E-3</v>
      </c>
      <c r="G20" s="1" t="s">
        <v>81</v>
      </c>
      <c r="H20" s="1" t="s">
        <v>82</v>
      </c>
    </row>
    <row r="21" spans="1:8" x14ac:dyDescent="0.25">
      <c r="A21">
        <v>20</v>
      </c>
      <c r="B21" s="1" t="s">
        <v>15</v>
      </c>
      <c r="C21" s="1" t="s">
        <v>83</v>
      </c>
      <c r="D21" s="1" t="s">
        <v>84</v>
      </c>
      <c r="E21" s="1" t="s">
        <v>75</v>
      </c>
      <c r="F21" s="3">
        <f>F12/F17</f>
        <v>0.48999309868875085</v>
      </c>
      <c r="G21" s="1" t="s">
        <v>85</v>
      </c>
      <c r="H21" s="1" t="s">
        <v>86</v>
      </c>
    </row>
    <row r="22" spans="1:8" x14ac:dyDescent="0.25">
      <c r="A22">
        <v>21</v>
      </c>
      <c r="B22" s="1" t="s">
        <v>8</v>
      </c>
      <c r="C22" s="1" t="s">
        <v>87</v>
      </c>
      <c r="D22" s="1" t="s">
        <v>88</v>
      </c>
      <c r="E22" s="1" t="s">
        <v>89</v>
      </c>
      <c r="F22" s="3" t="s">
        <v>90</v>
      </c>
      <c r="G22" s="1" t="s">
        <v>13</v>
      </c>
      <c r="H22" s="1" t="s">
        <v>91</v>
      </c>
    </row>
    <row r="23" spans="1:8" x14ac:dyDescent="0.25">
      <c r="A23">
        <v>22</v>
      </c>
      <c r="B23" s="1" t="s">
        <v>8</v>
      </c>
      <c r="C23" s="1" t="s">
        <v>92</v>
      </c>
      <c r="D23" s="1" t="s">
        <v>93</v>
      </c>
      <c r="E23" s="1" t="s">
        <v>89</v>
      </c>
      <c r="F23" s="3" t="s">
        <v>94</v>
      </c>
      <c r="G23" s="1" t="s">
        <v>13</v>
      </c>
      <c r="H23" s="1" t="s">
        <v>92</v>
      </c>
    </row>
    <row r="24" spans="1:8" x14ac:dyDescent="0.25">
      <c r="A24">
        <v>23</v>
      </c>
      <c r="B24" s="1" t="s">
        <v>15</v>
      </c>
      <c r="C24" s="1" t="s">
        <v>95</v>
      </c>
      <c r="D24" s="1" t="s">
        <v>96</v>
      </c>
      <c r="E24" s="1" t="s">
        <v>89</v>
      </c>
      <c r="F24" s="3">
        <f>(1-F21)*F22+F21*F23</f>
        <v>510.59489302967563</v>
      </c>
      <c r="G24" s="1" t="s">
        <v>97</v>
      </c>
      <c r="H24" s="1" t="s">
        <v>98</v>
      </c>
    </row>
    <row r="25" spans="1:8" x14ac:dyDescent="0.25">
      <c r="A25">
        <v>24</v>
      </c>
      <c r="B25" s="1" t="s">
        <v>8</v>
      </c>
      <c r="C25" s="1" t="s">
        <v>99</v>
      </c>
      <c r="D25" s="1" t="s">
        <v>100</v>
      </c>
      <c r="E25" s="1" t="s">
        <v>101</v>
      </c>
      <c r="F25" s="3" t="s">
        <v>102</v>
      </c>
      <c r="G25" s="1" t="s">
        <v>13</v>
      </c>
      <c r="H25" s="1" t="s">
        <v>99</v>
      </c>
    </row>
    <row r="26" spans="1:8" x14ac:dyDescent="0.25">
      <c r="A26">
        <v>25</v>
      </c>
      <c r="B26" s="1" t="s">
        <v>8</v>
      </c>
      <c r="C26" s="1" t="s">
        <v>103</v>
      </c>
      <c r="D26" s="1" t="s">
        <v>104</v>
      </c>
      <c r="E26" s="1" t="s">
        <v>105</v>
      </c>
      <c r="F26" s="3">
        <v>9.8000000000000007</v>
      </c>
      <c r="G26" s="1" t="s">
        <v>13</v>
      </c>
      <c r="H26" s="1" t="s">
        <v>106</v>
      </c>
    </row>
    <row r="27" spans="1:8" x14ac:dyDescent="0.25">
      <c r="A27">
        <v>26</v>
      </c>
      <c r="B27" s="1" t="s">
        <v>15</v>
      </c>
      <c r="C27" s="1" t="s">
        <v>107</v>
      </c>
      <c r="D27" s="1" t="s">
        <v>108</v>
      </c>
      <c r="E27" s="1" t="s">
        <v>109</v>
      </c>
      <c r="F27" s="3">
        <f>F13/F20</f>
        <v>0.27150393108243459</v>
      </c>
      <c r="G27" s="1" t="s">
        <v>110</v>
      </c>
      <c r="H27" s="1" t="s">
        <v>111</v>
      </c>
    </row>
    <row r="28" spans="1:8" x14ac:dyDescent="0.25">
      <c r="A28">
        <v>27</v>
      </c>
      <c r="B28" s="1" t="s">
        <v>15</v>
      </c>
      <c r="C28" s="1" t="s">
        <v>112</v>
      </c>
      <c r="D28" s="1" t="s">
        <v>113</v>
      </c>
      <c r="E28" s="1" t="s">
        <v>109</v>
      </c>
      <c r="F28" s="3">
        <f>F17/F20</f>
        <v>0.53235344538355578</v>
      </c>
      <c r="G28" s="1" t="s">
        <v>114</v>
      </c>
      <c r="H28" s="1" t="s">
        <v>115</v>
      </c>
    </row>
    <row r="29" spans="1:8" x14ac:dyDescent="0.25">
      <c r="A29">
        <v>28</v>
      </c>
      <c r="B29" s="1" t="s">
        <v>15</v>
      </c>
      <c r="C29" s="1" t="s">
        <v>116</v>
      </c>
      <c r="D29" s="1" t="s">
        <v>117</v>
      </c>
      <c r="E29" s="1" t="s">
        <v>75</v>
      </c>
      <c r="F29" s="3">
        <f>F22*F27*F6/F25</f>
        <v>20634.298762265025</v>
      </c>
      <c r="G29" s="1" t="s">
        <v>118</v>
      </c>
      <c r="H29" s="1" t="s">
        <v>119</v>
      </c>
    </row>
    <row r="30" spans="1:8" x14ac:dyDescent="0.25">
      <c r="A30">
        <v>29</v>
      </c>
      <c r="B30" s="1" t="s">
        <v>15</v>
      </c>
      <c r="C30" s="1" t="s">
        <v>120</v>
      </c>
      <c r="D30" s="1" t="s">
        <v>121</v>
      </c>
      <c r="E30" s="1" t="s">
        <v>75</v>
      </c>
      <c r="F30" s="3">
        <f>F24*F28*F6/F25</f>
        <v>20658.088237969288</v>
      </c>
      <c r="G30" s="1" t="s">
        <v>122</v>
      </c>
      <c r="H30" s="1" t="s">
        <v>123</v>
      </c>
    </row>
    <row r="31" spans="1:8" x14ac:dyDescent="0.25">
      <c r="A31">
        <v>30</v>
      </c>
      <c r="B31" s="1" t="s">
        <v>8</v>
      </c>
      <c r="C31" s="1" t="s">
        <v>124</v>
      </c>
      <c r="D31" s="1" t="s">
        <v>125</v>
      </c>
      <c r="E31" s="1" t="s">
        <v>75</v>
      </c>
      <c r="F31" s="3" t="s">
        <v>126</v>
      </c>
      <c r="G31" s="1" t="s">
        <v>13</v>
      </c>
      <c r="H31" s="1" t="s">
        <v>127</v>
      </c>
    </row>
    <row r="32" spans="1:8" x14ac:dyDescent="0.25">
      <c r="A32">
        <v>31</v>
      </c>
      <c r="B32" s="1" t="s">
        <v>15</v>
      </c>
      <c r="C32" s="1" t="s">
        <v>128</v>
      </c>
      <c r="D32" s="1" t="s">
        <v>129</v>
      </c>
      <c r="E32" s="1" t="s">
        <v>11</v>
      </c>
      <c r="F32" s="3">
        <f>F31*(F7/F6)*(F28^2/(2*F26))</f>
        <v>4.946566166155548E-3</v>
      </c>
      <c r="G32" s="1" t="s">
        <v>130</v>
      </c>
      <c r="H32" s="1" t="s">
        <v>131</v>
      </c>
    </row>
    <row r="33" spans="1:8" x14ac:dyDescent="0.25">
      <c r="A33">
        <v>32</v>
      </c>
      <c r="B33" s="1" t="s">
        <v>15</v>
      </c>
      <c r="C33" s="1" t="s">
        <v>132</v>
      </c>
      <c r="D33" s="1" t="s">
        <v>133</v>
      </c>
      <c r="E33" s="1" t="s">
        <v>134</v>
      </c>
      <c r="F33" s="3">
        <f>F24*F26*F32</f>
        <v>24.751775940229571</v>
      </c>
      <c r="G33" s="1" t="s">
        <v>135</v>
      </c>
      <c r="H33" s="1" t="s">
        <v>132</v>
      </c>
    </row>
    <row r="34" spans="1:8" x14ac:dyDescent="0.25">
      <c r="A34">
        <v>33</v>
      </c>
      <c r="B34" s="1" t="s">
        <v>15</v>
      </c>
      <c r="C34" s="1" t="s">
        <v>132</v>
      </c>
      <c r="D34" s="1" t="s">
        <v>136</v>
      </c>
      <c r="E34" s="1" t="s">
        <v>137</v>
      </c>
      <c r="F34" s="3">
        <f>F33/F26</f>
        <v>2.5256914224724052</v>
      </c>
      <c r="G34" s="1" t="s">
        <v>138</v>
      </c>
      <c r="H34" s="1" t="s">
        <v>139</v>
      </c>
    </row>
    <row r="35" spans="1:8" x14ac:dyDescent="0.25">
      <c r="A35">
        <v>34</v>
      </c>
      <c r="B35" s="1" t="s">
        <v>8</v>
      </c>
      <c r="C35" s="1" t="s">
        <v>140</v>
      </c>
      <c r="D35" s="1" t="s">
        <v>141</v>
      </c>
      <c r="E35" s="1" t="s">
        <v>75</v>
      </c>
      <c r="F35" s="3" t="s">
        <v>142</v>
      </c>
      <c r="G35" s="1" t="s">
        <v>13</v>
      </c>
      <c r="H35" s="1" t="s">
        <v>143</v>
      </c>
    </row>
    <row r="36" spans="1:8" x14ac:dyDescent="0.25">
      <c r="A36">
        <v>35</v>
      </c>
      <c r="B36" s="1" t="s">
        <v>8</v>
      </c>
      <c r="C36" s="1" t="s">
        <v>144</v>
      </c>
      <c r="D36" s="1" t="s">
        <v>145</v>
      </c>
      <c r="E36" s="1" t="s">
        <v>75</v>
      </c>
      <c r="F36" s="3" t="s">
        <v>34</v>
      </c>
      <c r="G36" s="1" t="s">
        <v>13</v>
      </c>
      <c r="H36" s="1" t="s">
        <v>146</v>
      </c>
    </row>
    <row r="37" spans="1:8" x14ac:dyDescent="0.25">
      <c r="A37">
        <v>36</v>
      </c>
      <c r="B37" s="1" t="s">
        <v>15</v>
      </c>
      <c r="C37" s="1" t="s">
        <v>147</v>
      </c>
      <c r="D37" s="1" t="s">
        <v>148</v>
      </c>
      <c r="E37" s="1" t="s">
        <v>11</v>
      </c>
      <c r="F37" s="3">
        <f>F35*(F28^2/(2*F26))</f>
        <v>1.0844395056571778E-2</v>
      </c>
      <c r="G37" s="1" t="s">
        <v>149</v>
      </c>
      <c r="H37" s="1" t="s">
        <v>150</v>
      </c>
    </row>
    <row r="38" spans="1:8" x14ac:dyDescent="0.25">
      <c r="A38">
        <v>37</v>
      </c>
      <c r="B38" s="1" t="s">
        <v>15</v>
      </c>
      <c r="C38" s="1" t="s">
        <v>151</v>
      </c>
      <c r="D38" s="1" t="s">
        <v>152</v>
      </c>
      <c r="E38" s="1" t="s">
        <v>134</v>
      </c>
      <c r="F38" s="3">
        <f>F24*F26*F37</f>
        <v>54.263508792041748</v>
      </c>
      <c r="G38" s="1" t="s">
        <v>153</v>
      </c>
      <c r="H38" s="1" t="s">
        <v>154</v>
      </c>
    </row>
    <row r="39" spans="1:8" x14ac:dyDescent="0.25">
      <c r="A39">
        <v>38</v>
      </c>
      <c r="B39" s="1" t="s">
        <v>15</v>
      </c>
      <c r="C39" s="1" t="s">
        <v>151</v>
      </c>
      <c r="D39" s="1" t="s">
        <v>155</v>
      </c>
      <c r="E39" s="1" t="s">
        <v>137</v>
      </c>
      <c r="F39" s="3">
        <f>F38/F26</f>
        <v>5.5370927338818108</v>
      </c>
      <c r="G39" s="1" t="s">
        <v>138</v>
      </c>
      <c r="H39" s="1" t="s">
        <v>139</v>
      </c>
    </row>
    <row r="40" spans="1:8" x14ac:dyDescent="0.25">
      <c r="A40">
        <v>39</v>
      </c>
      <c r="B40" s="1" t="s">
        <v>15</v>
      </c>
      <c r="C40" s="1" t="s">
        <v>156</v>
      </c>
      <c r="D40" s="1" t="s">
        <v>157</v>
      </c>
      <c r="E40" s="1" t="s">
        <v>11</v>
      </c>
      <c r="F40" s="3">
        <f>F36*(F28^2/(2*F26))</f>
        <v>1.4459193408762372E-2</v>
      </c>
      <c r="G40" s="1" t="s">
        <v>149</v>
      </c>
      <c r="H40" s="1" t="s">
        <v>158</v>
      </c>
    </row>
    <row r="41" spans="1:8" x14ac:dyDescent="0.25">
      <c r="A41">
        <v>40</v>
      </c>
      <c r="B41" s="1" t="s">
        <v>15</v>
      </c>
      <c r="C41" s="1" t="s">
        <v>159</v>
      </c>
      <c r="D41" s="1" t="s">
        <v>160</v>
      </c>
      <c r="E41" s="1" t="s">
        <v>134</v>
      </c>
      <c r="F41" s="3">
        <f>F24*F26*F40</f>
        <v>72.351345056055663</v>
      </c>
      <c r="G41" s="1" t="s">
        <v>153</v>
      </c>
      <c r="H41" s="1" t="s">
        <v>161</v>
      </c>
    </row>
    <row r="42" spans="1:8" x14ac:dyDescent="0.25">
      <c r="A42">
        <v>41</v>
      </c>
      <c r="B42" s="1" t="s">
        <v>15</v>
      </c>
      <c r="C42" s="1" t="s">
        <v>159</v>
      </c>
      <c r="D42" s="1" t="s">
        <v>162</v>
      </c>
      <c r="E42" s="1" t="s">
        <v>137</v>
      </c>
      <c r="F42" s="3">
        <f>F41/F26</f>
        <v>7.3827903118424141</v>
      </c>
      <c r="G42" s="1" t="s">
        <v>138</v>
      </c>
      <c r="H42" s="1" t="s">
        <v>139</v>
      </c>
    </row>
    <row r="43" spans="1:8" x14ac:dyDescent="0.25">
      <c r="A43">
        <v>42</v>
      </c>
      <c r="B43" s="1" t="s">
        <v>15</v>
      </c>
      <c r="C43" s="1" t="s">
        <v>163</v>
      </c>
      <c r="D43" s="1" t="s">
        <v>164</v>
      </c>
      <c r="E43" s="1" t="s">
        <v>134</v>
      </c>
      <c r="F43" s="3">
        <f>F33+F38+F41</f>
        <v>151.36662978832697</v>
      </c>
      <c r="G43" s="1" t="s">
        <v>165</v>
      </c>
      <c r="H43" s="1" t="s">
        <v>163</v>
      </c>
    </row>
    <row r="44" spans="1:8" x14ac:dyDescent="0.25">
      <c r="A44">
        <v>43</v>
      </c>
      <c r="B44" s="1" t="s">
        <v>15</v>
      </c>
      <c r="C44" s="1" t="s">
        <v>163</v>
      </c>
      <c r="D44" s="1" t="s">
        <v>166</v>
      </c>
      <c r="E44" s="1" t="s">
        <v>137</v>
      </c>
      <c r="F44" s="3">
        <f>F43/F26</f>
        <v>15.445574468196629</v>
      </c>
      <c r="G44" s="1" t="s">
        <v>138</v>
      </c>
      <c r="H44" s="1" t="s">
        <v>139</v>
      </c>
    </row>
    <row r="45" spans="1:8" x14ac:dyDescent="0.25">
      <c r="A45">
        <v>44</v>
      </c>
      <c r="B45" s="1" t="s">
        <v>8</v>
      </c>
      <c r="C45" s="1" t="s">
        <v>167</v>
      </c>
      <c r="D45" s="1" t="s">
        <v>168</v>
      </c>
      <c r="E45" s="1" t="s">
        <v>137</v>
      </c>
      <c r="F45" s="3" t="s">
        <v>169</v>
      </c>
      <c r="G45" s="1" t="s">
        <v>13</v>
      </c>
      <c r="H45" s="1" t="s">
        <v>170</v>
      </c>
    </row>
    <row r="46" spans="1:8" x14ac:dyDescent="0.25">
      <c r="A46">
        <v>45</v>
      </c>
      <c r="B46" s="1" t="s">
        <v>52</v>
      </c>
      <c r="C46" s="1" t="s">
        <v>167</v>
      </c>
      <c r="D46" s="1" t="s">
        <v>171</v>
      </c>
      <c r="E46" s="1" t="s">
        <v>134</v>
      </c>
      <c r="F46" s="3">
        <f>F45*F26</f>
        <v>490.00000000000006</v>
      </c>
      <c r="G46" s="1" t="s">
        <v>172</v>
      </c>
      <c r="H46" s="1" t="s">
        <v>173</v>
      </c>
    </row>
    <row r="47" spans="1:8" x14ac:dyDescent="0.25">
      <c r="A47">
        <v>46</v>
      </c>
      <c r="B47" s="1" t="s">
        <v>8</v>
      </c>
      <c r="C47" s="1" t="s">
        <v>174</v>
      </c>
      <c r="D47" s="1" t="s">
        <v>175</v>
      </c>
      <c r="E47" s="1" t="s">
        <v>75</v>
      </c>
      <c r="F47" s="3" t="s">
        <v>38</v>
      </c>
      <c r="G47" s="1" t="s">
        <v>13</v>
      </c>
      <c r="H47" s="1" t="s">
        <v>176</v>
      </c>
    </row>
    <row r="48" spans="1:8" x14ac:dyDescent="0.25">
      <c r="A48">
        <v>47</v>
      </c>
      <c r="B48" s="1" t="s">
        <v>8</v>
      </c>
      <c r="C48" s="1" t="s">
        <v>177</v>
      </c>
      <c r="D48" s="1" t="s">
        <v>178</v>
      </c>
      <c r="E48" s="1" t="s">
        <v>11</v>
      </c>
      <c r="F48" s="3" t="s">
        <v>102</v>
      </c>
      <c r="G48" s="1" t="s">
        <v>13</v>
      </c>
      <c r="H48" s="1" t="s">
        <v>179</v>
      </c>
    </row>
    <row r="49" spans="1:8" x14ac:dyDescent="0.25">
      <c r="A49">
        <v>48</v>
      </c>
      <c r="B49" s="1" t="s">
        <v>15</v>
      </c>
      <c r="C49" s="1" t="s">
        <v>180</v>
      </c>
      <c r="D49" s="1" t="s">
        <v>181</v>
      </c>
      <c r="E49" s="1" t="s">
        <v>80</v>
      </c>
      <c r="F49" s="3">
        <f>PI()*F48^2/4</f>
        <v>7.8539816339744823E-7</v>
      </c>
      <c r="G49" s="1" t="s">
        <v>182</v>
      </c>
      <c r="H49" s="1" t="s">
        <v>183</v>
      </c>
    </row>
    <row r="50" spans="1:8" x14ac:dyDescent="0.25">
      <c r="A50">
        <v>49</v>
      </c>
      <c r="B50" s="1" t="s">
        <v>15</v>
      </c>
      <c r="C50" s="1" t="s">
        <v>184</v>
      </c>
      <c r="D50" s="1" t="s">
        <v>185</v>
      </c>
      <c r="E50" s="1" t="s">
        <v>80</v>
      </c>
      <c r="F50" s="3">
        <f>F12/(F47*SQRT(2*F46/F23))</f>
        <v>6.3704678292163239E-5</v>
      </c>
      <c r="G50" s="1" t="s">
        <v>186</v>
      </c>
      <c r="H50" s="1" t="s">
        <v>187</v>
      </c>
    </row>
    <row r="51" spans="1:8" x14ac:dyDescent="0.25">
      <c r="A51">
        <v>50</v>
      </c>
      <c r="B51" s="1" t="s">
        <v>15</v>
      </c>
      <c r="C51" s="1" t="s">
        <v>188</v>
      </c>
      <c r="D51" s="1" t="s">
        <v>189</v>
      </c>
      <c r="E51" s="1" t="s">
        <v>190</v>
      </c>
      <c r="F51" s="3">
        <f>F50/F49</f>
        <v>81.111315586213934</v>
      </c>
      <c r="G51" s="1" t="s">
        <v>191</v>
      </c>
      <c r="H51" s="1" t="s">
        <v>188</v>
      </c>
    </row>
    <row r="52" spans="1:8" x14ac:dyDescent="0.25">
      <c r="A52">
        <v>51</v>
      </c>
      <c r="B52" s="1" t="s">
        <v>15</v>
      </c>
      <c r="C52" s="1" t="s">
        <v>192</v>
      </c>
      <c r="D52" s="1" t="s">
        <v>193</v>
      </c>
      <c r="E52" s="1" t="s">
        <v>190</v>
      </c>
      <c r="F52" s="3">
        <f>ROUNDUP(F51,0)</f>
        <v>82</v>
      </c>
      <c r="G52" s="1" t="s">
        <v>194</v>
      </c>
      <c r="H52" s="1" t="s">
        <v>195</v>
      </c>
    </row>
    <row r="53" spans="1:8" x14ac:dyDescent="0.25">
      <c r="A53">
        <v>52</v>
      </c>
      <c r="B53" s="1" t="s">
        <v>8</v>
      </c>
      <c r="C53" s="1" t="s">
        <v>196</v>
      </c>
      <c r="D53" s="1" t="s">
        <v>197</v>
      </c>
      <c r="E53" s="1" t="s">
        <v>190</v>
      </c>
      <c r="F53" s="3" t="s">
        <v>198</v>
      </c>
      <c r="G53" s="1" t="s">
        <v>13</v>
      </c>
      <c r="H53" s="1" t="s">
        <v>199</v>
      </c>
    </row>
    <row r="54" spans="1:8" x14ac:dyDescent="0.25">
      <c r="A54">
        <v>53</v>
      </c>
      <c r="B54" s="1" t="s">
        <v>15</v>
      </c>
      <c r="C54" s="1" t="s">
        <v>200</v>
      </c>
      <c r="D54" s="1" t="s">
        <v>201</v>
      </c>
      <c r="E54" s="1" t="s">
        <v>80</v>
      </c>
      <c r="F54" s="3">
        <f>F53*F49</f>
        <v>6.6758843888783099E-5</v>
      </c>
      <c r="G54" s="1" t="s">
        <v>202</v>
      </c>
      <c r="H54" s="1" t="s">
        <v>203</v>
      </c>
    </row>
    <row r="55" spans="1:8" x14ac:dyDescent="0.25">
      <c r="A55">
        <v>54</v>
      </c>
      <c r="B55" s="1" t="s">
        <v>15</v>
      </c>
      <c r="C55" s="1" t="s">
        <v>204</v>
      </c>
      <c r="D55" s="1" t="s">
        <v>205</v>
      </c>
      <c r="E55" s="1" t="s">
        <v>54</v>
      </c>
      <c r="F55" s="3">
        <f>F47*F54*SQRT(2*F46/F23)</f>
        <v>1.2400653670377522E-3</v>
      </c>
      <c r="G55" s="1" t="s">
        <v>206</v>
      </c>
      <c r="H55" s="1" t="s">
        <v>207</v>
      </c>
    </row>
    <row r="56" spans="1:8" x14ac:dyDescent="0.25">
      <c r="A56">
        <v>55</v>
      </c>
      <c r="B56" s="1" t="s">
        <v>15</v>
      </c>
      <c r="C56" s="1" t="s">
        <v>208</v>
      </c>
      <c r="D56" s="1" t="s">
        <v>209</v>
      </c>
      <c r="E56" s="1" t="s">
        <v>46</v>
      </c>
      <c r="F56" s="3">
        <f>F55*60000</f>
        <v>74.403922022265135</v>
      </c>
      <c r="G56" s="1" t="s">
        <v>210</v>
      </c>
      <c r="H56" s="1" t="s">
        <v>211</v>
      </c>
    </row>
    <row r="57" spans="1:8" x14ac:dyDescent="0.25">
      <c r="A57">
        <v>56</v>
      </c>
      <c r="B57" s="1" t="s">
        <v>15</v>
      </c>
      <c r="C57" s="1" t="s">
        <v>212</v>
      </c>
      <c r="D57" s="1" t="s">
        <v>213</v>
      </c>
      <c r="E57" s="1" t="s">
        <v>134</v>
      </c>
      <c r="F57" s="3">
        <f>F23/2*(F12/(F47*F54))^2</f>
        <v>446.19132220095929</v>
      </c>
      <c r="G57" s="1" t="s">
        <v>214</v>
      </c>
      <c r="H57" s="1" t="s">
        <v>215</v>
      </c>
    </row>
    <row r="58" spans="1:8" x14ac:dyDescent="0.25">
      <c r="A58">
        <v>57</v>
      </c>
      <c r="B58" s="1" t="s">
        <v>15</v>
      </c>
      <c r="C58" s="1" t="s">
        <v>212</v>
      </c>
      <c r="D58" s="1" t="s">
        <v>216</v>
      </c>
      <c r="E58" s="1" t="s">
        <v>137</v>
      </c>
      <c r="F58" s="3">
        <f>F57/F26</f>
        <v>45.529726755199924</v>
      </c>
      <c r="G58" s="1" t="s">
        <v>138</v>
      </c>
      <c r="H58" s="1" t="s">
        <v>139</v>
      </c>
    </row>
    <row r="59" spans="1:8" x14ac:dyDescent="0.25">
      <c r="A59">
        <v>58</v>
      </c>
      <c r="B59" s="1" t="s">
        <v>15</v>
      </c>
      <c r="C59" s="1" t="s">
        <v>217</v>
      </c>
      <c r="D59" s="1" t="s">
        <v>218</v>
      </c>
      <c r="E59" s="1" t="s">
        <v>137</v>
      </c>
      <c r="F59" s="3">
        <f>F8*1000</f>
        <v>650</v>
      </c>
      <c r="G59" s="1" t="s">
        <v>219</v>
      </c>
      <c r="H59" s="1" t="s">
        <v>220</v>
      </c>
    </row>
    <row r="60" spans="1:8" x14ac:dyDescent="0.25">
      <c r="A60">
        <v>59</v>
      </c>
      <c r="B60" s="1" t="s">
        <v>15</v>
      </c>
      <c r="C60" s="1" t="s">
        <v>217</v>
      </c>
      <c r="D60" s="1" t="s">
        <v>221</v>
      </c>
      <c r="E60" s="1" t="s">
        <v>134</v>
      </c>
      <c r="F60" s="3">
        <f>F59*F26</f>
        <v>6370.0000000000009</v>
      </c>
      <c r="G60" s="1" t="s">
        <v>172</v>
      </c>
      <c r="H60" s="1" t="s">
        <v>173</v>
      </c>
    </row>
    <row r="61" spans="1:8" x14ac:dyDescent="0.25">
      <c r="A61">
        <v>60</v>
      </c>
      <c r="B61" s="1" t="s">
        <v>15</v>
      </c>
      <c r="C61" s="1" t="s">
        <v>222</v>
      </c>
      <c r="D61" s="1" t="s">
        <v>223</v>
      </c>
      <c r="E61" s="1" t="s">
        <v>134</v>
      </c>
      <c r="F61" s="3">
        <f>F60+F43+F57</f>
        <v>6967.5579519892872</v>
      </c>
      <c r="G61" s="1" t="s">
        <v>224</v>
      </c>
      <c r="H61" s="1" t="s">
        <v>225</v>
      </c>
    </row>
    <row r="62" spans="1:8" x14ac:dyDescent="0.25">
      <c r="A62">
        <v>61</v>
      </c>
      <c r="B62" s="1" t="s">
        <v>15</v>
      </c>
      <c r="C62" s="1" t="s">
        <v>222</v>
      </c>
      <c r="D62" s="1" t="s">
        <v>226</v>
      </c>
      <c r="E62" s="1" t="s">
        <v>137</v>
      </c>
      <c r="F62" s="3">
        <f>F61/F26</f>
        <v>710.97530122339663</v>
      </c>
      <c r="G62" s="1" t="s">
        <v>227</v>
      </c>
      <c r="H62" s="1" t="s">
        <v>228</v>
      </c>
    </row>
    <row r="63" spans="1:8" x14ac:dyDescent="0.25">
      <c r="A63">
        <v>62</v>
      </c>
      <c r="B63" s="1" t="s">
        <v>8</v>
      </c>
      <c r="C63" s="1" t="s">
        <v>229</v>
      </c>
      <c r="D63" s="1" t="s">
        <v>230</v>
      </c>
      <c r="E63" s="1" t="s">
        <v>75</v>
      </c>
      <c r="F63" s="3" t="s">
        <v>94</v>
      </c>
      <c r="G63" s="1" t="s">
        <v>13</v>
      </c>
      <c r="H63" s="1" t="s">
        <v>231</v>
      </c>
    </row>
    <row r="64" spans="1:8" x14ac:dyDescent="0.25">
      <c r="A64">
        <v>63</v>
      </c>
      <c r="B64" s="1" t="s">
        <v>15</v>
      </c>
      <c r="C64" s="1" t="s">
        <v>232</v>
      </c>
      <c r="D64" s="1" t="s">
        <v>233</v>
      </c>
      <c r="E64" s="1" t="s">
        <v>137</v>
      </c>
      <c r="F64" s="3">
        <f>F62*F63</f>
        <v>853.17036146807595</v>
      </c>
      <c r="G64" s="1" t="s">
        <v>234</v>
      </c>
      <c r="H64" s="1" t="s">
        <v>232</v>
      </c>
    </row>
    <row r="65" spans="1:8" x14ac:dyDescent="0.25">
      <c r="A65">
        <v>64</v>
      </c>
      <c r="B65" s="1" t="s">
        <v>15</v>
      </c>
      <c r="C65" s="1" t="s">
        <v>232</v>
      </c>
      <c r="D65" s="1" t="s">
        <v>235</v>
      </c>
      <c r="E65" s="1" t="s">
        <v>134</v>
      </c>
      <c r="F65" s="3">
        <f>F64*F26</f>
        <v>8361.0695423871457</v>
      </c>
      <c r="G65" s="1" t="s">
        <v>172</v>
      </c>
      <c r="H65" s="1" t="s">
        <v>173</v>
      </c>
    </row>
    <row r="66" spans="1:8" x14ac:dyDescent="0.25">
      <c r="A66">
        <v>65</v>
      </c>
      <c r="B66" s="1" t="s">
        <v>15</v>
      </c>
      <c r="C66" s="1" t="s">
        <v>236</v>
      </c>
      <c r="D66" s="1" t="s">
        <v>237</v>
      </c>
      <c r="E66" s="1" t="s">
        <v>238</v>
      </c>
      <c r="F66" s="3">
        <f>F12*F61</f>
        <v>8.2449435765206562</v>
      </c>
      <c r="G66" s="1" t="s">
        <v>239</v>
      </c>
      <c r="H66" s="1" t="s">
        <v>240</v>
      </c>
    </row>
    <row r="67" spans="1:8" x14ac:dyDescent="0.25">
      <c r="A67">
        <v>66</v>
      </c>
      <c r="B67" s="1" t="s">
        <v>8</v>
      </c>
      <c r="C67" s="1" t="s">
        <v>241</v>
      </c>
      <c r="D67" s="1" t="s">
        <v>242</v>
      </c>
      <c r="E67" s="1" t="s">
        <v>75</v>
      </c>
      <c r="F67" s="3" t="s">
        <v>243</v>
      </c>
      <c r="G67" s="1" t="s">
        <v>13</v>
      </c>
      <c r="H67" s="1" t="s">
        <v>244</v>
      </c>
    </row>
    <row r="68" spans="1:8" x14ac:dyDescent="0.25">
      <c r="A68">
        <v>67</v>
      </c>
      <c r="B68" s="1" t="s">
        <v>15</v>
      </c>
      <c r="C68" s="1" t="s">
        <v>245</v>
      </c>
      <c r="D68" s="1" t="s">
        <v>246</v>
      </c>
      <c r="E68" s="1" t="s">
        <v>238</v>
      </c>
      <c r="F68" s="3">
        <f>F66/F67</f>
        <v>20.61235894130164</v>
      </c>
      <c r="G68" s="1" t="s">
        <v>247</v>
      </c>
      <c r="H68" s="1" t="s">
        <v>248</v>
      </c>
    </row>
    <row r="69" spans="1:8" x14ac:dyDescent="0.25">
      <c r="A69">
        <v>68</v>
      </c>
      <c r="B69" s="1" t="s">
        <v>249</v>
      </c>
      <c r="C69" s="1" t="s">
        <v>250</v>
      </c>
      <c r="D69" s="1" t="s">
        <v>251</v>
      </c>
      <c r="E69" s="1" t="s">
        <v>238</v>
      </c>
      <c r="F69" s="3">
        <f>ROUNDDOWN(1.5*F68,0)</f>
        <v>30</v>
      </c>
      <c r="G69" s="1" t="s">
        <v>13</v>
      </c>
      <c r="H69" s="1" t="s">
        <v>252</v>
      </c>
    </row>
    <row r="70" spans="1:8" x14ac:dyDescent="0.25">
      <c r="A70">
        <v>69</v>
      </c>
      <c r="B70" s="1" t="s">
        <v>249</v>
      </c>
      <c r="C70" s="1" t="s">
        <v>253</v>
      </c>
      <c r="D70" s="1" t="s">
        <v>254</v>
      </c>
      <c r="E70" s="1" t="s">
        <v>238</v>
      </c>
      <c r="F70" s="3">
        <f>ROUNDDOWN(3*F68,0)</f>
        <v>61</v>
      </c>
      <c r="G70" s="1" t="s">
        <v>13</v>
      </c>
      <c r="H70" s="1" t="s">
        <v>252</v>
      </c>
    </row>
    <row r="71" spans="1:8" x14ac:dyDescent="0.25">
      <c r="A71">
        <v>70</v>
      </c>
      <c r="B71" s="1" t="s">
        <v>8</v>
      </c>
      <c r="C71" s="1" t="s">
        <v>255</v>
      </c>
      <c r="D71" s="1" t="s">
        <v>256</v>
      </c>
      <c r="E71" s="1" t="s">
        <v>257</v>
      </c>
      <c r="F71" s="3" t="s">
        <v>258</v>
      </c>
      <c r="G71" s="1" t="s">
        <v>13</v>
      </c>
      <c r="H71" s="1" t="s">
        <v>259</v>
      </c>
    </row>
    <row r="72" spans="1:8" x14ac:dyDescent="0.25">
      <c r="A72">
        <v>71</v>
      </c>
      <c r="B72" s="1" t="s">
        <v>15</v>
      </c>
      <c r="C72" s="1" t="s">
        <v>260</v>
      </c>
      <c r="D72" s="1" t="s">
        <v>261</v>
      </c>
      <c r="E72" s="1" t="s">
        <v>11</v>
      </c>
      <c r="F72" s="3">
        <f>((6*F71*F48)/(F26*(F22-F23)))^(1/3)</f>
        <v>3.5339444005473442E-3</v>
      </c>
      <c r="G72" s="1" t="s">
        <v>262</v>
      </c>
      <c r="H72" s="1" t="s">
        <v>263</v>
      </c>
    </row>
    <row r="73" spans="1:8" x14ac:dyDescent="0.25">
      <c r="A73">
        <v>72</v>
      </c>
      <c r="B73" s="1" t="s">
        <v>15</v>
      </c>
      <c r="C73" s="1" t="s">
        <v>260</v>
      </c>
      <c r="D73" s="1" t="s">
        <v>264</v>
      </c>
      <c r="E73" s="1" t="s">
        <v>265</v>
      </c>
      <c r="F73" s="3">
        <f>F72*1000</f>
        <v>3.5339444005473442</v>
      </c>
      <c r="G73" s="1" t="s">
        <v>266</v>
      </c>
      <c r="H73" s="1" t="s">
        <v>267</v>
      </c>
    </row>
    <row r="74" spans="1:8" x14ac:dyDescent="0.25">
      <c r="A74">
        <v>73</v>
      </c>
      <c r="B74" s="1" t="s">
        <v>15</v>
      </c>
      <c r="C74" s="1" t="s">
        <v>268</v>
      </c>
      <c r="D74" s="1" t="s">
        <v>269</v>
      </c>
      <c r="E74" s="1" t="s">
        <v>270</v>
      </c>
      <c r="F74" s="3">
        <f>F7/F28</f>
        <v>1.8784512595377478</v>
      </c>
      <c r="G74" s="1" t="s">
        <v>271</v>
      </c>
      <c r="H74" s="1" t="s">
        <v>272</v>
      </c>
    </row>
    <row r="75" spans="1:8" x14ac:dyDescent="0.25">
      <c r="A75">
        <v>74</v>
      </c>
      <c r="B75" s="1" t="s">
        <v>15</v>
      </c>
      <c r="C75" s="1" t="s">
        <v>273</v>
      </c>
      <c r="D75" s="1" t="s">
        <v>274</v>
      </c>
      <c r="E75" s="1" t="s">
        <v>275</v>
      </c>
      <c r="F75" s="3">
        <f>F24*F17</f>
        <v>1.2330866666666667</v>
      </c>
      <c r="G75" s="1" t="s">
        <v>276</v>
      </c>
      <c r="H75" s="1" t="s">
        <v>273</v>
      </c>
    </row>
    <row r="76" spans="1:8" x14ac:dyDescent="0.25">
      <c r="A76">
        <v>75</v>
      </c>
      <c r="B76" s="1" t="s">
        <v>15</v>
      </c>
      <c r="C76" s="1" t="s">
        <v>277</v>
      </c>
      <c r="D76" s="1" t="s">
        <v>278</v>
      </c>
      <c r="E76" s="1" t="s">
        <v>279</v>
      </c>
      <c r="F76" s="3">
        <f>F75*F28</f>
        <v>0.65643793545652418</v>
      </c>
      <c r="G76" s="1" t="s">
        <v>280</v>
      </c>
      <c r="H76" s="1" t="s">
        <v>281</v>
      </c>
    </row>
    <row r="77" spans="1:8" x14ac:dyDescent="0.25">
      <c r="A77">
        <v>76</v>
      </c>
      <c r="B77" s="1" t="s">
        <v>15</v>
      </c>
      <c r="C77" s="1" t="s">
        <v>282</v>
      </c>
      <c r="D77" s="1" t="s">
        <v>283</v>
      </c>
      <c r="E77" s="1" t="s">
        <v>284</v>
      </c>
      <c r="F77" s="3">
        <f>F15/F5</f>
        <v>1.9072784261336864</v>
      </c>
      <c r="G77" s="1" t="s">
        <v>285</v>
      </c>
      <c r="H77" s="1" t="s">
        <v>286</v>
      </c>
    </row>
    <row r="78" spans="1:8" x14ac:dyDescent="0.25">
      <c r="A78">
        <v>77</v>
      </c>
      <c r="B78" s="1" t="s">
        <v>15</v>
      </c>
      <c r="C78" s="1" t="s">
        <v>287</v>
      </c>
      <c r="D78" s="1" t="s">
        <v>288</v>
      </c>
      <c r="E78" s="1" t="s">
        <v>75</v>
      </c>
      <c r="F78" s="3">
        <f>F58/F34</f>
        <v>18.026638705780918</v>
      </c>
      <c r="G78" s="1" t="s">
        <v>293</v>
      </c>
      <c r="H78" s="1" t="s">
        <v>294</v>
      </c>
    </row>
    <row r="79" spans="1:8" x14ac:dyDescent="0.25">
      <c r="A79">
        <v>78</v>
      </c>
      <c r="B79" s="1" t="s">
        <v>249</v>
      </c>
      <c r="C79" s="1" t="s">
        <v>289</v>
      </c>
      <c r="D79" s="1" t="s">
        <v>290</v>
      </c>
      <c r="E79" s="1" t="s">
        <v>75</v>
      </c>
      <c r="F79" s="3" t="str">
        <f>IF(F78&gt;=5,"Aman","Perlu evaluasi header/diffuser")</f>
        <v>Aman</v>
      </c>
      <c r="G79" s="1" t="s">
        <v>291</v>
      </c>
      <c r="H79" s="1" t="s">
        <v>292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ADA07C-ADA4-4BBE-924D-336F9AE2B1B2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844AB43-735A-4F75-91A8-6BEAE3974EB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airlift-model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Petro Oxo Nusantara</dc:creator>
  <cp:lastModifiedBy>Petro Oxo Nusantara</cp:lastModifiedBy>
  <dcterms:created xsi:type="dcterms:W3CDTF">2026-06-16T13:13:55Z</dcterms:created>
  <dcterms:modified xsi:type="dcterms:W3CDTF">2026-06-16T13:56:49Z</dcterms:modified>
</cp:coreProperties>
</file>