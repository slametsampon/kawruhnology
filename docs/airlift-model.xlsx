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Projects\kawruhnology\docs\"/>
    </mc:Choice>
  </mc:AlternateContent>
  <xr:revisionPtr revIDLastSave="0" documentId="13_ncr:1_{29CB85EA-EFCA-40F5-9E30-6860978BA3D3}" xr6:coauthVersionLast="47" xr6:coauthVersionMax="47" xr10:uidLastSave="{00000000-0000-0000-0000-000000000000}"/>
  <bookViews>
    <workbookView xWindow="1080" yWindow="0" windowWidth="17160" windowHeight="15600" activeTab="1" xr2:uid="{FB27018C-91CD-4774-A5CA-B9836AC9BF6C}"/>
  </bookViews>
  <sheets>
    <sheet name="PVC" sheetId="1" r:id="rId1"/>
    <sheet name="airlift-model" sheetId="3" r:id="rId2"/>
  </sheets>
  <definedNames>
    <definedName name="ExternalData_2" localSheetId="1" hidden="1">'airlift-model'!$A$1:$L$80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8" i="3" l="1"/>
  <c r="I78" i="3"/>
  <c r="H78" i="3"/>
  <c r="G78" i="3"/>
  <c r="F78" i="3"/>
  <c r="J12" i="3"/>
  <c r="J11" i="3"/>
  <c r="J7" i="3"/>
  <c r="I7" i="3"/>
  <c r="I12" i="3" s="1"/>
  <c r="G7" i="3"/>
  <c r="G12" i="3" s="1"/>
  <c r="G16" i="3" s="1"/>
  <c r="H11" i="3"/>
  <c r="H7" i="3"/>
  <c r="H12" i="3" s="1"/>
  <c r="H16" i="3" s="1"/>
  <c r="J73" i="3"/>
  <c r="J74" i="3" s="1"/>
  <c r="J60" i="3"/>
  <c r="J61" i="3" s="1"/>
  <c r="J50" i="3"/>
  <c r="J47" i="3"/>
  <c r="J21" i="3"/>
  <c r="J4" i="3"/>
  <c r="J6" i="3" s="1"/>
  <c r="I73" i="3"/>
  <c r="I74" i="3" s="1"/>
  <c r="I60" i="3"/>
  <c r="I61" i="3" s="1"/>
  <c r="I50" i="3"/>
  <c r="I47" i="3"/>
  <c r="I6" i="3"/>
  <c r="I4" i="3"/>
  <c r="H73" i="3"/>
  <c r="H74" i="3" s="1"/>
  <c r="H60" i="3"/>
  <c r="H61" i="3" s="1"/>
  <c r="H50" i="3"/>
  <c r="H47" i="3"/>
  <c r="H21" i="3"/>
  <c r="H4" i="3"/>
  <c r="H6" i="3" s="1"/>
  <c r="E32" i="1"/>
  <c r="C34" i="1"/>
  <c r="C33" i="1"/>
  <c r="C32" i="1"/>
  <c r="G73" i="3"/>
  <c r="G74" i="3" s="1"/>
  <c r="G60" i="3"/>
  <c r="G61" i="3" s="1"/>
  <c r="G50" i="3"/>
  <c r="G47" i="3"/>
  <c r="G4" i="3"/>
  <c r="G6" i="3" s="1"/>
  <c r="E29" i="1"/>
  <c r="E27" i="1"/>
  <c r="E26" i="1"/>
  <c r="E24" i="1"/>
  <c r="E23" i="1"/>
  <c r="E21" i="1"/>
  <c r="E20" i="1"/>
  <c r="E18" i="1"/>
  <c r="E17" i="1"/>
  <c r="E15" i="1"/>
  <c r="E14" i="1"/>
  <c r="E12" i="1"/>
  <c r="E11" i="1"/>
  <c r="E9" i="1"/>
  <c r="E8" i="1"/>
  <c r="E6" i="1"/>
  <c r="E5" i="1"/>
  <c r="E3" i="1"/>
  <c r="C17" i="1"/>
  <c r="C29" i="1"/>
  <c r="C26" i="1"/>
  <c r="C23" i="1"/>
  <c r="C20" i="1"/>
  <c r="C14" i="1"/>
  <c r="C11" i="1"/>
  <c r="C8" i="1"/>
  <c r="C5" i="1"/>
  <c r="F73" i="3"/>
  <c r="F74" i="3" s="1"/>
  <c r="F60" i="3"/>
  <c r="F61" i="3" s="1"/>
  <c r="F50" i="3"/>
  <c r="F47" i="3"/>
  <c r="F21" i="3"/>
  <c r="F20" i="3"/>
  <c r="F17" i="3"/>
  <c r="F16" i="3"/>
  <c r="F15" i="3"/>
  <c r="F19" i="3" s="1"/>
  <c r="F14" i="3"/>
  <c r="F13" i="3"/>
  <c r="F4" i="3"/>
  <c r="F6" i="3" s="1"/>
  <c r="J16" i="3" l="1"/>
  <c r="I11" i="3"/>
  <c r="I13" i="3" s="1"/>
  <c r="I21" i="3"/>
  <c r="G11" i="3"/>
  <c r="G13" i="3" s="1"/>
  <c r="G51" i="3" s="1"/>
  <c r="G52" i="3" s="1"/>
  <c r="G53" i="3" s="1"/>
  <c r="G54" i="3" s="1"/>
  <c r="F32" i="1" s="1"/>
  <c r="K11" i="3"/>
  <c r="G21" i="3"/>
  <c r="H17" i="3"/>
  <c r="I14" i="3"/>
  <c r="I16" i="3"/>
  <c r="H14" i="3"/>
  <c r="H28" i="3" s="1"/>
  <c r="H30" i="3" s="1"/>
  <c r="F18" i="3"/>
  <c r="F22" i="3" s="1"/>
  <c r="F25" i="3" s="1"/>
  <c r="G14" i="3"/>
  <c r="F28" i="3"/>
  <c r="F30" i="3" s="1"/>
  <c r="F51" i="3"/>
  <c r="F52" i="3" s="1"/>
  <c r="F53" i="3" s="1"/>
  <c r="F54" i="3" s="1"/>
  <c r="F55" i="3" s="1"/>
  <c r="I28" i="3" l="1"/>
  <c r="I30" i="3" s="1"/>
  <c r="I20" i="3"/>
  <c r="J20" i="3"/>
  <c r="J14" i="3"/>
  <c r="J28" i="3" s="1"/>
  <c r="J30" i="3" s="1"/>
  <c r="J17" i="3"/>
  <c r="J15" i="3"/>
  <c r="J19" i="3" s="1"/>
  <c r="J13" i="3"/>
  <c r="G15" i="3"/>
  <c r="G19" i="3" s="1"/>
  <c r="G17" i="3"/>
  <c r="G20" i="3"/>
  <c r="G28" i="3"/>
  <c r="G30" i="3" s="1"/>
  <c r="H13" i="3"/>
  <c r="H18" i="3" s="1"/>
  <c r="H29" i="3" s="1"/>
  <c r="H20" i="3"/>
  <c r="H15" i="3"/>
  <c r="H19" i="3" s="1"/>
  <c r="I17" i="3"/>
  <c r="I15" i="3"/>
  <c r="I19" i="3" s="1"/>
  <c r="I18" i="3"/>
  <c r="I29" i="3" s="1"/>
  <c r="I51" i="3"/>
  <c r="I52" i="3" s="1"/>
  <c r="I53" i="3" s="1"/>
  <c r="I55" i="3" s="1"/>
  <c r="I56" i="3" s="1"/>
  <c r="I57" i="3" s="1"/>
  <c r="F56" i="3"/>
  <c r="F57" i="3" s="1"/>
  <c r="F58" i="3"/>
  <c r="F59" i="3" s="1"/>
  <c r="F29" i="3"/>
  <c r="F31" i="3" s="1"/>
  <c r="G55" i="3"/>
  <c r="G18" i="3"/>
  <c r="F76" i="3"/>
  <c r="H51" i="3" l="1"/>
  <c r="H52" i="3" s="1"/>
  <c r="H53" i="3" s="1"/>
  <c r="H55" i="3" s="1"/>
  <c r="H56" i="3" s="1"/>
  <c r="H57" i="3" s="1"/>
  <c r="F41" i="3"/>
  <c r="F42" i="3" s="1"/>
  <c r="F43" i="3" s="1"/>
  <c r="J18" i="3"/>
  <c r="J29" i="3" s="1"/>
  <c r="J51" i="3"/>
  <c r="J52" i="3" s="1"/>
  <c r="J53" i="3" s="1"/>
  <c r="J55" i="3" s="1"/>
  <c r="I22" i="3"/>
  <c r="I25" i="3" s="1"/>
  <c r="I31" i="3" s="1"/>
  <c r="I58" i="3"/>
  <c r="I59" i="3" s="1"/>
  <c r="I41" i="3"/>
  <c r="I38" i="3"/>
  <c r="I75" i="3"/>
  <c r="I33" i="3"/>
  <c r="F38" i="3"/>
  <c r="F39" i="3" s="1"/>
  <c r="F40" i="3" s="1"/>
  <c r="F77" i="3"/>
  <c r="H38" i="3"/>
  <c r="H41" i="3"/>
  <c r="H75" i="3"/>
  <c r="H33" i="3"/>
  <c r="H22" i="3"/>
  <c r="H25" i="3" s="1"/>
  <c r="G56" i="3"/>
  <c r="G57" i="3" s="1"/>
  <c r="G58" i="3"/>
  <c r="G59" i="3" s="1"/>
  <c r="F75" i="3"/>
  <c r="F33" i="3"/>
  <c r="F34" i="3" s="1"/>
  <c r="F35" i="3" s="1"/>
  <c r="F79" i="3" s="1"/>
  <c r="F80" i="3" s="1"/>
  <c r="G29" i="3"/>
  <c r="G22" i="3"/>
  <c r="G25" i="3" s="1"/>
  <c r="H58" i="3" l="1"/>
  <c r="H59" i="3" s="1"/>
  <c r="J22" i="3"/>
  <c r="J25" i="3" s="1"/>
  <c r="J56" i="3"/>
  <c r="J57" i="3" s="1"/>
  <c r="J58" i="3"/>
  <c r="J59" i="3" s="1"/>
  <c r="J38" i="3"/>
  <c r="J75" i="3"/>
  <c r="J33" i="3"/>
  <c r="J41" i="3"/>
  <c r="I34" i="3"/>
  <c r="I35" i="3" s="1"/>
  <c r="I79" i="3" s="1"/>
  <c r="I80" i="3" s="1"/>
  <c r="I76" i="3"/>
  <c r="I77" i="3" s="1"/>
  <c r="I39" i="3"/>
  <c r="I40" i="3" s="1"/>
  <c r="I42" i="3"/>
  <c r="I43" i="3" s="1"/>
  <c r="H39" i="3"/>
  <c r="H40" i="3" s="1"/>
  <c r="H31" i="3"/>
  <c r="H76" i="3"/>
  <c r="H77" i="3" s="1"/>
  <c r="H42" i="3"/>
  <c r="H43" i="3" s="1"/>
  <c r="H34" i="3"/>
  <c r="F44" i="3"/>
  <c r="F45" i="3" s="1"/>
  <c r="G76" i="3"/>
  <c r="G77" i="3" s="1"/>
  <c r="G31" i="3"/>
  <c r="G33" i="3"/>
  <c r="G34" i="3" s="1"/>
  <c r="G75" i="3"/>
  <c r="G38" i="3"/>
  <c r="G39" i="3" s="1"/>
  <c r="G40" i="3" s="1"/>
  <c r="G41" i="3"/>
  <c r="G42" i="3" s="1"/>
  <c r="G43" i="3" s="1"/>
  <c r="J34" i="3" l="1"/>
  <c r="J42" i="3"/>
  <c r="J43" i="3" s="1"/>
  <c r="J39" i="3"/>
  <c r="J40" i="3" s="1"/>
  <c r="J76" i="3"/>
  <c r="J77" i="3" s="1"/>
  <c r="J31" i="3"/>
  <c r="I44" i="3"/>
  <c r="I45" i="3" s="1"/>
  <c r="F62" i="3"/>
  <c r="F67" i="3" s="1"/>
  <c r="F69" i="3" s="1"/>
  <c r="H35" i="3"/>
  <c r="H79" i="3" s="1"/>
  <c r="H80" i="3" s="1"/>
  <c r="H44" i="3"/>
  <c r="G35" i="3"/>
  <c r="G79" i="3" s="1"/>
  <c r="G80" i="3" s="1"/>
  <c r="G44" i="3"/>
  <c r="F63" i="3" l="1"/>
  <c r="F65" i="3" s="1"/>
  <c r="F66" i="3" s="1"/>
  <c r="J35" i="3"/>
  <c r="J79" i="3" s="1"/>
  <c r="J80" i="3" s="1"/>
  <c r="J44" i="3"/>
  <c r="I62" i="3"/>
  <c r="I63" i="3" s="1"/>
  <c r="I65" i="3" s="1"/>
  <c r="I66" i="3" s="1"/>
  <c r="H45" i="3"/>
  <c r="H62" i="3"/>
  <c r="G45" i="3"/>
  <c r="G62" i="3"/>
  <c r="F70" i="3"/>
  <c r="F71" i="3"/>
  <c r="J45" i="3" l="1"/>
  <c r="J62" i="3"/>
  <c r="I67" i="3"/>
  <c r="I69" i="3" s="1"/>
  <c r="I71" i="3" s="1"/>
  <c r="H63" i="3"/>
  <c r="H65" i="3" s="1"/>
  <c r="H66" i="3" s="1"/>
  <c r="H67" i="3"/>
  <c r="H69" i="3" s="1"/>
  <c r="G67" i="3"/>
  <c r="G69" i="3" s="1"/>
  <c r="G63" i="3"/>
  <c r="G65" i="3" s="1"/>
  <c r="G66" i="3" s="1"/>
  <c r="I70" i="3" l="1"/>
  <c r="J67" i="3"/>
  <c r="J69" i="3" s="1"/>
  <c r="J63" i="3"/>
  <c r="J65" i="3" s="1"/>
  <c r="J66" i="3" s="1"/>
  <c r="H71" i="3"/>
  <c r="H70" i="3"/>
  <c r="G70" i="3"/>
  <c r="G71" i="3"/>
  <c r="J71" i="3" l="1"/>
  <c r="J70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9E225C-1CC8-4352-9A76-F14EA6C6FE0D}" keepAlive="1" name="Query - airlift-model" description="Connection to the 'airlift-model' query in the workbook." type="5" refreshedVersion="0" background="1">
    <dbPr connection="Provider=Microsoft.Mashup.OleDb.1;Data Source=$Workbook$;Location=airlift-model;Extended Properties=&quot;&quot;" command="SELECT * FROM [airlift-model]"/>
  </connection>
  <connection id="2" xr16:uid="{AB7BFA74-D30F-407F-99E6-E2F9C1CCA07B}" keepAlive="1" name="Query - airlift-model (2)" description="Connection to the 'airlift-model (2)' query in the workbook." type="5" refreshedVersion="8" background="1" saveData="1">
    <dbPr connection="Provider=Microsoft.Mashup.OleDb.1;Data Source=$Workbook$;Location=&quot;airlift-model (2)&quot;;Extended Properties=&quot;&quot;" command="SELECT * FROM [airlift-model (2)]"/>
  </connection>
</connections>
</file>

<file path=xl/sharedStrings.xml><?xml version="1.0" encoding="utf-8"?>
<sst xmlns="http://schemas.openxmlformats.org/spreadsheetml/2006/main" count="633" uniqueCount="340">
  <si>
    <t>No</t>
  </si>
  <si>
    <t>Jenis</t>
  </si>
  <si>
    <t>Parameter</t>
  </si>
  <si>
    <t>Simbol</t>
  </si>
  <si>
    <t>Satuan</t>
  </si>
  <si>
    <t>Nilai_atau_Formula_Excel</t>
  </si>
  <si>
    <t>Rumus_Umum</t>
  </si>
  <si>
    <t>Keterangan</t>
  </si>
  <si>
    <t>Input</t>
  </si>
  <si>
    <t>Diameter kolam</t>
  </si>
  <si>
    <t>D_tank</t>
  </si>
  <si>
    <t>m</t>
  </si>
  <si>
    <t>2</t>
  </si>
  <si>
    <t/>
  </si>
  <si>
    <t>Diameter kolam Gambiran</t>
  </si>
  <si>
    <t>Perhitungan</t>
  </si>
  <si>
    <t>Radius kolam</t>
  </si>
  <si>
    <t>R_tank</t>
  </si>
  <si>
    <t>D/2</t>
  </si>
  <si>
    <t>Kedalaman air</t>
  </si>
  <si>
    <t>H_water</t>
  </si>
  <si>
    <t>0.74</t>
  </si>
  <si>
    <t>Kedalaman aktual kolam</t>
  </si>
  <si>
    <t>Volume kolam</t>
  </si>
  <si>
    <t>V_tank</t>
  </si>
  <si>
    <t>m3</t>
  </si>
  <si>
    <t>pi*r^2*h</t>
  </si>
  <si>
    <t>Volume efektif kolam</t>
  </si>
  <si>
    <t>Diameter dalam lift tube</t>
  </si>
  <si>
    <t>D_tube</t>
  </si>
  <si>
    <t>0.076</t>
  </si>
  <si>
    <t>ID lift tube 76 mm</t>
  </si>
  <si>
    <t>Total flow path</t>
  </si>
  <si>
    <t>L_total</t>
  </si>
  <si>
    <t>1</t>
  </si>
  <si>
    <t>Total panjang lift tube + discharge pipe</t>
  </si>
  <si>
    <t>Kedalaman injeksi</t>
  </si>
  <si>
    <t>h_inj</t>
  </si>
  <si>
    <t>0.65</t>
  </si>
  <si>
    <t>Kedalaman diffuser dari permukaan/outlet</t>
  </si>
  <si>
    <t>Outlet depth</t>
  </si>
  <si>
    <t>h_out</t>
  </si>
  <si>
    <t>0.05</t>
  </si>
  <si>
    <t>Outlet 50 mm di bawah permukaan</t>
  </si>
  <si>
    <t>Debit udara</t>
  </si>
  <si>
    <t>Qa_Lmin</t>
  </si>
  <si>
    <t>L/min</t>
  </si>
  <si>
    <t>71</t>
  </si>
  <si>
    <t>Data Wurts-Parker</t>
  </si>
  <si>
    <t>Debit air</t>
  </si>
  <si>
    <t>Qw_Lmin</t>
  </si>
  <si>
    <t>73.9</t>
  </si>
  <si>
    <t>Konversi</t>
  </si>
  <si>
    <t>Qa</t>
  </si>
  <si>
    <t>m3/s</t>
  </si>
  <si>
    <t>Qa_Lmin/1000/60</t>
  </si>
  <si>
    <t>Konversi L/min ke m3/s</t>
  </si>
  <si>
    <t>Qw</t>
  </si>
  <si>
    <t>Qw_Lmin/1000/60</t>
  </si>
  <si>
    <t>Qa_m3h</t>
  </si>
  <si>
    <t>m3/jam</t>
  </si>
  <si>
    <t>Qa_Lmin*0.06</t>
  </si>
  <si>
    <t>Konversi ke m3/jam</t>
  </si>
  <si>
    <t>Qw_m3h</t>
  </si>
  <si>
    <t>Qw_Lmin*0.06</t>
  </si>
  <si>
    <t>Debit campuran</t>
  </si>
  <si>
    <t>Qm_Lmin</t>
  </si>
  <si>
    <t>Qa+Qw</t>
  </si>
  <si>
    <t>Debit campuran dalam L/min</t>
  </si>
  <si>
    <t>Qm</t>
  </si>
  <si>
    <t>Debit campuran dalam m3/s</t>
  </si>
  <si>
    <t>Qm_m3h</t>
  </si>
  <si>
    <t>Debit campuran dalam m3/jam</t>
  </si>
  <si>
    <t>Rasio air terhadap udara</t>
  </si>
  <si>
    <t>R_w_a</t>
  </si>
  <si>
    <t>-</t>
  </si>
  <si>
    <t>Qw/Qa</t>
  </si>
  <si>
    <t>Rasio data eksperimen</t>
  </si>
  <si>
    <t>Luas penampang tube</t>
  </si>
  <si>
    <t>A_tube</t>
  </si>
  <si>
    <t>m2</t>
  </si>
  <si>
    <t>pi*D^2/4</t>
  </si>
  <si>
    <t>Luas lift tube</t>
  </si>
  <si>
    <t>Void fraction homogen</t>
  </si>
  <si>
    <t>alpha</t>
  </si>
  <si>
    <t>Qa/(Qa+Qw)</t>
  </si>
  <si>
    <t>Model no-slip</t>
  </si>
  <si>
    <t>Densitas air</t>
  </si>
  <si>
    <t>rho_w</t>
  </si>
  <si>
    <t>kg/m3</t>
  </si>
  <si>
    <t>1000</t>
  </si>
  <si>
    <t>Densitas air tawar</t>
  </si>
  <si>
    <t>Densitas udara</t>
  </si>
  <si>
    <t>rho_a</t>
  </si>
  <si>
    <t>1.2</t>
  </si>
  <si>
    <t>Densitas campuran</t>
  </si>
  <si>
    <t>rho_m</t>
  </si>
  <si>
    <t>(1-alpha)*rho_w+alpha*rho_a</t>
  </si>
  <si>
    <t>Densitas campuran homogen</t>
  </si>
  <si>
    <t>Viskositas air</t>
  </si>
  <si>
    <t>mu_w</t>
  </si>
  <si>
    <t>Pa.s</t>
  </si>
  <si>
    <t>0.001</t>
  </si>
  <si>
    <t>Gravitasi</t>
  </si>
  <si>
    <t>g</t>
  </si>
  <si>
    <t>m/s2</t>
  </si>
  <si>
    <t>Konstanta gravitasi</t>
  </si>
  <si>
    <t>Kecepatan air ekuivalen</t>
  </si>
  <si>
    <t>v_w</t>
  </si>
  <si>
    <t>m/s</t>
  </si>
  <si>
    <t>Qw/A</t>
  </si>
  <si>
    <t>Kecepatan air saja</t>
  </si>
  <si>
    <t>Kecepatan campuran</t>
  </si>
  <si>
    <t>v_m</t>
  </si>
  <si>
    <t>Qm/A</t>
  </si>
  <si>
    <t>Kecepatan campuran/discharge terendam</t>
  </si>
  <si>
    <t>Reynolds air</t>
  </si>
  <si>
    <t>Re_w</t>
  </si>
  <si>
    <t>rho*v*D/mu</t>
  </si>
  <si>
    <t>Reynolds berbasis air</t>
  </si>
  <si>
    <t>Reynolds campuran</t>
  </si>
  <si>
    <t>Re_m</t>
  </si>
  <si>
    <t>rho_m*v_m*D/mu</t>
  </si>
  <si>
    <t>Estimasi homogen</t>
  </si>
  <si>
    <t>Darcy friction factor</t>
  </si>
  <si>
    <t>f</t>
  </si>
  <si>
    <t>0.026</t>
  </si>
  <si>
    <t>Asumsi PVC turbulen ringan</t>
  </si>
  <si>
    <t>Friction head campuran</t>
  </si>
  <si>
    <t>hf_mix</t>
  </si>
  <si>
    <t>f*(L/D)*(v^2/2g)</t>
  </si>
  <si>
    <t>Head loss berbasis fluida campuran</t>
  </si>
  <si>
    <t>Friction pressure drop</t>
  </si>
  <si>
    <t>dP_f</t>
  </si>
  <si>
    <t>Pa</t>
  </si>
  <si>
    <t>rho_m*g*hf</t>
  </si>
  <si>
    <t>dP_f_mmH2O</t>
  </si>
  <si>
    <t>mmH2O</t>
  </si>
  <si>
    <t>dP/g</t>
  </si>
  <si>
    <t>Pressure-equivalent mmH2O</t>
  </si>
  <si>
    <t>K elbow 90 derajat</t>
  </si>
  <si>
    <t>K_elbow</t>
  </si>
  <si>
    <t>0.75</t>
  </si>
  <si>
    <t>Koefisien minor loss elbow</t>
  </si>
  <si>
    <t>K outlet</t>
  </si>
  <si>
    <t>K_outlet</t>
  </si>
  <si>
    <t>Koefisien outlet terendam</t>
  </si>
  <si>
    <t>Elbow head campuran</t>
  </si>
  <si>
    <t>h_elbow_mix</t>
  </si>
  <si>
    <t>K*v^2/2g</t>
  </si>
  <si>
    <t>Head loss elbow</t>
  </si>
  <si>
    <t>Elbow pressure drop</t>
  </si>
  <si>
    <t>dP_elbow</t>
  </si>
  <si>
    <t>rho_m*g*h</t>
  </si>
  <si>
    <t>Pressure drop elbow</t>
  </si>
  <si>
    <t>dP_elbow_mmH2O</t>
  </si>
  <si>
    <t>Outlet head campuran</t>
  </si>
  <si>
    <t>h_out_mix</t>
  </si>
  <si>
    <t>Head loss outlet</t>
  </si>
  <si>
    <t>Outlet pressure drop</t>
  </si>
  <si>
    <t>dP_outlet</t>
  </si>
  <si>
    <t>Pressure drop outlet</t>
  </si>
  <si>
    <t>dP_outlet_mmH2O</t>
  </si>
  <si>
    <t>Total pressure drop tube</t>
  </si>
  <si>
    <t>dP_tube</t>
  </si>
  <si>
    <t>friction+elbow+outlet</t>
  </si>
  <si>
    <t>dP_tube_mmH2O</t>
  </si>
  <si>
    <t>Target pressure drop diffuser</t>
  </si>
  <si>
    <t>dP_diff_target_mmH2O</t>
  </si>
  <si>
    <t>50</t>
  </si>
  <si>
    <t>Target distribusi udara</t>
  </si>
  <si>
    <t>dP_diff_target</t>
  </si>
  <si>
    <t>mmH2O*g</t>
  </si>
  <si>
    <t>Konversi ke Pa</t>
  </si>
  <si>
    <t>Discharge coefficient</t>
  </si>
  <si>
    <t>Cd</t>
  </si>
  <si>
    <t>Koefisien orifice</t>
  </si>
  <si>
    <t>Diameter lubang diffuser</t>
  </si>
  <si>
    <t>d_hole</t>
  </si>
  <si>
    <t>Diameter lubang 1 mm</t>
  </si>
  <si>
    <t>Luas 1 lubang diffuser</t>
  </si>
  <si>
    <t>A_hole</t>
  </si>
  <si>
    <t>pi*d^2/4</t>
  </si>
  <si>
    <t>Luas 1 orifice</t>
  </si>
  <si>
    <t>Luas total diffuser perlu</t>
  </si>
  <si>
    <t>A_diff_required</t>
  </si>
  <si>
    <t>Q/(Cd*sqrt(2dP/rho))</t>
  </si>
  <si>
    <t>Luas total untuk target dP</t>
  </si>
  <si>
    <t>Jumlah lubang teoritis</t>
  </si>
  <si>
    <t>N_theory</t>
  </si>
  <si>
    <t>buah</t>
  </si>
  <si>
    <t>A_total/A_hole</t>
  </si>
  <si>
    <t>Jumlah lubang dibulatkan</t>
  </si>
  <si>
    <t>N_round</t>
  </si>
  <si>
    <t>roundup(N)</t>
  </si>
  <si>
    <t>Pembulatan ke atas</t>
  </si>
  <si>
    <t>Jumlah lubang terpilih</t>
  </si>
  <si>
    <t>N_selected</t>
  </si>
  <si>
    <t>Desain final</t>
  </si>
  <si>
    <t>Luas total aktual diffuser</t>
  </si>
  <si>
    <t>A_diff_actual</t>
  </si>
  <si>
    <t>N*A_hole</t>
  </si>
  <si>
    <t>Luas total aktual</t>
  </si>
  <si>
    <t>Debit diffuser aktual pada target dP</t>
  </si>
  <si>
    <t>Q_diff_actual</t>
  </si>
  <si>
    <t>Cd*A*sqrt(2dP/rho)</t>
  </si>
  <si>
    <t>Debit udara aktual</t>
  </si>
  <si>
    <t>Debit diffuser aktual</t>
  </si>
  <si>
    <t>Q_diff_actual_Lmin</t>
  </si>
  <si>
    <t>Q*60000</t>
  </si>
  <si>
    <t>Konversi m3/s ke L/min</t>
  </si>
  <si>
    <t>Pressure drop diffuser aktual</t>
  </si>
  <si>
    <t>dP_diff_actual</t>
  </si>
  <si>
    <t>rho/2*(Q/(Cd*A))^2</t>
  </si>
  <si>
    <t>dP aktual untuk Qa target</t>
  </si>
  <si>
    <t>dP_diff_actual_mmH2O</t>
  </si>
  <si>
    <t>Tekanan start-up</t>
  </si>
  <si>
    <t>P_start_mmH2O</t>
  </si>
  <si>
    <t>h_inj*1000</t>
  </si>
  <si>
    <t>Hydrostatic head air</t>
  </si>
  <si>
    <t>P_start</t>
  </si>
  <si>
    <t>Tekanan operasi total</t>
  </si>
  <si>
    <t>P_oper</t>
  </si>
  <si>
    <t>P_start+dP_tube+dP_diff</t>
  </si>
  <si>
    <t>Tekanan operasi konservatif</t>
  </si>
  <si>
    <t>P_oper_mmH2O</t>
  </si>
  <si>
    <t>P/g</t>
  </si>
  <si>
    <t>Konversi ke mmH2O</t>
  </si>
  <si>
    <t>Margin desain tekanan</t>
  </si>
  <si>
    <t>SF_pressure</t>
  </si>
  <si>
    <t>Margin fouling/variasi</t>
  </si>
  <si>
    <t>Tekanan desain blower</t>
  </si>
  <si>
    <t>P_design_mmH2O</t>
  </si>
  <si>
    <t>P_oper*SF</t>
  </si>
  <si>
    <t>P_design</t>
  </si>
  <si>
    <t>Daya udara</t>
  </si>
  <si>
    <t>P_air</t>
  </si>
  <si>
    <t>W</t>
  </si>
  <si>
    <t>Qa*dP</t>
  </si>
  <si>
    <t>Daya pneumatik operasi</t>
  </si>
  <si>
    <t>Efisiensi blower</t>
  </si>
  <si>
    <t>eta_blower</t>
  </si>
  <si>
    <t>0.4</t>
  </si>
  <si>
    <t>Asumsi efisiensi blower</t>
  </si>
  <si>
    <t>Daya listrik teoritis</t>
  </si>
  <si>
    <t>P_elec</t>
  </si>
  <si>
    <t>P_air/eta</t>
  </si>
  <si>
    <t>Daya teoritis minimum</t>
  </si>
  <si>
    <t>Output</t>
  </si>
  <si>
    <t>Daya blower rekomendasi minimum</t>
  </si>
  <si>
    <t>P_blower_min</t>
  </si>
  <si>
    <t>Rekomendasi praktis</t>
  </si>
  <si>
    <t>Daya blower rekomendasi maksimum</t>
  </si>
  <si>
    <t>P_blower_max</t>
  </si>
  <si>
    <t>Surface tension air</t>
  </si>
  <si>
    <t>sigma</t>
  </si>
  <si>
    <t>N/m</t>
  </si>
  <si>
    <t>0.072</t>
  </si>
  <si>
    <t>Air bersih</t>
  </si>
  <si>
    <t>Diameter bubble estimasi</t>
  </si>
  <si>
    <t>d_bubble</t>
  </si>
  <si>
    <t>((6*sigma*d)/(g*(rho_w-rho_a)))^(1/3)</t>
  </si>
  <si>
    <t>Estimasi bubble Fritz sederhana</t>
  </si>
  <si>
    <t>d_bubble_mm</t>
  </si>
  <si>
    <t>mm</t>
  </si>
  <si>
    <t>d*1000</t>
  </si>
  <si>
    <t>Estimasi mm</t>
  </si>
  <si>
    <t>Waktu kontak</t>
  </si>
  <si>
    <t>t_contact</t>
  </si>
  <si>
    <t>s</t>
  </si>
  <si>
    <t>L/v_m</t>
  </si>
  <si>
    <t>Waktu kontak dalam flow path</t>
  </si>
  <si>
    <t>Laju massa campuran</t>
  </si>
  <si>
    <t>m_dot</t>
  </si>
  <si>
    <t>kg/s</t>
  </si>
  <si>
    <t>rho_m*Qm</t>
  </si>
  <si>
    <t>Momentum discharge</t>
  </si>
  <si>
    <t>M</t>
  </si>
  <si>
    <t>N</t>
  </si>
  <si>
    <t>m_dot*v</t>
  </si>
  <si>
    <t>Estimasi gaya momentum</t>
  </si>
  <si>
    <t>Turnover kolam</t>
  </si>
  <si>
    <t>TR</t>
  </si>
  <si>
    <t>1/jam</t>
  </si>
  <si>
    <t>Turnover hidrolik</t>
  </si>
  <si>
    <t>Rasio diffuser terhadap tube</t>
  </si>
  <si>
    <t>R_diff_tube</t>
  </si>
  <si>
    <t>Status distribusi diffuser</t>
  </si>
  <si>
    <t>Status</t>
  </si>
  <si>
    <t>dP_diff/dP_header</t>
  </si>
  <si>
    <t>Rule praktis jika dibandingkan variasi header</t>
  </si>
  <si>
    <t>dP_diff/dP_friction</t>
  </si>
  <si>
    <t>Rasio pressure drop diffuser terhadap friction tube</t>
  </si>
  <si>
    <t>'tolerance</t>
  </si>
  <si>
    <t>'capHight</t>
  </si>
  <si>
    <t>No.</t>
  </si>
  <si>
    <t>Deskripsi</t>
  </si>
  <si>
    <t>Nilai</t>
  </si>
  <si>
    <t>1/2 OD</t>
  </si>
  <si>
    <t>1/2 Thick</t>
  </si>
  <si>
    <t>1/2 ID</t>
  </si>
  <si>
    <t>3/4 OD</t>
  </si>
  <si>
    <t>3/4 Thick</t>
  </si>
  <si>
    <t>3/4 ID</t>
  </si>
  <si>
    <t>1 OD</t>
  </si>
  <si>
    <t>1 Thick</t>
  </si>
  <si>
    <t>1 ID</t>
  </si>
  <si>
    <t>1 1/4 OD</t>
  </si>
  <si>
    <t>1 1/4 Thick</t>
  </si>
  <si>
    <t>1 1/4 ID</t>
  </si>
  <si>
    <t>1 1/2 OD</t>
  </si>
  <si>
    <t>1 1/2 Thick</t>
  </si>
  <si>
    <t>2 OD</t>
  </si>
  <si>
    <t>2 Thick</t>
  </si>
  <si>
    <t>2 ID</t>
  </si>
  <si>
    <t>2 1/2 OD</t>
  </si>
  <si>
    <t>2 1/2 Thick</t>
  </si>
  <si>
    <t>2 1/2 ID</t>
  </si>
  <si>
    <t>3 OD</t>
  </si>
  <si>
    <t>3 Thick</t>
  </si>
  <si>
    <t>3 ID</t>
  </si>
  <si>
    <t>4 OD</t>
  </si>
  <si>
    <t>4 Thick</t>
  </si>
  <si>
    <t>4 ID</t>
  </si>
  <si>
    <t>1 1/2 ID</t>
  </si>
  <si>
    <t>Keliling</t>
  </si>
  <si>
    <t>Column1</t>
  </si>
  <si>
    <t>Lifting Tube OD</t>
  </si>
  <si>
    <t>Diffuser shell ID</t>
  </si>
  <si>
    <t>Collar</t>
  </si>
  <si>
    <t>Jarak</t>
  </si>
  <si>
    <t>Column2</t>
  </si>
  <si>
    <t>Column3</t>
  </si>
  <si>
    <t>Column22</t>
  </si>
  <si>
    <t>3"</t>
  </si>
  <si>
    <t>1 1/4"</t>
  </si>
  <si>
    <t>1"</t>
  </si>
  <si>
    <t>3/4"</t>
  </si>
  <si>
    <t>1/2"</t>
  </si>
  <si>
    <t>V_tank/Qw_m3h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</si>
</sst>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sz val="11"/>
      <color rgb="FF0000FF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i/>
      <sz val="11"/>
      <color rgb="FF0066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7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2" borderId="0" xfId="0" applyFont="1" applyFill="1"/>
    <xf numFmtId="0" fontId="1" fillId="6" borderId="0" xfId="0" applyFont="1" applyFill="1"/>
    <xf numFmtId="0" fontId="1" fillId="3" borderId="0" xfId="0" applyFont="1" applyFill="1"/>
    <xf numFmtId="2" fontId="0" fillId="2" borderId="0" xfId="0" applyNumberFormat="1" applyFill="1"/>
    <xf numFmtId="2" fontId="1" fillId="2" borderId="0" xfId="0" applyNumberFormat="1" applyFont="1" applyFill="1"/>
    <xf numFmtId="2" fontId="0" fillId="3" borderId="0" xfId="0" applyNumberFormat="1" applyFill="1"/>
    <xf numFmtId="2" fontId="1" fillId="3" borderId="0" xfId="0" applyNumberFormat="1" applyFont="1" applyFill="1"/>
    <xf numFmtId="2" fontId="0" fillId="4" borderId="0" xfId="0" applyNumberFormat="1" applyFill="1"/>
    <xf numFmtId="2" fontId="1" fillId="4" borderId="0" xfId="0" applyNumberFormat="1" applyFont="1" applyFill="1"/>
    <xf numFmtId="2" fontId="0" fillId="5" borderId="0" xfId="0" applyNumberFormat="1" applyFill="1"/>
    <xf numFmtId="2" fontId="1" fillId="5" borderId="0" xfId="0" applyNumberFormat="1" applyFont="1" applyFill="1"/>
    <xf numFmtId="2" fontId="0" fillId="6" borderId="0" xfId="0" applyNumberFormat="1" applyFill="1"/>
    <xf numFmtId="2" fontId="1" fillId="6" borderId="0" xfId="0" applyNumberFormat="1" applyFont="1" applyFill="1"/>
    <xf numFmtId="2" fontId="0" fillId="7" borderId="0" xfId="0" applyNumberFormat="1" applyFill="1"/>
    <xf numFmtId="2" fontId="1" fillId="7" borderId="0" xfId="0" applyNumberFormat="1" applyFont="1" applyFill="1"/>
    <xf numFmtId="2" fontId="0" fillId="0" borderId="0" xfId="0" applyNumberFormat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2" fontId="0" fillId="0" borderId="0" xfId="0" applyNumberFormat="1" applyAlignment="1">
      <alignment horizontal="center"/>
    </xf>
    <xf numFmtId="0" fontId="1" fillId="0" borderId="0" xfId="0" applyFont="1"/>
    <xf numFmtId="2" fontId="1" fillId="0" borderId="0" xfId="0" applyNumberFormat="1" applyFont="1" applyAlignment="1">
      <alignment horizontal="center"/>
    </xf>
    <xf numFmtId="2" fontId="1" fillId="0" borderId="0" xfId="0" applyNumberFormat="1" applyFon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000FF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2EF7146-1F1A-41E1-92CD-6803C9560427}" autoFormatId="16" applyNumberFormats="0" applyBorderFormats="0" applyFontFormats="0" applyPatternFormats="0" applyAlignmentFormats="0" applyWidthHeightFormats="0">
  <queryTableRefresh nextId="13">
    <queryTableFields count="12">
      <queryTableField id="1" name="No" tableColumnId="1"/>
      <queryTableField id="2" name="Jenis" tableColumnId="2"/>
      <queryTableField id="3" name="Parameter" tableColumnId="3"/>
      <queryTableField id="4" name="Simbol" tableColumnId="4"/>
      <queryTableField id="5" name="Satuan" tableColumnId="5"/>
      <queryTableField id="6" name="Nilai_atau_Formula_Excel" tableColumnId="6"/>
      <queryTableField id="9" dataBound="0" tableColumnId="9"/>
      <queryTableField id="10" dataBound="0" tableColumnId="10"/>
      <queryTableField id="12" dataBound="0" tableColumnId="12"/>
      <queryTableField id="11" dataBound="0" tableColumnId="11"/>
      <queryTableField id="7" name="Rumus_Umum" tableColumnId="7"/>
      <queryTableField id="8" name="Keteranga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95AAE6-C10E-4AE1-BF2B-E9F63834972F}" name="airlift_model__2" displayName="airlift_model__2" ref="A1:L80" tableType="queryTable" totalsRowShown="0">
  <autoFilter ref="A1:L80" xr:uid="{E495AAE6-C10E-4AE1-BF2B-E9F63834972F}"/>
  <tableColumns count="12">
    <tableColumn id="1" xr3:uid="{DE17721C-D75D-4407-8918-E5AFBA1AB193}" uniqueName="1" name="No" queryTableFieldId="1"/>
    <tableColumn id="2" xr3:uid="{750D747E-2486-418B-AF9E-F3B73A0FC4C9}" uniqueName="2" name="Jenis" queryTableFieldId="2" dataDxfId="10"/>
    <tableColumn id="3" xr3:uid="{F8C4E1CC-550F-4C6C-94EB-55D5CD2D83C1}" uniqueName="3" name="Parameter" queryTableFieldId="3" dataDxfId="9"/>
    <tableColumn id="4" xr3:uid="{8987E326-7E94-49B4-8164-85EDB91336D4}" uniqueName="4" name="Simbol" queryTableFieldId="4" dataDxfId="8"/>
    <tableColumn id="5" xr3:uid="{C91AC32E-4D17-48F7-B292-BC29C153F7E4}" uniqueName="5" name="Satuan" queryTableFieldId="5" dataDxfId="7"/>
    <tableColumn id="6" xr3:uid="{D16CC36E-7982-45A2-B933-C84415313433}" uniqueName="6" name="Nilai_atau_Formula_Excel" queryTableFieldId="6" dataDxfId="6"/>
    <tableColumn id="9" xr3:uid="{06EC5845-6498-427D-A048-88E3816577A9}" uniqueName="9" name="Column1" queryTableFieldId="9" dataDxfId="5"/>
    <tableColumn id="10" xr3:uid="{1AB471BA-E303-4365-BC36-02C5303EF91F}" uniqueName="10" name="Column2" queryTableFieldId="10" dataDxfId="4"/>
    <tableColumn id="12" xr3:uid="{ED4FC8DF-12D3-4B95-B516-D493A1DF09E1}" uniqueName="12" name="Column22" queryTableFieldId="12" dataDxfId="3"/>
    <tableColumn id="11" xr3:uid="{3D8D1DFD-5B0C-4FF2-81D5-F3770305F66A}" uniqueName="11" name="Column3" queryTableFieldId="11" dataDxfId="2"/>
    <tableColumn id="7" xr3:uid="{E601D4D1-C4A7-4F5E-8641-500BD0B3F794}" uniqueName="7" name="Rumus_Umum" queryTableFieldId="7" dataDxfId="1"/>
    <tableColumn id="8" xr3:uid="{7AE01310-8802-4862-8A14-5E121EE88BA3}" uniqueName="8" name="Keterangan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DA07C-ADA4-4BBE-924D-336F9AE2B1B2}">
  <dimension ref="A1:F34"/>
  <sheetViews>
    <sheetView workbookViewId="0">
      <selection activeCell="F34" sqref="F34"/>
    </sheetView>
  </sheetViews>
  <sheetFormatPr defaultRowHeight="15" x14ac:dyDescent="0.25"/>
  <cols>
    <col min="2" max="2" width="21.85546875" customWidth="1"/>
    <col min="3" max="3" width="10.7109375" customWidth="1"/>
  </cols>
  <sheetData>
    <row r="1" spans="1:5" x14ac:dyDescent="0.25">
      <c r="A1" t="s">
        <v>295</v>
      </c>
      <c r="B1" t="s">
        <v>296</v>
      </c>
      <c r="C1" t="s">
        <v>297</v>
      </c>
      <c r="D1" t="s">
        <v>4</v>
      </c>
      <c r="E1" t="s">
        <v>325</v>
      </c>
    </row>
    <row r="2" spans="1:5" x14ac:dyDescent="0.25">
      <c r="A2">
        <v>1</v>
      </c>
      <c r="B2" t="s">
        <v>293</v>
      </c>
      <c r="C2">
        <v>0.2</v>
      </c>
      <c r="D2" t="s">
        <v>264</v>
      </c>
    </row>
    <row r="3" spans="1:5" s="2" customFormat="1" x14ac:dyDescent="0.25">
      <c r="A3" s="2">
        <v>2</v>
      </c>
      <c r="B3" s="2" t="s">
        <v>298</v>
      </c>
      <c r="C3" s="2">
        <v>22</v>
      </c>
      <c r="D3" s="2" t="s">
        <v>264</v>
      </c>
      <c r="E3" s="15">
        <f>(PI()*C3^2)/4</f>
        <v>380.13271108436498</v>
      </c>
    </row>
    <row r="4" spans="1:5" s="2" customFormat="1" x14ac:dyDescent="0.25">
      <c r="A4" s="2">
        <v>3</v>
      </c>
      <c r="B4" s="2" t="s">
        <v>299</v>
      </c>
      <c r="C4" s="2">
        <v>1.5</v>
      </c>
      <c r="D4" s="2" t="s">
        <v>264</v>
      </c>
    </row>
    <row r="5" spans="1:5" s="12" customFormat="1" x14ac:dyDescent="0.25">
      <c r="A5" s="12">
        <v>4</v>
      </c>
      <c r="B5" s="12" t="s">
        <v>300</v>
      </c>
      <c r="C5" s="12">
        <f>C3-2*C4</f>
        <v>19</v>
      </c>
      <c r="D5" s="12" t="s">
        <v>264</v>
      </c>
      <c r="E5" s="16">
        <f>(PI()*C5^2)/4</f>
        <v>283.5287369864788</v>
      </c>
    </row>
    <row r="6" spans="1:5" s="3" customFormat="1" x14ac:dyDescent="0.25">
      <c r="A6" s="3">
        <v>5</v>
      </c>
      <c r="B6" s="3" t="s">
        <v>301</v>
      </c>
      <c r="C6" s="3">
        <v>26</v>
      </c>
      <c r="D6" s="3" t="s">
        <v>264</v>
      </c>
      <c r="E6" s="17">
        <f>(PI()*C6^2)/4</f>
        <v>530.92915845667505</v>
      </c>
    </row>
    <row r="7" spans="1:5" s="3" customFormat="1" x14ac:dyDescent="0.25">
      <c r="A7" s="3">
        <v>6</v>
      </c>
      <c r="B7" s="3" t="s">
        <v>302</v>
      </c>
      <c r="C7" s="3">
        <v>1.8</v>
      </c>
      <c r="D7" s="3" t="s">
        <v>264</v>
      </c>
    </row>
    <row r="8" spans="1:5" s="14" customFormat="1" x14ac:dyDescent="0.25">
      <c r="A8" s="14">
        <v>7</v>
      </c>
      <c r="B8" s="14" t="s">
        <v>303</v>
      </c>
      <c r="C8" s="14">
        <f>C6-2*C7</f>
        <v>22.4</v>
      </c>
      <c r="D8" s="14" t="s">
        <v>264</v>
      </c>
      <c r="E8" s="18">
        <f>(PI()*C8^2)/4</f>
        <v>394.08138246630358</v>
      </c>
    </row>
    <row r="9" spans="1:5" s="4" customFormat="1" x14ac:dyDescent="0.25">
      <c r="A9" s="4">
        <v>8</v>
      </c>
      <c r="B9" s="4" t="s">
        <v>304</v>
      </c>
      <c r="C9" s="4">
        <v>32</v>
      </c>
      <c r="D9" s="4" t="s">
        <v>264</v>
      </c>
      <c r="E9" s="19">
        <f>(PI()*C9^2)/4</f>
        <v>804.24771931898704</v>
      </c>
    </row>
    <row r="10" spans="1:5" s="4" customFormat="1" x14ac:dyDescent="0.25">
      <c r="A10" s="4">
        <v>9</v>
      </c>
      <c r="B10" s="4" t="s">
        <v>305</v>
      </c>
      <c r="C10" s="4">
        <v>2</v>
      </c>
      <c r="D10" s="4" t="s">
        <v>264</v>
      </c>
    </row>
    <row r="11" spans="1:5" s="10" customFormat="1" x14ac:dyDescent="0.25">
      <c r="A11" s="10">
        <v>10</v>
      </c>
      <c r="B11" s="10" t="s">
        <v>306</v>
      </c>
      <c r="C11" s="10">
        <f>C9-2*C10</f>
        <v>28</v>
      </c>
      <c r="D11" s="10" t="s">
        <v>264</v>
      </c>
      <c r="E11" s="20">
        <f>(PI()*C11^2)/4</f>
        <v>615.75216010359941</v>
      </c>
    </row>
    <row r="12" spans="1:5" s="5" customFormat="1" x14ac:dyDescent="0.25">
      <c r="A12" s="5">
        <v>11</v>
      </c>
      <c r="B12" s="5" t="s">
        <v>307</v>
      </c>
      <c r="C12" s="5">
        <v>42</v>
      </c>
      <c r="D12" s="5" t="s">
        <v>264</v>
      </c>
      <c r="E12" s="21">
        <f>(PI()*C12^2)/4</f>
        <v>1385.4423602330987</v>
      </c>
    </row>
    <row r="13" spans="1:5" s="5" customFormat="1" x14ac:dyDescent="0.25">
      <c r="A13" s="5">
        <v>12</v>
      </c>
      <c r="B13" s="5" t="s">
        <v>308</v>
      </c>
      <c r="C13" s="5">
        <v>2.2999999999999998</v>
      </c>
      <c r="D13" s="5" t="s">
        <v>264</v>
      </c>
    </row>
    <row r="14" spans="1:5" s="11" customFormat="1" x14ac:dyDescent="0.25">
      <c r="A14" s="11">
        <v>13</v>
      </c>
      <c r="B14" s="11" t="s">
        <v>309</v>
      </c>
      <c r="C14" s="11">
        <f>C12-2*C13</f>
        <v>37.4</v>
      </c>
      <c r="D14" s="11" t="s">
        <v>264</v>
      </c>
      <c r="E14" s="22">
        <f>(PI()*C14^2)/4</f>
        <v>1098.5835350338148</v>
      </c>
    </row>
    <row r="15" spans="1:5" s="6" customFormat="1" x14ac:dyDescent="0.25">
      <c r="A15" s="6">
        <v>14</v>
      </c>
      <c r="B15" s="6" t="s">
        <v>310</v>
      </c>
      <c r="C15" s="6">
        <v>48</v>
      </c>
      <c r="D15" s="6" t="s">
        <v>264</v>
      </c>
      <c r="E15" s="23">
        <f>(PI()*C15^2)/4</f>
        <v>1809.5573684677208</v>
      </c>
    </row>
    <row r="16" spans="1:5" s="6" customFormat="1" x14ac:dyDescent="0.25">
      <c r="A16" s="6">
        <v>15</v>
      </c>
      <c r="B16" s="6" t="s">
        <v>311</v>
      </c>
      <c r="C16" s="6">
        <v>2.2999999999999998</v>
      </c>
      <c r="D16" s="6" t="s">
        <v>264</v>
      </c>
    </row>
    <row r="17" spans="1:6" s="13" customFormat="1" x14ac:dyDescent="0.25">
      <c r="A17" s="13">
        <v>16</v>
      </c>
      <c r="B17" s="13" t="s">
        <v>324</v>
      </c>
      <c r="C17" s="13">
        <f>C15-2*C16</f>
        <v>43.4</v>
      </c>
      <c r="D17" s="13" t="s">
        <v>264</v>
      </c>
      <c r="E17" s="24">
        <f>(PI()*C17^2)/4</f>
        <v>1479.3445646488976</v>
      </c>
    </row>
    <row r="18" spans="1:6" s="2" customFormat="1" x14ac:dyDescent="0.25">
      <c r="A18" s="2">
        <v>17</v>
      </c>
      <c r="B18" s="2" t="s">
        <v>312</v>
      </c>
      <c r="C18" s="2">
        <v>60</v>
      </c>
      <c r="D18" s="2" t="s">
        <v>264</v>
      </c>
      <c r="E18" s="15">
        <f>(PI()*C18^2)/4</f>
        <v>2827.4333882308138</v>
      </c>
    </row>
    <row r="19" spans="1:6" s="2" customFormat="1" x14ac:dyDescent="0.25">
      <c r="A19" s="2">
        <v>18</v>
      </c>
      <c r="B19" s="2" t="s">
        <v>313</v>
      </c>
      <c r="C19" s="2">
        <v>2.2999999999999998</v>
      </c>
      <c r="D19" s="2" t="s">
        <v>264</v>
      </c>
    </row>
    <row r="20" spans="1:6" s="12" customFormat="1" x14ac:dyDescent="0.25">
      <c r="A20" s="12">
        <v>19</v>
      </c>
      <c r="B20" s="12" t="s">
        <v>314</v>
      </c>
      <c r="C20" s="12">
        <f>C18-2*C19</f>
        <v>55.4</v>
      </c>
      <c r="D20" s="12" t="s">
        <v>264</v>
      </c>
      <c r="E20" s="16">
        <f>(PI()*C20^2)/4</f>
        <v>2410.5126271729123</v>
      </c>
    </row>
    <row r="21" spans="1:6" s="7" customFormat="1" x14ac:dyDescent="0.25">
      <c r="A21" s="7">
        <v>20</v>
      </c>
      <c r="B21" s="7" t="s">
        <v>315</v>
      </c>
      <c r="C21" s="7">
        <v>76</v>
      </c>
      <c r="D21" s="7" t="s">
        <v>264</v>
      </c>
      <c r="E21" s="25">
        <f>(PI()*C21^2)/4</f>
        <v>4536.4597917836609</v>
      </c>
    </row>
    <row r="22" spans="1:6" s="7" customFormat="1" x14ac:dyDescent="0.25">
      <c r="A22" s="7">
        <v>21</v>
      </c>
      <c r="B22" s="7" t="s">
        <v>316</v>
      </c>
      <c r="C22" s="7">
        <v>2.6</v>
      </c>
      <c r="D22" s="7" t="s">
        <v>264</v>
      </c>
    </row>
    <row r="23" spans="1:6" s="9" customFormat="1" x14ac:dyDescent="0.25">
      <c r="A23" s="9">
        <v>22</v>
      </c>
      <c r="B23" s="9" t="s">
        <v>317</v>
      </c>
      <c r="C23" s="9">
        <f>C21-2*C22</f>
        <v>70.8</v>
      </c>
      <c r="D23" s="9" t="s">
        <v>264</v>
      </c>
      <c r="E23" s="26">
        <f>(PI()*C23^2)/4</f>
        <v>3936.9182497725847</v>
      </c>
    </row>
    <row r="24" spans="1:6" s="4" customFormat="1" x14ac:dyDescent="0.25">
      <c r="A24" s="4">
        <v>23</v>
      </c>
      <c r="B24" s="4" t="s">
        <v>318</v>
      </c>
      <c r="C24" s="4">
        <v>89</v>
      </c>
      <c r="D24" s="4" t="s">
        <v>264</v>
      </c>
      <c r="E24" s="19">
        <f>(PI()*C24^2)/4</f>
        <v>6221.1388522711877</v>
      </c>
    </row>
    <row r="25" spans="1:6" s="4" customFormat="1" x14ac:dyDescent="0.25">
      <c r="A25" s="4">
        <v>24</v>
      </c>
      <c r="B25" s="4" t="s">
        <v>319</v>
      </c>
      <c r="C25" s="4">
        <v>3.1</v>
      </c>
      <c r="D25" s="4" t="s">
        <v>264</v>
      </c>
    </row>
    <row r="26" spans="1:6" s="10" customFormat="1" x14ac:dyDescent="0.25">
      <c r="A26" s="10">
        <v>25</v>
      </c>
      <c r="B26" s="10" t="s">
        <v>320</v>
      </c>
      <c r="C26" s="10">
        <f>C24-2*C25</f>
        <v>82.8</v>
      </c>
      <c r="D26" s="10" t="s">
        <v>264</v>
      </c>
      <c r="E26" s="20">
        <f>(PI()*C26^2)/4</f>
        <v>5384.5641445467609</v>
      </c>
    </row>
    <row r="27" spans="1:6" s="5" customFormat="1" x14ac:dyDescent="0.25">
      <c r="A27" s="5">
        <v>26</v>
      </c>
      <c r="B27" s="5" t="s">
        <v>321</v>
      </c>
      <c r="C27" s="5">
        <v>114</v>
      </c>
      <c r="D27" s="5" t="s">
        <v>264</v>
      </c>
      <c r="E27" s="21">
        <f>(PI()*C27^2)/4</f>
        <v>10207.034531513238</v>
      </c>
    </row>
    <row r="28" spans="1:6" s="5" customFormat="1" x14ac:dyDescent="0.25">
      <c r="A28" s="5">
        <v>27</v>
      </c>
      <c r="B28" s="5" t="s">
        <v>322</v>
      </c>
      <c r="C28" s="5">
        <v>4.0999999999999996</v>
      </c>
      <c r="D28" s="5" t="s">
        <v>264</v>
      </c>
    </row>
    <row r="29" spans="1:6" s="11" customFormat="1" x14ac:dyDescent="0.25">
      <c r="A29" s="11">
        <v>28</v>
      </c>
      <c r="B29" s="11" t="s">
        <v>323</v>
      </c>
      <c r="C29" s="11">
        <f>C27-2*C28</f>
        <v>105.8</v>
      </c>
      <c r="D29" s="11" t="s">
        <v>264</v>
      </c>
      <c r="E29" s="22">
        <f>(PI()*C29^2)/4</f>
        <v>8791.4642977322128</v>
      </c>
    </row>
    <row r="30" spans="1:6" s="8" customFormat="1" x14ac:dyDescent="0.25">
      <c r="A30" s="8">
        <v>29</v>
      </c>
      <c r="B30" s="8" t="s">
        <v>294</v>
      </c>
      <c r="C30" s="8">
        <v>33.5</v>
      </c>
      <c r="D30" s="8" t="s">
        <v>264</v>
      </c>
    </row>
    <row r="31" spans="1:6" x14ac:dyDescent="0.25">
      <c r="F31" s="1" t="s">
        <v>330</v>
      </c>
    </row>
    <row r="32" spans="1:6" x14ac:dyDescent="0.25">
      <c r="B32" t="s">
        <v>327</v>
      </c>
      <c r="C32">
        <f>C12</f>
        <v>42</v>
      </c>
      <c r="D32" t="s">
        <v>264</v>
      </c>
      <c r="E32" s="28">
        <f>E12</f>
        <v>1385.4423602330987</v>
      </c>
      <c r="F32" s="29">
        <f>E32/'airlift-model'!G54</f>
        <v>55.41769440932395</v>
      </c>
    </row>
    <row r="33" spans="2:4" x14ac:dyDescent="0.25">
      <c r="B33" t="s">
        <v>328</v>
      </c>
      <c r="C33">
        <f>C20</f>
        <v>55.4</v>
      </c>
      <c r="D33" t="s">
        <v>264</v>
      </c>
    </row>
    <row r="34" spans="2:4" x14ac:dyDescent="0.25">
      <c r="B34" t="s">
        <v>329</v>
      </c>
      <c r="C34">
        <f>(C33-C32)/2</f>
        <v>6.6999999999999993</v>
      </c>
      <c r="D34" t="s">
        <v>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AB47D-9880-42E7-9351-F038722B58B4}">
  <dimension ref="A1:L80"/>
  <sheetViews>
    <sheetView tabSelected="1" topLeftCell="C1" workbookViewId="0">
      <pane xSplit="1" ySplit="1" topLeftCell="D44" activePane="bottomRight" state="frozen"/>
      <selection activeCell="C1" sqref="C1"/>
      <selection pane="topRight" activeCell="D1" sqref="D1"/>
      <selection pane="bottomLeft" activeCell="C2" sqref="C2"/>
      <selection pane="bottomRight" activeCell="F27" sqref="F27"/>
    </sheetView>
  </sheetViews>
  <sheetFormatPr defaultRowHeight="15" x14ac:dyDescent="0.25"/>
  <cols>
    <col min="1" max="1" width="5.85546875" bestFit="1" customWidth="1"/>
    <col min="2" max="2" width="17.140625" customWidth="1"/>
    <col min="3" max="3" width="26.28515625" customWidth="1"/>
    <col min="4" max="4" width="22.85546875" customWidth="1"/>
    <col min="5" max="5" width="9.28515625" bestFit="1" customWidth="1"/>
    <col min="6" max="6" width="16.28515625" style="1" customWidth="1"/>
    <col min="7" max="7" width="19.5703125" style="1" customWidth="1"/>
    <col min="8" max="8" width="18" style="1" customWidth="1"/>
    <col min="9" max="9" width="17" style="1" customWidth="1"/>
    <col min="10" max="10" width="18.5703125" customWidth="1"/>
    <col min="11" max="11" width="29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326</v>
      </c>
      <c r="H1" s="1" t="s">
        <v>331</v>
      </c>
      <c r="I1" s="1" t="s">
        <v>333</v>
      </c>
      <c r="J1" s="1" t="s">
        <v>332</v>
      </c>
      <c r="K1" t="s">
        <v>6</v>
      </c>
      <c r="L1" t="s">
        <v>7</v>
      </c>
    </row>
    <row r="2" spans="1:12" x14ac:dyDescent="0.25">
      <c r="F2" s="1" t="s">
        <v>334</v>
      </c>
      <c r="G2" s="34" t="s">
        <v>335</v>
      </c>
      <c r="H2" s="1" t="s">
        <v>336</v>
      </c>
      <c r="I2" s="1" t="s">
        <v>337</v>
      </c>
      <c r="J2" s="1" t="s">
        <v>338</v>
      </c>
    </row>
    <row r="3" spans="1:12" x14ac:dyDescent="0.25">
      <c r="A3">
        <v>1</v>
      </c>
      <c r="B3" t="s">
        <v>8</v>
      </c>
      <c r="C3" t="s">
        <v>9</v>
      </c>
      <c r="D3" t="s">
        <v>10</v>
      </c>
      <c r="E3" t="s">
        <v>11</v>
      </c>
      <c r="F3" s="1" t="s">
        <v>12</v>
      </c>
      <c r="G3" s="1">
        <v>1</v>
      </c>
      <c r="H3" s="1">
        <v>1</v>
      </c>
      <c r="I3" s="1">
        <v>1</v>
      </c>
      <c r="J3" s="1">
        <v>1</v>
      </c>
      <c r="K3" t="s">
        <v>13</v>
      </c>
      <c r="L3" t="s">
        <v>14</v>
      </c>
    </row>
    <row r="4" spans="1:12" x14ac:dyDescent="0.25">
      <c r="A4">
        <v>2</v>
      </c>
      <c r="B4" t="s">
        <v>15</v>
      </c>
      <c r="C4" t="s">
        <v>16</v>
      </c>
      <c r="D4" t="s">
        <v>17</v>
      </c>
      <c r="E4" t="s">
        <v>11</v>
      </c>
      <c r="F4" s="1">
        <f>F3/2</f>
        <v>1</v>
      </c>
      <c r="G4" s="1">
        <f>G3/2</f>
        <v>0.5</v>
      </c>
      <c r="H4" s="1">
        <f>H3/2</f>
        <v>0.5</v>
      </c>
      <c r="I4" s="1">
        <f>I3/2</f>
        <v>0.5</v>
      </c>
      <c r="J4" s="1">
        <f>J3/2</f>
        <v>0.5</v>
      </c>
      <c r="K4" t="s">
        <v>18</v>
      </c>
      <c r="L4" t="s">
        <v>16</v>
      </c>
    </row>
    <row r="5" spans="1:12" x14ac:dyDescent="0.25">
      <c r="A5">
        <v>3</v>
      </c>
      <c r="B5" t="s">
        <v>8</v>
      </c>
      <c r="C5" t="s">
        <v>19</v>
      </c>
      <c r="D5" t="s">
        <v>20</v>
      </c>
      <c r="E5" t="s">
        <v>11</v>
      </c>
      <c r="F5" s="1" t="s">
        <v>21</v>
      </c>
      <c r="G5" s="1">
        <v>0.65</v>
      </c>
      <c r="H5" s="1">
        <v>0.65</v>
      </c>
      <c r="I5" s="1" t="s">
        <v>21</v>
      </c>
      <c r="J5" s="1" t="s">
        <v>21</v>
      </c>
      <c r="K5" t="s">
        <v>13</v>
      </c>
      <c r="L5" t="s">
        <v>22</v>
      </c>
    </row>
    <row r="6" spans="1:12" x14ac:dyDescent="0.25">
      <c r="A6">
        <v>4</v>
      </c>
      <c r="B6" t="s">
        <v>15</v>
      </c>
      <c r="C6" t="s">
        <v>23</v>
      </c>
      <c r="D6" t="s">
        <v>24</v>
      </c>
      <c r="E6" t="s">
        <v>25</v>
      </c>
      <c r="F6" s="1">
        <f>PI()*F4^2*F5</f>
        <v>2.3247785636564471</v>
      </c>
      <c r="G6" s="1">
        <f>PI()*G4^2*G5</f>
        <v>0.51050880620834138</v>
      </c>
      <c r="H6" s="1">
        <f>PI()*H4^2*H5</f>
        <v>0.51050880620834138</v>
      </c>
      <c r="I6" s="1">
        <f>PI()*I4^2*I5</f>
        <v>0.58119464091411177</v>
      </c>
      <c r="J6" s="1">
        <f>PI()*J4^2*J5</f>
        <v>0.58119464091411177</v>
      </c>
      <c r="K6" t="s">
        <v>26</v>
      </c>
      <c r="L6" t="s">
        <v>27</v>
      </c>
    </row>
    <row r="7" spans="1:12" x14ac:dyDescent="0.25">
      <c r="A7">
        <v>5</v>
      </c>
      <c r="B7" t="s">
        <v>8</v>
      </c>
      <c r="C7" t="s">
        <v>28</v>
      </c>
      <c r="D7" t="s">
        <v>29</v>
      </c>
      <c r="E7" t="s">
        <v>11</v>
      </c>
      <c r="F7" s="30" t="s">
        <v>30</v>
      </c>
      <c r="G7" s="30">
        <f>(PVC!C12-2*PVC!C13)/1000</f>
        <v>3.7399999999999996E-2</v>
      </c>
      <c r="H7" s="30">
        <f>(PVC!C9-2*PVC!C10)/1000</f>
        <v>2.8000000000000001E-2</v>
      </c>
      <c r="I7" s="30">
        <f>(PVC!C6-2*PVC!C7)/1000</f>
        <v>2.24E-2</v>
      </c>
      <c r="J7" s="30">
        <f>(PVC!C5-2*PVC!C4)/1000</f>
        <v>1.6E-2</v>
      </c>
      <c r="K7" t="s">
        <v>13</v>
      </c>
      <c r="L7" t="s">
        <v>31</v>
      </c>
    </row>
    <row r="8" spans="1:12" x14ac:dyDescent="0.25">
      <c r="A8">
        <v>6</v>
      </c>
      <c r="B8" t="s">
        <v>8</v>
      </c>
      <c r="C8" t="s">
        <v>32</v>
      </c>
      <c r="D8" t="s">
        <v>33</v>
      </c>
      <c r="E8" t="s">
        <v>11</v>
      </c>
      <c r="F8" s="1" t="s">
        <v>34</v>
      </c>
      <c r="G8" s="1" t="s">
        <v>34</v>
      </c>
      <c r="H8" s="1" t="s">
        <v>34</v>
      </c>
      <c r="I8" s="1" t="s">
        <v>34</v>
      </c>
      <c r="J8" s="1" t="s">
        <v>34</v>
      </c>
      <c r="L8" t="s">
        <v>35</v>
      </c>
    </row>
    <row r="9" spans="1:12" x14ac:dyDescent="0.25">
      <c r="A9">
        <v>7</v>
      </c>
      <c r="B9" t="s">
        <v>8</v>
      </c>
      <c r="C9" t="s">
        <v>36</v>
      </c>
      <c r="D9" t="s">
        <v>37</v>
      </c>
      <c r="E9" t="s">
        <v>11</v>
      </c>
      <c r="F9" s="1" t="s">
        <v>38</v>
      </c>
      <c r="G9" s="1">
        <v>0.6</v>
      </c>
      <c r="H9" s="1">
        <v>0.6</v>
      </c>
      <c r="I9" s="1" t="s">
        <v>38</v>
      </c>
      <c r="J9" s="1" t="s">
        <v>38</v>
      </c>
      <c r="K9" t="s">
        <v>13</v>
      </c>
      <c r="L9" t="s">
        <v>39</v>
      </c>
    </row>
    <row r="10" spans="1:12" x14ac:dyDescent="0.25">
      <c r="A10">
        <v>8</v>
      </c>
      <c r="B10" t="s">
        <v>8</v>
      </c>
      <c r="C10" t="s">
        <v>40</v>
      </c>
      <c r="D10" t="s">
        <v>41</v>
      </c>
      <c r="E10" t="s">
        <v>11</v>
      </c>
      <c r="F10" s="1" t="s">
        <v>42</v>
      </c>
      <c r="G10" s="1" t="s">
        <v>42</v>
      </c>
      <c r="H10" s="1" t="s">
        <v>42</v>
      </c>
      <c r="I10" s="1" t="s">
        <v>42</v>
      </c>
      <c r="J10" s="1" t="s">
        <v>42</v>
      </c>
      <c r="K10" t="s">
        <v>13</v>
      </c>
      <c r="L10" t="s">
        <v>43</v>
      </c>
    </row>
    <row r="11" spans="1:12" x14ac:dyDescent="0.25">
      <c r="A11">
        <v>9</v>
      </c>
      <c r="B11" t="s">
        <v>8</v>
      </c>
      <c r="C11" t="s">
        <v>44</v>
      </c>
      <c r="D11" t="s">
        <v>45</v>
      </c>
      <c r="E11" t="s">
        <v>46</v>
      </c>
      <c r="F11" s="1" t="s">
        <v>47</v>
      </c>
      <c r="G11" s="27">
        <f>airlift_model__2[[#This Row],[Nilai_atau_Formula_Excel]]*(G7/F7)^2</f>
        <v>17.193898891966757</v>
      </c>
      <c r="H11" s="27">
        <f>airlift_model__2[[#This Row],[Nilai_atau_Formula_Excel]]*(H7/$F7)^2</f>
        <v>9.6371191135734104</v>
      </c>
      <c r="I11" s="27">
        <f>airlift_model__2[[#This Row],[Nilai_atau_Formula_Excel]]*(I7/$F7)^2</f>
        <v>6.1677562326869815</v>
      </c>
      <c r="J11" s="27">
        <f>airlift_model__2[[#This Row],[Nilai_atau_Formula_Excel]]*(J7/$F7)^2</f>
        <v>3.1468144044321336</v>
      </c>
      <c r="K11">
        <f>(G7/F7)^2</f>
        <v>0.2421675900277008</v>
      </c>
      <c r="L11" t="s">
        <v>48</v>
      </c>
    </row>
    <row r="12" spans="1:12" s="31" customFormat="1" x14ac:dyDescent="0.25">
      <c r="A12" s="31">
        <v>10</v>
      </c>
      <c r="B12" s="31" t="s">
        <v>8</v>
      </c>
      <c r="C12" s="31" t="s">
        <v>49</v>
      </c>
      <c r="D12" s="31" t="s">
        <v>50</v>
      </c>
      <c r="E12" s="31" t="s">
        <v>46</v>
      </c>
      <c r="F12" s="32" t="s">
        <v>51</v>
      </c>
      <c r="G12" s="33">
        <f>airlift_model__2[[#This Row],[Nilai_atau_Formula_Excel]]*(G7/F7)^2</f>
        <v>17.896184903047089</v>
      </c>
      <c r="H12" s="33">
        <f>airlift_model__2[[#This Row],[Nilai_atau_Formula_Excel]]*(H7/$F7)^2</f>
        <v>10.030747922437676</v>
      </c>
      <c r="I12" s="33">
        <f>airlift_model__2[[#This Row],[Nilai_atau_Formula_Excel]]*(I7/$F7)^2</f>
        <v>6.4196786703601116</v>
      </c>
      <c r="J12" s="33">
        <f>airlift_model__2[[#This Row],[Nilai_atau_Formula_Excel]]*(J7/$F7)^2</f>
        <v>3.2753462603878125</v>
      </c>
      <c r="K12" s="31" t="s">
        <v>13</v>
      </c>
      <c r="L12" s="31" t="s">
        <v>48</v>
      </c>
    </row>
    <row r="13" spans="1:12" x14ac:dyDescent="0.25">
      <c r="A13">
        <v>11</v>
      </c>
      <c r="B13" t="s">
        <v>52</v>
      </c>
      <c r="C13" t="s">
        <v>44</v>
      </c>
      <c r="D13" t="s">
        <v>53</v>
      </c>
      <c r="E13" t="s">
        <v>54</v>
      </c>
      <c r="F13" s="1">
        <f t="shared" ref="F13:J14" si="0">F11/1000/60</f>
        <v>1.1833333333333333E-3</v>
      </c>
      <c r="G13" s="1">
        <f t="shared" si="0"/>
        <v>2.8656498153277926E-4</v>
      </c>
      <c r="H13" s="1">
        <f t="shared" si="0"/>
        <v>1.6061865189289019E-4</v>
      </c>
      <c r="I13" s="1">
        <f t="shared" si="0"/>
        <v>1.0279593721144969E-4</v>
      </c>
      <c r="J13" s="1">
        <f t="shared" si="0"/>
        <v>5.244690674053556E-5</v>
      </c>
      <c r="K13" t="s">
        <v>55</v>
      </c>
      <c r="L13" t="s">
        <v>56</v>
      </c>
    </row>
    <row r="14" spans="1:12" x14ac:dyDescent="0.25">
      <c r="A14">
        <v>12</v>
      </c>
      <c r="B14" t="s">
        <v>52</v>
      </c>
      <c r="C14" t="s">
        <v>49</v>
      </c>
      <c r="D14" t="s">
        <v>57</v>
      </c>
      <c r="E14" t="s">
        <v>54</v>
      </c>
      <c r="F14" s="1">
        <f t="shared" si="0"/>
        <v>1.2316666666666667E-3</v>
      </c>
      <c r="G14" s="1">
        <f t="shared" si="0"/>
        <v>2.9826974838411817E-4</v>
      </c>
      <c r="H14" s="1">
        <f t="shared" si="0"/>
        <v>1.6717913204062794E-4</v>
      </c>
      <c r="I14" s="1">
        <f t="shared" si="0"/>
        <v>1.0699464450600187E-4</v>
      </c>
      <c r="J14" s="1">
        <f t="shared" si="0"/>
        <v>5.4589104339796875E-5</v>
      </c>
      <c r="K14" t="s">
        <v>58</v>
      </c>
      <c r="L14" t="s">
        <v>56</v>
      </c>
    </row>
    <row r="15" spans="1:12" x14ac:dyDescent="0.25">
      <c r="A15">
        <v>13</v>
      </c>
      <c r="B15" t="s">
        <v>52</v>
      </c>
      <c r="C15" t="s">
        <v>44</v>
      </c>
      <c r="D15" t="s">
        <v>59</v>
      </c>
      <c r="E15" t="s">
        <v>60</v>
      </c>
      <c r="F15" s="1">
        <f t="shared" ref="F15:J16" si="1">F11*0.06</f>
        <v>4.26</v>
      </c>
      <c r="G15" s="1">
        <f t="shared" si="1"/>
        <v>1.0316339335180054</v>
      </c>
      <c r="H15" s="1">
        <f t="shared" si="1"/>
        <v>0.57822714681440457</v>
      </c>
      <c r="I15" s="1">
        <f t="shared" si="1"/>
        <v>0.37006537396121886</v>
      </c>
      <c r="J15" s="1">
        <f t="shared" si="1"/>
        <v>0.18880886426592799</v>
      </c>
      <c r="K15" t="s">
        <v>61</v>
      </c>
      <c r="L15" t="s">
        <v>62</v>
      </c>
    </row>
    <row r="16" spans="1:12" x14ac:dyDescent="0.25">
      <c r="A16">
        <v>14</v>
      </c>
      <c r="B16" t="s">
        <v>52</v>
      </c>
      <c r="C16" t="s">
        <v>49</v>
      </c>
      <c r="D16" t="s">
        <v>63</v>
      </c>
      <c r="E16" t="s">
        <v>60</v>
      </c>
      <c r="F16" s="1">
        <f t="shared" si="1"/>
        <v>4.4340000000000002</v>
      </c>
      <c r="G16" s="1">
        <f t="shared" si="1"/>
        <v>1.0737710941828253</v>
      </c>
      <c r="H16" s="1">
        <f t="shared" si="1"/>
        <v>0.60184487534626052</v>
      </c>
      <c r="I16" s="1">
        <f t="shared" si="1"/>
        <v>0.38518072022160671</v>
      </c>
      <c r="J16" s="1">
        <f t="shared" si="1"/>
        <v>0.19652077562326875</v>
      </c>
      <c r="K16" t="s">
        <v>64</v>
      </c>
      <c r="L16" t="s">
        <v>62</v>
      </c>
    </row>
    <row r="17" spans="1:12" x14ac:dyDescent="0.25">
      <c r="A17">
        <v>15</v>
      </c>
      <c r="B17" t="s">
        <v>15</v>
      </c>
      <c r="C17" t="s">
        <v>65</v>
      </c>
      <c r="D17" t="s">
        <v>66</v>
      </c>
      <c r="E17" t="s">
        <v>46</v>
      </c>
      <c r="F17" s="1">
        <f>F11+F12</f>
        <v>144.9</v>
      </c>
      <c r="G17" s="1">
        <f>G11+G12</f>
        <v>35.090083795013847</v>
      </c>
      <c r="H17" s="1">
        <f>H11+H12</f>
        <v>19.667867036011089</v>
      </c>
      <c r="I17" s="1">
        <f>I11+I12</f>
        <v>12.587434903047093</v>
      </c>
      <c r="J17" s="1">
        <f>J11+J12</f>
        <v>6.4221606648199465</v>
      </c>
      <c r="K17" t="s">
        <v>67</v>
      </c>
      <c r="L17" t="s">
        <v>68</v>
      </c>
    </row>
    <row r="18" spans="1:12" x14ac:dyDescent="0.25">
      <c r="A18">
        <v>16</v>
      </c>
      <c r="B18" t="s">
        <v>15</v>
      </c>
      <c r="C18" t="s">
        <v>65</v>
      </c>
      <c r="D18" t="s">
        <v>69</v>
      </c>
      <c r="E18" t="s">
        <v>54</v>
      </c>
      <c r="F18" s="1">
        <f>F13+F14</f>
        <v>2.415E-3</v>
      </c>
      <c r="G18" s="1">
        <f>G13+G14</f>
        <v>5.8483472991689744E-4</v>
      </c>
      <c r="H18" s="1">
        <f>H13+H14</f>
        <v>3.2779778393351815E-4</v>
      </c>
      <c r="I18" s="1">
        <f>I13+I14</f>
        <v>2.0979058171745156E-4</v>
      </c>
      <c r="J18" s="1">
        <f>J13+J14</f>
        <v>1.0703601108033244E-4</v>
      </c>
      <c r="K18" t="s">
        <v>67</v>
      </c>
      <c r="L18" t="s">
        <v>70</v>
      </c>
    </row>
    <row r="19" spans="1:12" x14ac:dyDescent="0.25">
      <c r="A19">
        <v>17</v>
      </c>
      <c r="B19" t="s">
        <v>15</v>
      </c>
      <c r="C19" t="s">
        <v>65</v>
      </c>
      <c r="D19" t="s">
        <v>71</v>
      </c>
      <c r="E19" t="s">
        <v>60</v>
      </c>
      <c r="F19" s="1">
        <f>F15+F16</f>
        <v>8.6939999999999991</v>
      </c>
      <c r="G19" s="1">
        <f>G15+G16</f>
        <v>2.1054050277008307</v>
      </c>
      <c r="H19" s="1">
        <f>H15+H16</f>
        <v>1.1800720221606651</v>
      </c>
      <c r="I19" s="1">
        <f>I15+I16</f>
        <v>0.75524609418282562</v>
      </c>
      <c r="J19" s="1">
        <f>J15+J16</f>
        <v>0.38532963988919677</v>
      </c>
      <c r="K19" t="s">
        <v>67</v>
      </c>
      <c r="L19" t="s">
        <v>72</v>
      </c>
    </row>
    <row r="20" spans="1:12" x14ac:dyDescent="0.25">
      <c r="A20">
        <v>18</v>
      </c>
      <c r="B20" t="s">
        <v>15</v>
      </c>
      <c r="C20" t="s">
        <v>73</v>
      </c>
      <c r="D20" t="s">
        <v>74</v>
      </c>
      <c r="E20" t="s">
        <v>75</v>
      </c>
      <c r="F20" s="1">
        <f>F12/F11</f>
        <v>1.0408450704225354</v>
      </c>
      <c r="G20" s="1">
        <f>G12/G11</f>
        <v>1.0408450704225352</v>
      </c>
      <c r="H20" s="1">
        <f>H12/H11</f>
        <v>1.0408450704225352</v>
      </c>
      <c r="I20" s="1">
        <f>I12/I11</f>
        <v>1.0408450704225352</v>
      </c>
      <c r="J20" s="1">
        <f>J12/J11</f>
        <v>1.0408450704225354</v>
      </c>
      <c r="K20" t="s">
        <v>76</v>
      </c>
      <c r="L20" t="s">
        <v>77</v>
      </c>
    </row>
    <row r="21" spans="1:12" x14ac:dyDescent="0.25">
      <c r="A21">
        <v>19</v>
      </c>
      <c r="B21" t="s">
        <v>15</v>
      </c>
      <c r="C21" t="s">
        <v>78</v>
      </c>
      <c r="D21" t="s">
        <v>79</v>
      </c>
      <c r="E21" t="s">
        <v>80</v>
      </c>
      <c r="F21" s="1">
        <f>PI()*F7^2/4</f>
        <v>4.5364597917836608E-3</v>
      </c>
      <c r="G21" s="1">
        <f>PI()*G7^2/4</f>
        <v>1.0985835350338145E-3</v>
      </c>
      <c r="H21" s="1">
        <f>PI()*H7^2/4</f>
        <v>6.1575216010359955E-4</v>
      </c>
      <c r="I21" s="1">
        <f>PI()*I7^2/4</f>
        <v>3.9408138246630365E-4</v>
      </c>
      <c r="J21" s="1">
        <f>PI()*J7^2/4</f>
        <v>2.0106192982974675E-4</v>
      </c>
      <c r="K21" t="s">
        <v>81</v>
      </c>
      <c r="L21" t="s">
        <v>82</v>
      </c>
    </row>
    <row r="22" spans="1:12" x14ac:dyDescent="0.25">
      <c r="A22">
        <v>20</v>
      </c>
      <c r="B22" t="s">
        <v>15</v>
      </c>
      <c r="C22" t="s">
        <v>83</v>
      </c>
      <c r="D22" t="s">
        <v>84</v>
      </c>
      <c r="E22" t="s">
        <v>75</v>
      </c>
      <c r="F22" s="1">
        <f>F13/F18</f>
        <v>0.48999309868875085</v>
      </c>
      <c r="G22" s="1">
        <f>G13/G18</f>
        <v>0.48999309868875085</v>
      </c>
      <c r="H22" s="1">
        <f>H13/H18</f>
        <v>0.48999309868875085</v>
      </c>
      <c r="I22" s="1">
        <f>I13/I18</f>
        <v>0.48999309868875085</v>
      </c>
      <c r="J22" s="1">
        <f>J13/J18</f>
        <v>0.48999309868875085</v>
      </c>
      <c r="K22" t="s">
        <v>85</v>
      </c>
      <c r="L22" t="s">
        <v>86</v>
      </c>
    </row>
    <row r="23" spans="1:12" x14ac:dyDescent="0.25">
      <c r="A23">
        <v>21</v>
      </c>
      <c r="B23" t="s">
        <v>8</v>
      </c>
      <c r="C23" t="s">
        <v>87</v>
      </c>
      <c r="D23" t="s">
        <v>88</v>
      </c>
      <c r="E23" t="s">
        <v>89</v>
      </c>
      <c r="F23" s="1" t="s">
        <v>90</v>
      </c>
      <c r="G23" s="1" t="s">
        <v>90</v>
      </c>
      <c r="H23" s="1" t="s">
        <v>90</v>
      </c>
      <c r="I23" s="1" t="s">
        <v>90</v>
      </c>
      <c r="J23" s="1" t="s">
        <v>90</v>
      </c>
      <c r="K23" t="s">
        <v>13</v>
      </c>
      <c r="L23" t="s">
        <v>91</v>
      </c>
    </row>
    <row r="24" spans="1:12" x14ac:dyDescent="0.25">
      <c r="A24">
        <v>22</v>
      </c>
      <c r="B24" t="s">
        <v>8</v>
      </c>
      <c r="C24" t="s">
        <v>92</v>
      </c>
      <c r="D24" t="s">
        <v>93</v>
      </c>
      <c r="E24" t="s">
        <v>89</v>
      </c>
      <c r="F24" s="1" t="s">
        <v>94</v>
      </c>
      <c r="G24" s="1" t="s">
        <v>94</v>
      </c>
      <c r="H24" s="1" t="s">
        <v>94</v>
      </c>
      <c r="I24" s="1" t="s">
        <v>94</v>
      </c>
      <c r="J24" s="1" t="s">
        <v>94</v>
      </c>
      <c r="K24" t="s">
        <v>13</v>
      </c>
      <c r="L24" t="s">
        <v>92</v>
      </c>
    </row>
    <row r="25" spans="1:12" x14ac:dyDescent="0.25">
      <c r="A25">
        <v>23</v>
      </c>
      <c r="B25" t="s">
        <v>15</v>
      </c>
      <c r="C25" t="s">
        <v>95</v>
      </c>
      <c r="D25" t="s">
        <v>96</v>
      </c>
      <c r="E25" t="s">
        <v>89</v>
      </c>
      <c r="F25" s="1">
        <f>(1-F22)*F23+F22*F24</f>
        <v>510.59489302967563</v>
      </c>
      <c r="G25" s="1">
        <f>(1-G22)*G23+G22*G24</f>
        <v>510.59489302967563</v>
      </c>
      <c r="H25" s="1">
        <f>(1-H22)*H23+H22*H24</f>
        <v>510.59489302967563</v>
      </c>
      <c r="I25" s="1">
        <f>(1-I22)*I23+I22*I24</f>
        <v>510.59489302967563</v>
      </c>
      <c r="J25" s="1">
        <f>(1-J22)*J23+J22*J24</f>
        <v>510.59489302967563</v>
      </c>
      <c r="K25" t="s">
        <v>97</v>
      </c>
      <c r="L25" t="s">
        <v>98</v>
      </c>
    </row>
    <row r="26" spans="1:12" x14ac:dyDescent="0.25">
      <c r="A26">
        <v>24</v>
      </c>
      <c r="B26" t="s">
        <v>8</v>
      </c>
      <c r="C26" t="s">
        <v>99</v>
      </c>
      <c r="D26" t="s">
        <v>100</v>
      </c>
      <c r="E26" t="s">
        <v>101</v>
      </c>
      <c r="F26" s="1" t="s">
        <v>102</v>
      </c>
      <c r="G26" s="1" t="s">
        <v>102</v>
      </c>
      <c r="H26" s="1" t="s">
        <v>102</v>
      </c>
      <c r="I26" s="1" t="s">
        <v>102</v>
      </c>
      <c r="J26" s="1" t="s">
        <v>102</v>
      </c>
      <c r="K26" t="s">
        <v>13</v>
      </c>
      <c r="L26" t="s">
        <v>99</v>
      </c>
    </row>
    <row r="27" spans="1:12" x14ac:dyDescent="0.25">
      <c r="A27">
        <v>25</v>
      </c>
      <c r="B27" t="s">
        <v>8</v>
      </c>
      <c r="C27" t="s">
        <v>103</v>
      </c>
      <c r="D27" t="s">
        <v>104</v>
      </c>
      <c r="E27" t="s">
        <v>105</v>
      </c>
      <c r="F27" s="1">
        <v>9.8000000000000007</v>
      </c>
      <c r="G27" s="1">
        <v>9.8000000000000007</v>
      </c>
      <c r="H27" s="1">
        <v>9.8000000000000007</v>
      </c>
      <c r="I27" s="1">
        <v>9.8000000000000007</v>
      </c>
      <c r="J27" s="1">
        <v>9.8000000000000007</v>
      </c>
      <c r="K27" t="s">
        <v>13</v>
      </c>
      <c r="L27" t="s">
        <v>106</v>
      </c>
    </row>
    <row r="28" spans="1:12" x14ac:dyDescent="0.25">
      <c r="A28">
        <v>26</v>
      </c>
      <c r="B28" t="s">
        <v>15</v>
      </c>
      <c r="C28" t="s">
        <v>107</v>
      </c>
      <c r="D28" t="s">
        <v>108</v>
      </c>
      <c r="E28" t="s">
        <v>109</v>
      </c>
      <c r="F28" s="1">
        <f>F14/F21</f>
        <v>0.27150393108243459</v>
      </c>
      <c r="G28" s="1">
        <f>G14/G21</f>
        <v>0.27150393108243459</v>
      </c>
      <c r="H28" s="1">
        <f>H14/H21</f>
        <v>0.27150393108243459</v>
      </c>
      <c r="I28" s="1">
        <f>I14/I21</f>
        <v>0.27150393108243465</v>
      </c>
      <c r="J28" s="1">
        <f>J14/J21</f>
        <v>0.27150393108243465</v>
      </c>
      <c r="K28" t="s">
        <v>110</v>
      </c>
      <c r="L28" t="s">
        <v>111</v>
      </c>
    </row>
    <row r="29" spans="1:12" x14ac:dyDescent="0.25">
      <c r="A29">
        <v>27</v>
      </c>
      <c r="B29" t="s">
        <v>15</v>
      </c>
      <c r="C29" t="s">
        <v>112</v>
      </c>
      <c r="D29" t="s">
        <v>113</v>
      </c>
      <c r="E29" t="s">
        <v>109</v>
      </c>
      <c r="F29" s="1">
        <f>F18/F21</f>
        <v>0.53235344538355578</v>
      </c>
      <c r="G29" s="1">
        <f>G18/G21</f>
        <v>0.53235344538355578</v>
      </c>
      <c r="H29" s="1">
        <f>H18/H21</f>
        <v>0.53235344538355589</v>
      </c>
      <c r="I29" s="1">
        <f>I18/I21</f>
        <v>0.53235344538355589</v>
      </c>
      <c r="J29" s="1">
        <f>J18/J21</f>
        <v>0.53235344538355589</v>
      </c>
      <c r="K29" t="s">
        <v>114</v>
      </c>
      <c r="L29" t="s">
        <v>115</v>
      </c>
    </row>
    <row r="30" spans="1:12" x14ac:dyDescent="0.25">
      <c r="A30">
        <v>28</v>
      </c>
      <c r="B30" t="s">
        <v>15</v>
      </c>
      <c r="C30" t="s">
        <v>116</v>
      </c>
      <c r="D30" t="s">
        <v>117</v>
      </c>
      <c r="E30" t="s">
        <v>75</v>
      </c>
      <c r="F30" s="1">
        <f>F23*F28*F7/F26</f>
        <v>20634.298762265025</v>
      </c>
      <c r="G30" s="1">
        <f>G23*G28*G7/G26</f>
        <v>10154.247022483052</v>
      </c>
      <c r="H30" s="1">
        <f>H23*H28*H7/H26</f>
        <v>7602.1100703081675</v>
      </c>
      <c r="I30" s="1">
        <f>I23*I28*I7/I26</f>
        <v>6081.6880562465358</v>
      </c>
      <c r="J30" s="1">
        <f>J23*J28*J7/J26</f>
        <v>4344.0628973189541</v>
      </c>
      <c r="K30" t="s">
        <v>118</v>
      </c>
      <c r="L30" t="s">
        <v>119</v>
      </c>
    </row>
    <row r="31" spans="1:12" x14ac:dyDescent="0.25">
      <c r="A31">
        <v>29</v>
      </c>
      <c r="B31" t="s">
        <v>15</v>
      </c>
      <c r="C31" t="s">
        <v>120</v>
      </c>
      <c r="D31" t="s">
        <v>121</v>
      </c>
      <c r="E31" t="s">
        <v>75</v>
      </c>
      <c r="F31" s="1">
        <f>F25*F29*F7/F26</f>
        <v>20658.088237969288</v>
      </c>
      <c r="G31" s="1">
        <f>G25*G29*G7/G26</f>
        <v>10165.953948684884</v>
      </c>
      <c r="H31" s="1">
        <f>H25*H29*H7/H26</f>
        <v>7610.8746139886871</v>
      </c>
      <c r="I31" s="1">
        <f>I25*I29*I7/I26</f>
        <v>6088.69969119095</v>
      </c>
      <c r="J31" s="1">
        <f>J25*J29*J7/J26</f>
        <v>4349.0712079935356</v>
      </c>
      <c r="K31" t="s">
        <v>122</v>
      </c>
      <c r="L31" t="s">
        <v>123</v>
      </c>
    </row>
    <row r="32" spans="1:12" x14ac:dyDescent="0.25">
      <c r="A32">
        <v>30</v>
      </c>
      <c r="B32" t="s">
        <v>8</v>
      </c>
      <c r="C32" t="s">
        <v>124</v>
      </c>
      <c r="D32" t="s">
        <v>125</v>
      </c>
      <c r="E32" t="s">
        <v>75</v>
      </c>
      <c r="F32" s="1" t="s">
        <v>126</v>
      </c>
      <c r="G32" s="1" t="s">
        <v>126</v>
      </c>
      <c r="H32" s="1" t="s">
        <v>126</v>
      </c>
      <c r="I32" s="1" t="s">
        <v>126</v>
      </c>
      <c r="J32" s="1" t="s">
        <v>126</v>
      </c>
      <c r="K32" t="s">
        <v>13</v>
      </c>
      <c r="L32" t="s">
        <v>127</v>
      </c>
    </row>
    <row r="33" spans="1:12" x14ac:dyDescent="0.25">
      <c r="A33">
        <v>31</v>
      </c>
      <c r="B33" t="s">
        <v>15</v>
      </c>
      <c r="C33" t="s">
        <v>128</v>
      </c>
      <c r="D33" t="s">
        <v>129</v>
      </c>
      <c r="E33" t="s">
        <v>11</v>
      </c>
      <c r="F33" s="1">
        <f>F32*(F8/F7)*(F29^2/(2*F27))</f>
        <v>4.946566166155548E-3</v>
      </c>
      <c r="G33" s="1">
        <f>G32*(G8/G7)*(G29^2/(2*G27))</f>
        <v>1.0051845685235875E-2</v>
      </c>
      <c r="H33" s="1">
        <f>H32*(H8/H7)*(H29^2/(2*H27))</f>
        <v>1.3426393879565065E-2</v>
      </c>
      <c r="I33" s="1">
        <f>I32*(I8/I7)*(I29^2/(2*I27))</f>
        <v>1.6782992349456332E-2</v>
      </c>
      <c r="J33" s="1">
        <f>J32*(J8/J7)*(J29^2/(2*J27))</f>
        <v>2.3496189289238863E-2</v>
      </c>
      <c r="K33" t="s">
        <v>130</v>
      </c>
      <c r="L33" t="s">
        <v>131</v>
      </c>
    </row>
    <row r="34" spans="1:12" x14ac:dyDescent="0.25">
      <c r="A34">
        <v>32</v>
      </c>
      <c r="B34" t="s">
        <v>15</v>
      </c>
      <c r="C34" t="s">
        <v>132</v>
      </c>
      <c r="D34" t="s">
        <v>133</v>
      </c>
      <c r="E34" t="s">
        <v>134</v>
      </c>
      <c r="F34" s="1">
        <f>F25*F27*F33</f>
        <v>24.751775940229571</v>
      </c>
      <c r="G34" s="1">
        <f>G25*G27*G33</f>
        <v>50.297726509557428</v>
      </c>
      <c r="H34" s="1">
        <f>H25*H27*H33</f>
        <v>67.18339183776601</v>
      </c>
      <c r="I34" s="1">
        <f>I25*I27*I33</f>
        <v>83.979239797207512</v>
      </c>
      <c r="J34" s="1">
        <f>J25*J27*J33</f>
        <v>117.5709357160905</v>
      </c>
      <c r="K34" t="s">
        <v>135</v>
      </c>
      <c r="L34" t="s">
        <v>132</v>
      </c>
    </row>
    <row r="35" spans="1:12" x14ac:dyDescent="0.25">
      <c r="A35">
        <v>33</v>
      </c>
      <c r="B35" t="s">
        <v>15</v>
      </c>
      <c r="C35" t="s">
        <v>132</v>
      </c>
      <c r="D35" t="s">
        <v>136</v>
      </c>
      <c r="E35" t="s">
        <v>137</v>
      </c>
      <c r="F35" s="1">
        <f>F34/F27</f>
        <v>2.5256914224724052</v>
      </c>
      <c r="G35" s="1">
        <f>G34/G27</f>
        <v>5.1324210724038188</v>
      </c>
      <c r="H35" s="1">
        <f>H34/H27</f>
        <v>6.8554481467108168</v>
      </c>
      <c r="I35" s="1">
        <f>I34/I27</f>
        <v>8.5693101833885219</v>
      </c>
      <c r="J35" s="1">
        <f>J34/J27</f>
        <v>11.997034256743929</v>
      </c>
      <c r="K35" t="s">
        <v>138</v>
      </c>
      <c r="L35" t="s">
        <v>139</v>
      </c>
    </row>
    <row r="36" spans="1:12" x14ac:dyDescent="0.25">
      <c r="A36">
        <v>34</v>
      </c>
      <c r="B36" t="s">
        <v>8</v>
      </c>
      <c r="C36" t="s">
        <v>140</v>
      </c>
      <c r="D36" t="s">
        <v>141</v>
      </c>
      <c r="E36" t="s">
        <v>75</v>
      </c>
      <c r="F36" s="1" t="s">
        <v>142</v>
      </c>
      <c r="G36" s="1" t="s">
        <v>142</v>
      </c>
      <c r="H36" s="1" t="s">
        <v>142</v>
      </c>
      <c r="I36" s="1" t="s">
        <v>142</v>
      </c>
      <c r="J36" s="1" t="s">
        <v>142</v>
      </c>
      <c r="K36" t="s">
        <v>13</v>
      </c>
      <c r="L36" t="s">
        <v>143</v>
      </c>
    </row>
    <row r="37" spans="1:12" x14ac:dyDescent="0.25">
      <c r="A37">
        <v>35</v>
      </c>
      <c r="B37" t="s">
        <v>8</v>
      </c>
      <c r="C37" t="s">
        <v>144</v>
      </c>
      <c r="D37" t="s">
        <v>145</v>
      </c>
      <c r="E37" t="s">
        <v>75</v>
      </c>
      <c r="F37" s="1" t="s">
        <v>34</v>
      </c>
      <c r="G37" s="1" t="s">
        <v>34</v>
      </c>
      <c r="H37" s="1" t="s">
        <v>34</v>
      </c>
      <c r="I37" s="1" t="s">
        <v>34</v>
      </c>
      <c r="J37" s="1" t="s">
        <v>34</v>
      </c>
      <c r="K37" t="s">
        <v>13</v>
      </c>
      <c r="L37" t="s">
        <v>146</v>
      </c>
    </row>
    <row r="38" spans="1:12" x14ac:dyDescent="0.25">
      <c r="A38">
        <v>36</v>
      </c>
      <c r="B38" t="s">
        <v>15</v>
      </c>
      <c r="C38" t="s">
        <v>147</v>
      </c>
      <c r="D38" t="s">
        <v>148</v>
      </c>
      <c r="E38" t="s">
        <v>11</v>
      </c>
      <c r="F38" s="1">
        <f>F36*(F29^2/(2*F27))</f>
        <v>1.0844395056571778E-2</v>
      </c>
      <c r="G38" s="1">
        <f>G36*(G29^2/(2*G27))</f>
        <v>1.0844395056571778E-2</v>
      </c>
      <c r="H38" s="1">
        <f>H36*(H29^2/(2*H27))</f>
        <v>1.0844395056571782E-2</v>
      </c>
      <c r="I38" s="1">
        <f>I36*(I29^2/(2*I27))</f>
        <v>1.0844395056571782E-2</v>
      </c>
      <c r="J38" s="1">
        <f>J36*(J29^2/(2*J27))</f>
        <v>1.0844395056571782E-2</v>
      </c>
      <c r="K38" t="s">
        <v>149</v>
      </c>
      <c r="L38" t="s">
        <v>150</v>
      </c>
    </row>
    <row r="39" spans="1:12" x14ac:dyDescent="0.25">
      <c r="A39">
        <v>37</v>
      </c>
      <c r="B39" t="s">
        <v>15</v>
      </c>
      <c r="C39" t="s">
        <v>151</v>
      </c>
      <c r="D39" t="s">
        <v>152</v>
      </c>
      <c r="E39" t="s">
        <v>134</v>
      </c>
      <c r="F39" s="1">
        <f>F25*F27*F38</f>
        <v>54.263508792041748</v>
      </c>
      <c r="G39" s="1">
        <f>G25*G27*G38</f>
        <v>54.263508792041748</v>
      </c>
      <c r="H39" s="1">
        <f>H25*H27*H38</f>
        <v>54.263508792041769</v>
      </c>
      <c r="I39" s="1">
        <f>I25*I27*I38</f>
        <v>54.263508792041769</v>
      </c>
      <c r="J39" s="1">
        <f>J25*J27*J38</f>
        <v>54.263508792041769</v>
      </c>
      <c r="K39" t="s">
        <v>153</v>
      </c>
      <c r="L39" t="s">
        <v>154</v>
      </c>
    </row>
    <row r="40" spans="1:12" x14ac:dyDescent="0.25">
      <c r="A40">
        <v>38</v>
      </c>
      <c r="B40" t="s">
        <v>15</v>
      </c>
      <c r="C40" t="s">
        <v>151</v>
      </c>
      <c r="D40" t="s">
        <v>155</v>
      </c>
      <c r="E40" t="s">
        <v>137</v>
      </c>
      <c r="F40" s="1">
        <f>F39/F27</f>
        <v>5.5370927338818108</v>
      </c>
      <c r="G40" s="1">
        <f>G39/G27</f>
        <v>5.5370927338818108</v>
      </c>
      <c r="H40" s="1">
        <f>H39/H27</f>
        <v>5.5370927338818126</v>
      </c>
      <c r="I40" s="1">
        <f>I39/I27</f>
        <v>5.5370927338818126</v>
      </c>
      <c r="J40" s="1">
        <f>J39/J27</f>
        <v>5.5370927338818126</v>
      </c>
      <c r="K40" t="s">
        <v>138</v>
      </c>
      <c r="L40" t="s">
        <v>139</v>
      </c>
    </row>
    <row r="41" spans="1:12" x14ac:dyDescent="0.25">
      <c r="A41">
        <v>39</v>
      </c>
      <c r="B41" t="s">
        <v>15</v>
      </c>
      <c r="C41" t="s">
        <v>156</v>
      </c>
      <c r="D41" t="s">
        <v>157</v>
      </c>
      <c r="E41" t="s">
        <v>11</v>
      </c>
      <c r="F41" s="1">
        <f>F37*(F29^2/(2*F27))</f>
        <v>1.4459193408762372E-2</v>
      </c>
      <c r="G41" s="1">
        <f>G37*(G29^2/(2*G27))</f>
        <v>1.4459193408762372E-2</v>
      </c>
      <c r="H41" s="1">
        <f>H37*(H29^2/(2*H27))</f>
        <v>1.4459193408762377E-2</v>
      </c>
      <c r="I41" s="1">
        <f>I37*(I29^2/(2*I27))</f>
        <v>1.4459193408762377E-2</v>
      </c>
      <c r="J41" s="1">
        <f>J37*(J29^2/(2*J27))</f>
        <v>1.4459193408762377E-2</v>
      </c>
      <c r="K41" t="s">
        <v>149</v>
      </c>
      <c r="L41" t="s">
        <v>158</v>
      </c>
    </row>
    <row r="42" spans="1:12" x14ac:dyDescent="0.25">
      <c r="A42">
        <v>40</v>
      </c>
      <c r="B42" t="s">
        <v>15</v>
      </c>
      <c r="C42" t="s">
        <v>159</v>
      </c>
      <c r="D42" t="s">
        <v>160</v>
      </c>
      <c r="E42" t="s">
        <v>134</v>
      </c>
      <c r="F42" s="1">
        <f>F25*F27*F41</f>
        <v>72.351345056055663</v>
      </c>
      <c r="G42" s="1">
        <f>G25*G27*G41</f>
        <v>72.351345056055663</v>
      </c>
      <c r="H42" s="1">
        <f>H25*H27*H41</f>
        <v>72.351345056055692</v>
      </c>
      <c r="I42" s="1">
        <f>I25*I27*I41</f>
        <v>72.351345056055692</v>
      </c>
      <c r="J42" s="1">
        <f>J25*J27*J41</f>
        <v>72.351345056055692</v>
      </c>
      <c r="K42" t="s">
        <v>153</v>
      </c>
      <c r="L42" t="s">
        <v>161</v>
      </c>
    </row>
    <row r="43" spans="1:12" x14ac:dyDescent="0.25">
      <c r="A43">
        <v>41</v>
      </c>
      <c r="B43" t="s">
        <v>15</v>
      </c>
      <c r="C43" t="s">
        <v>159</v>
      </c>
      <c r="D43" t="s">
        <v>162</v>
      </c>
      <c r="E43" t="s">
        <v>137</v>
      </c>
      <c r="F43" s="1">
        <f>F42/F27</f>
        <v>7.3827903118424141</v>
      </c>
      <c r="G43" s="1">
        <f>G42/G27</f>
        <v>7.3827903118424141</v>
      </c>
      <c r="H43" s="1">
        <f>H42/H27</f>
        <v>7.3827903118424167</v>
      </c>
      <c r="I43" s="1">
        <f>I42/I27</f>
        <v>7.3827903118424167</v>
      </c>
      <c r="J43" s="1">
        <f>J42/J27</f>
        <v>7.3827903118424167</v>
      </c>
      <c r="K43" t="s">
        <v>138</v>
      </c>
      <c r="L43" t="s">
        <v>139</v>
      </c>
    </row>
    <row r="44" spans="1:12" x14ac:dyDescent="0.25">
      <c r="A44">
        <v>42</v>
      </c>
      <c r="B44" t="s">
        <v>15</v>
      </c>
      <c r="C44" t="s">
        <v>163</v>
      </c>
      <c r="D44" t="s">
        <v>164</v>
      </c>
      <c r="E44" t="s">
        <v>134</v>
      </c>
      <c r="F44" s="1">
        <f>F34+F39+F42</f>
        <v>151.36662978832697</v>
      </c>
      <c r="G44" s="1">
        <f>G34+G39+G42</f>
        <v>176.91258035765483</v>
      </c>
      <c r="H44" s="1">
        <f>H34+H39+H42</f>
        <v>193.79824568586346</v>
      </c>
      <c r="I44" s="1">
        <f>I34+I39+I42</f>
        <v>210.59409364530498</v>
      </c>
      <c r="J44" s="1">
        <f>J34+J39+J42</f>
        <v>244.18578956418796</v>
      </c>
      <c r="K44" t="s">
        <v>165</v>
      </c>
      <c r="L44" t="s">
        <v>163</v>
      </c>
    </row>
    <row r="45" spans="1:12" x14ac:dyDescent="0.25">
      <c r="A45">
        <v>43</v>
      </c>
      <c r="B45" t="s">
        <v>15</v>
      </c>
      <c r="C45" t="s">
        <v>163</v>
      </c>
      <c r="D45" t="s">
        <v>166</v>
      </c>
      <c r="E45" t="s">
        <v>137</v>
      </c>
      <c r="F45" s="1">
        <f>F44/F27</f>
        <v>15.445574468196629</v>
      </c>
      <c r="G45" s="1">
        <f>G44/G27</f>
        <v>18.052304118128042</v>
      </c>
      <c r="H45" s="1">
        <f>H44/H27</f>
        <v>19.775331192435047</v>
      </c>
      <c r="I45" s="1">
        <f>I44/I27</f>
        <v>21.48919322911275</v>
      </c>
      <c r="J45" s="1">
        <f>J44/J27</f>
        <v>24.916917302468157</v>
      </c>
      <c r="K45" t="s">
        <v>138</v>
      </c>
      <c r="L45" t="s">
        <v>139</v>
      </c>
    </row>
    <row r="46" spans="1:12" x14ac:dyDescent="0.25">
      <c r="A46">
        <v>44</v>
      </c>
      <c r="B46" t="s">
        <v>8</v>
      </c>
      <c r="C46" t="s">
        <v>167</v>
      </c>
      <c r="D46" t="s">
        <v>168</v>
      </c>
      <c r="E46" t="s">
        <v>137</v>
      </c>
      <c r="F46" s="1" t="s">
        <v>169</v>
      </c>
      <c r="G46" s="1" t="s">
        <v>169</v>
      </c>
      <c r="H46" s="1" t="s">
        <v>169</v>
      </c>
      <c r="I46" s="1" t="s">
        <v>169</v>
      </c>
      <c r="J46" s="1" t="s">
        <v>169</v>
      </c>
      <c r="K46" t="s">
        <v>13</v>
      </c>
      <c r="L46" t="s">
        <v>170</v>
      </c>
    </row>
    <row r="47" spans="1:12" x14ac:dyDescent="0.25">
      <c r="A47">
        <v>45</v>
      </c>
      <c r="B47" t="s">
        <v>52</v>
      </c>
      <c r="C47" t="s">
        <v>167</v>
      </c>
      <c r="D47" t="s">
        <v>171</v>
      </c>
      <c r="E47" t="s">
        <v>134</v>
      </c>
      <c r="F47" s="1">
        <f>F46*F27</f>
        <v>490.00000000000006</v>
      </c>
      <c r="G47" s="1">
        <f>G46*G27</f>
        <v>490.00000000000006</v>
      </c>
      <c r="H47" s="1">
        <f>H46*H27</f>
        <v>490.00000000000006</v>
      </c>
      <c r="I47" s="1">
        <f>I46*I27</f>
        <v>490.00000000000006</v>
      </c>
      <c r="J47" s="1">
        <f>J46*J27</f>
        <v>490.00000000000006</v>
      </c>
      <c r="K47" t="s">
        <v>172</v>
      </c>
      <c r="L47" t="s">
        <v>173</v>
      </c>
    </row>
    <row r="48" spans="1:12" x14ac:dyDescent="0.25">
      <c r="A48">
        <v>46</v>
      </c>
      <c r="B48" t="s">
        <v>8</v>
      </c>
      <c r="C48" t="s">
        <v>174</v>
      </c>
      <c r="D48" t="s">
        <v>175</v>
      </c>
      <c r="E48" t="s">
        <v>75</v>
      </c>
      <c r="F48" s="1" t="s">
        <v>38</v>
      </c>
      <c r="G48" s="1" t="s">
        <v>38</v>
      </c>
      <c r="H48" s="1" t="s">
        <v>38</v>
      </c>
      <c r="I48" s="1" t="s">
        <v>38</v>
      </c>
      <c r="J48" s="1" t="s">
        <v>38</v>
      </c>
      <c r="K48" t="s">
        <v>13</v>
      </c>
      <c r="L48" t="s">
        <v>176</v>
      </c>
    </row>
    <row r="49" spans="1:12" x14ac:dyDescent="0.25">
      <c r="A49">
        <v>47</v>
      </c>
      <c r="B49" t="s">
        <v>8</v>
      </c>
      <c r="C49" t="s">
        <v>177</v>
      </c>
      <c r="D49" t="s">
        <v>178</v>
      </c>
      <c r="E49" t="s">
        <v>11</v>
      </c>
      <c r="F49" s="1" t="s">
        <v>102</v>
      </c>
      <c r="G49" s="1" t="s">
        <v>102</v>
      </c>
      <c r="H49" s="1" t="s">
        <v>102</v>
      </c>
      <c r="I49" s="1" t="s">
        <v>102</v>
      </c>
      <c r="J49" s="1" t="s">
        <v>102</v>
      </c>
      <c r="K49" t="s">
        <v>13</v>
      </c>
      <c r="L49" t="s">
        <v>179</v>
      </c>
    </row>
    <row r="50" spans="1:12" x14ac:dyDescent="0.25">
      <c r="A50">
        <v>48</v>
      </c>
      <c r="B50" t="s">
        <v>15</v>
      </c>
      <c r="C50" t="s">
        <v>180</v>
      </c>
      <c r="D50" t="s">
        <v>181</v>
      </c>
      <c r="E50" t="s">
        <v>80</v>
      </c>
      <c r="F50" s="1">
        <f>PI()*F49^2/4</f>
        <v>7.8539816339744823E-7</v>
      </c>
      <c r="G50" s="1">
        <f>PI()*G49^2/4</f>
        <v>7.8539816339744823E-7</v>
      </c>
      <c r="H50" s="1">
        <f>PI()*H49^2/4</f>
        <v>7.8539816339744823E-7</v>
      </c>
      <c r="I50" s="1">
        <f>PI()*I49^2/4</f>
        <v>7.8539816339744823E-7</v>
      </c>
      <c r="J50" s="1">
        <f>PI()*J49^2/4</f>
        <v>7.8539816339744823E-7</v>
      </c>
      <c r="K50" t="s">
        <v>182</v>
      </c>
      <c r="L50" t="s">
        <v>183</v>
      </c>
    </row>
    <row r="51" spans="1:12" x14ac:dyDescent="0.25">
      <c r="A51">
        <v>49</v>
      </c>
      <c r="B51" t="s">
        <v>15</v>
      </c>
      <c r="C51" t="s">
        <v>184</v>
      </c>
      <c r="D51" t="s">
        <v>185</v>
      </c>
      <c r="E51" t="s">
        <v>80</v>
      </c>
      <c r="F51" s="1">
        <f>F13/(F48*SQRT(2*F47/F24))</f>
        <v>6.3704678292163239E-5</v>
      </c>
      <c r="G51" s="1">
        <f>G13/(G48*SQRT(2*G47/G24))</f>
        <v>1.5427208415503158E-5</v>
      </c>
      <c r="H51" s="1">
        <f>H13/(H48*SQRT(2*H47/H24))</f>
        <v>8.6468953914570641E-6</v>
      </c>
      <c r="I51" s="1">
        <f>I13/(I48*SQRT(2*I47/I24))</f>
        <v>5.534013050532519E-6</v>
      </c>
      <c r="J51" s="1">
        <f>J13/(J48*SQRT(2*J47/J24))</f>
        <v>2.8234760461900609E-6</v>
      </c>
      <c r="K51" t="s">
        <v>186</v>
      </c>
      <c r="L51" t="s">
        <v>187</v>
      </c>
    </row>
    <row r="52" spans="1:12" x14ac:dyDescent="0.25">
      <c r="A52">
        <v>50</v>
      </c>
      <c r="B52" t="s">
        <v>15</v>
      </c>
      <c r="C52" t="s">
        <v>188</v>
      </c>
      <c r="D52" t="s">
        <v>189</v>
      </c>
      <c r="E52" t="s">
        <v>190</v>
      </c>
      <c r="F52" s="1">
        <f>F51/F50</f>
        <v>81.111315586213934</v>
      </c>
      <c r="G52" s="1">
        <f>G51/G50</f>
        <v>19.642531819489712</v>
      </c>
      <c r="H52" s="1">
        <f>H51/H50</f>
        <v>11.00956915159137</v>
      </c>
      <c r="I52" s="1">
        <f>I51/I50</f>
        <v>7.0461242570184739</v>
      </c>
      <c r="J52" s="1">
        <f>J51/J50</f>
        <v>3.5949613556216709</v>
      </c>
      <c r="K52" t="s">
        <v>191</v>
      </c>
      <c r="L52" t="s">
        <v>188</v>
      </c>
    </row>
    <row r="53" spans="1:12" x14ac:dyDescent="0.25">
      <c r="A53">
        <v>51</v>
      </c>
      <c r="B53" t="s">
        <v>15</v>
      </c>
      <c r="C53" t="s">
        <v>192</v>
      </c>
      <c r="D53" t="s">
        <v>193</v>
      </c>
      <c r="E53" t="s">
        <v>190</v>
      </c>
      <c r="F53" s="1">
        <f>ROUNDUP(F52,0)</f>
        <v>82</v>
      </c>
      <c r="G53" s="1">
        <f>ROUNDUP(G52,0)</f>
        <v>20</v>
      </c>
      <c r="H53" s="1">
        <f>ROUNDUP(H52,0)</f>
        <v>12</v>
      </c>
      <c r="I53" s="1">
        <f>ROUNDUP(I52,0)</f>
        <v>8</v>
      </c>
      <c r="J53" s="1">
        <f>ROUNDUP(J52,0)</f>
        <v>4</v>
      </c>
      <c r="K53" t="s">
        <v>194</v>
      </c>
      <c r="L53" t="s">
        <v>195</v>
      </c>
    </row>
    <row r="54" spans="1:12" x14ac:dyDescent="0.25">
      <c r="A54">
        <v>52</v>
      </c>
      <c r="B54" t="s">
        <v>8</v>
      </c>
      <c r="C54" t="s">
        <v>196</v>
      </c>
      <c r="D54" t="s">
        <v>197</v>
      </c>
      <c r="E54" t="s">
        <v>190</v>
      </c>
      <c r="F54" s="1">
        <f>ROUNDUP(F53*1.045,0)</f>
        <v>86</v>
      </c>
      <c r="G54" s="1">
        <f>ROUNDUP(G53*1.25,0)</f>
        <v>25</v>
      </c>
      <c r="H54" s="1">
        <v>12</v>
      </c>
      <c r="I54" s="1">
        <v>6</v>
      </c>
      <c r="J54" s="1">
        <v>3</v>
      </c>
      <c r="K54" t="s">
        <v>13</v>
      </c>
      <c r="L54" t="s">
        <v>198</v>
      </c>
    </row>
    <row r="55" spans="1:12" x14ac:dyDescent="0.25">
      <c r="A55">
        <v>53</v>
      </c>
      <c r="B55" t="s">
        <v>15</v>
      </c>
      <c r="C55" t="s">
        <v>199</v>
      </c>
      <c r="D55" t="s">
        <v>200</v>
      </c>
      <c r="E55" t="s">
        <v>80</v>
      </c>
      <c r="F55" s="1">
        <f>F54*F50</f>
        <v>6.7544242052180548E-5</v>
      </c>
      <c r="G55" s="1">
        <f>G54*G50</f>
        <v>1.9634954084936207E-5</v>
      </c>
      <c r="H55" s="1">
        <f>H54*H50</f>
        <v>9.4247779607693791E-6</v>
      </c>
      <c r="I55" s="1">
        <f>I54*I50</f>
        <v>4.7123889803846896E-6</v>
      </c>
      <c r="J55" s="1">
        <f>J54*J50</f>
        <v>2.3561944901923448E-6</v>
      </c>
      <c r="K55" t="s">
        <v>201</v>
      </c>
      <c r="L55" t="s">
        <v>202</v>
      </c>
    </row>
    <row r="56" spans="1:12" x14ac:dyDescent="0.25">
      <c r="A56">
        <v>54</v>
      </c>
      <c r="B56" t="s">
        <v>15</v>
      </c>
      <c r="C56" t="s">
        <v>203</v>
      </c>
      <c r="D56" t="s">
        <v>204</v>
      </c>
      <c r="E56" t="s">
        <v>54</v>
      </c>
      <c r="F56" s="1">
        <f>F48*F55*SQRT(2*F47/F24)</f>
        <v>1.2546543713558434E-3</v>
      </c>
      <c r="G56" s="1">
        <f>G48*G55*SQRT(2*G47/G24)</f>
        <v>3.6472510795228013E-4</v>
      </c>
      <c r="H56" s="1">
        <f>H48*H55*SQRT(2*H47/H24)</f>
        <v>1.7506805181709444E-4</v>
      </c>
      <c r="I56" s="1">
        <f>I48*I55*SQRT(2*I47/I24)</f>
        <v>8.7534025908547218E-5</v>
      </c>
      <c r="J56" s="1">
        <f>J48*J55*SQRT(2*J47/J24)</f>
        <v>4.3767012954273609E-5</v>
      </c>
      <c r="K56" t="s">
        <v>205</v>
      </c>
      <c r="L56" t="s">
        <v>206</v>
      </c>
    </row>
    <row r="57" spans="1:12" x14ac:dyDescent="0.25">
      <c r="A57">
        <v>55</v>
      </c>
      <c r="B57" t="s">
        <v>15</v>
      </c>
      <c r="C57" t="s">
        <v>207</v>
      </c>
      <c r="D57" t="s">
        <v>208</v>
      </c>
      <c r="E57" t="s">
        <v>46</v>
      </c>
      <c r="F57" s="1">
        <f>F56*60000</f>
        <v>75.279262281350611</v>
      </c>
      <c r="G57" s="1">
        <f>G56*60000</f>
        <v>21.883506477136809</v>
      </c>
      <c r="H57" s="1">
        <f>H56*60000</f>
        <v>10.504083109025666</v>
      </c>
      <c r="I57" s="1">
        <f>I56*60000</f>
        <v>5.2520415545128332</v>
      </c>
      <c r="J57" s="1">
        <f>J56*60000</f>
        <v>2.6260207772564166</v>
      </c>
      <c r="K57" t="s">
        <v>209</v>
      </c>
      <c r="L57" t="s">
        <v>210</v>
      </c>
    </row>
    <row r="58" spans="1:12" x14ac:dyDescent="0.25">
      <c r="A58">
        <v>56</v>
      </c>
      <c r="B58" t="s">
        <v>15</v>
      </c>
      <c r="C58" t="s">
        <v>211</v>
      </c>
      <c r="D58" t="s">
        <v>212</v>
      </c>
      <c r="E58" t="s">
        <v>134</v>
      </c>
      <c r="F58" s="1">
        <f>F24/2*(F13/(F48*F55))^2</f>
        <v>435.87510855894152</v>
      </c>
      <c r="G58" s="1">
        <f>G24/2*(G13/(G48*G55))^2</f>
        <v>302.48998012325791</v>
      </c>
      <c r="H58" s="1">
        <f>H24/2*(H13/(H48*H55))^2</f>
        <v>412.45278001944047</v>
      </c>
      <c r="I58" s="1">
        <f>I24/2*(I13/(I48*I55))^2</f>
        <v>675.76263478385079</v>
      </c>
      <c r="J58" s="1">
        <f>J24/2*(J13/(J48*J55))^2</f>
        <v>703.62623363582975</v>
      </c>
      <c r="K58" t="s">
        <v>213</v>
      </c>
      <c r="L58" t="s">
        <v>214</v>
      </c>
    </row>
    <row r="59" spans="1:12" x14ac:dyDescent="0.25">
      <c r="A59">
        <v>57</v>
      </c>
      <c r="B59" t="s">
        <v>15</v>
      </c>
      <c r="C59" t="s">
        <v>211</v>
      </c>
      <c r="D59" t="s">
        <v>215</v>
      </c>
      <c r="E59" t="s">
        <v>137</v>
      </c>
      <c r="F59" s="1">
        <f>F58/F27</f>
        <v>44.477051893769541</v>
      </c>
      <c r="G59" s="1">
        <f>G58/G27</f>
        <v>30.866324502373253</v>
      </c>
      <c r="H59" s="1">
        <f>H58/H27</f>
        <v>42.087018369330657</v>
      </c>
      <c r="I59" s="1">
        <f>I58/I27</f>
        <v>68.955370896311294</v>
      </c>
      <c r="J59" s="1">
        <f>J58/J27</f>
        <v>71.798595268962217</v>
      </c>
      <c r="K59" t="s">
        <v>138</v>
      </c>
      <c r="L59" t="s">
        <v>139</v>
      </c>
    </row>
    <row r="60" spans="1:12" x14ac:dyDescent="0.25">
      <c r="A60">
        <v>58</v>
      </c>
      <c r="B60" t="s">
        <v>15</v>
      </c>
      <c r="C60" t="s">
        <v>216</v>
      </c>
      <c r="D60" t="s">
        <v>217</v>
      </c>
      <c r="E60" t="s">
        <v>137</v>
      </c>
      <c r="F60" s="1">
        <f>F9*1000</f>
        <v>650</v>
      </c>
      <c r="G60" s="1">
        <f>G9*1000</f>
        <v>600</v>
      </c>
      <c r="H60" s="1">
        <f>H9*1000</f>
        <v>600</v>
      </c>
      <c r="I60" s="1">
        <f>I9*1000</f>
        <v>650</v>
      </c>
      <c r="J60" s="1">
        <f>J9*1000</f>
        <v>650</v>
      </c>
      <c r="K60" t="s">
        <v>218</v>
      </c>
      <c r="L60" t="s">
        <v>219</v>
      </c>
    </row>
    <row r="61" spans="1:12" x14ac:dyDescent="0.25">
      <c r="A61">
        <v>59</v>
      </c>
      <c r="B61" t="s">
        <v>15</v>
      </c>
      <c r="C61" t="s">
        <v>216</v>
      </c>
      <c r="D61" t="s">
        <v>220</v>
      </c>
      <c r="E61" t="s">
        <v>134</v>
      </c>
      <c r="F61" s="1">
        <f>F60*F27</f>
        <v>6370.0000000000009</v>
      </c>
      <c r="G61" s="1">
        <f>G60*G27</f>
        <v>5880</v>
      </c>
      <c r="H61" s="1">
        <f>H60*H27</f>
        <v>5880</v>
      </c>
      <c r="I61" s="1">
        <f>I60*I27</f>
        <v>6370.0000000000009</v>
      </c>
      <c r="J61" s="1">
        <f>J60*J27</f>
        <v>6370.0000000000009</v>
      </c>
      <c r="K61" t="s">
        <v>172</v>
      </c>
      <c r="L61" t="s">
        <v>173</v>
      </c>
    </row>
    <row r="62" spans="1:12" x14ac:dyDescent="0.25">
      <c r="A62">
        <v>60</v>
      </c>
      <c r="B62" t="s">
        <v>15</v>
      </c>
      <c r="C62" t="s">
        <v>221</v>
      </c>
      <c r="D62" t="s">
        <v>222</v>
      </c>
      <c r="E62" t="s">
        <v>134</v>
      </c>
      <c r="F62" s="1">
        <f>F61+F44+F58</f>
        <v>6957.2417383472693</v>
      </c>
      <c r="G62" s="1">
        <f>G61+G44+G58</f>
        <v>6359.4025604809121</v>
      </c>
      <c r="H62" s="1">
        <f>H61+H44+H58</f>
        <v>6486.2510257053036</v>
      </c>
      <c r="I62" s="1">
        <f>I61+I44+I58</f>
        <v>7256.3567284291566</v>
      </c>
      <c r="J62" s="1">
        <f>J61+J44+J58</f>
        <v>7317.8120232000183</v>
      </c>
      <c r="K62" t="s">
        <v>223</v>
      </c>
      <c r="L62" t="s">
        <v>224</v>
      </c>
    </row>
    <row r="63" spans="1:12" x14ac:dyDescent="0.25">
      <c r="A63">
        <v>61</v>
      </c>
      <c r="B63" t="s">
        <v>15</v>
      </c>
      <c r="C63" t="s">
        <v>221</v>
      </c>
      <c r="D63" t="s">
        <v>225</v>
      </c>
      <c r="E63" t="s">
        <v>137</v>
      </c>
      <c r="F63" s="1">
        <f>F62/F27</f>
        <v>709.92262636196619</v>
      </c>
      <c r="G63" s="1">
        <f>G62/G27</f>
        <v>648.91862862050118</v>
      </c>
      <c r="H63" s="1">
        <f>H62/H27</f>
        <v>661.86234956176565</v>
      </c>
      <c r="I63" s="1">
        <f>I62/I27</f>
        <v>740.44456412542411</v>
      </c>
      <c r="J63" s="1">
        <f>J62/J27</f>
        <v>746.71551257143039</v>
      </c>
      <c r="K63" t="s">
        <v>226</v>
      </c>
      <c r="L63" t="s">
        <v>227</v>
      </c>
    </row>
    <row r="64" spans="1:12" x14ac:dyDescent="0.25">
      <c r="A64">
        <v>62</v>
      </c>
      <c r="B64" t="s">
        <v>8</v>
      </c>
      <c r="C64" t="s">
        <v>228</v>
      </c>
      <c r="D64" t="s">
        <v>229</v>
      </c>
      <c r="E64" t="s">
        <v>75</v>
      </c>
      <c r="F64" s="1" t="s">
        <v>94</v>
      </c>
      <c r="G64" s="1" t="s">
        <v>94</v>
      </c>
      <c r="H64" s="1" t="s">
        <v>94</v>
      </c>
      <c r="I64" s="1" t="s">
        <v>94</v>
      </c>
      <c r="J64" s="1" t="s">
        <v>94</v>
      </c>
      <c r="K64" t="s">
        <v>13</v>
      </c>
      <c r="L64" t="s">
        <v>230</v>
      </c>
    </row>
    <row r="65" spans="1:12" x14ac:dyDescent="0.25">
      <c r="A65">
        <v>63</v>
      </c>
      <c r="B65" t="s">
        <v>15</v>
      </c>
      <c r="C65" t="s">
        <v>231</v>
      </c>
      <c r="D65" t="s">
        <v>232</v>
      </c>
      <c r="E65" t="s">
        <v>137</v>
      </c>
      <c r="F65" s="1">
        <f>F63*F64</f>
        <v>851.90715163435937</v>
      </c>
      <c r="G65" s="1">
        <f>G63*G64</f>
        <v>778.70235434460142</v>
      </c>
      <c r="H65" s="1">
        <f>H63*H64</f>
        <v>794.23481947411881</v>
      </c>
      <c r="I65" s="1">
        <f>I63*I64</f>
        <v>888.53347695050888</v>
      </c>
      <c r="J65" s="1">
        <f>J63*J64</f>
        <v>896.0586150857165</v>
      </c>
      <c r="K65" t="s">
        <v>233</v>
      </c>
      <c r="L65" t="s">
        <v>231</v>
      </c>
    </row>
    <row r="66" spans="1:12" x14ac:dyDescent="0.25">
      <c r="A66">
        <v>64</v>
      </c>
      <c r="B66" t="s">
        <v>15</v>
      </c>
      <c r="C66" t="s">
        <v>231</v>
      </c>
      <c r="D66" t="s">
        <v>234</v>
      </c>
      <c r="E66" t="s">
        <v>134</v>
      </c>
      <c r="F66" s="1">
        <f>F65*F27</f>
        <v>8348.6900860167225</v>
      </c>
      <c r="G66" s="1">
        <f>G65*G27</f>
        <v>7631.2830725770946</v>
      </c>
      <c r="H66" s="1">
        <f>H65*H27</f>
        <v>7783.5012308463647</v>
      </c>
      <c r="I66" s="1">
        <f>I65*I27</f>
        <v>8707.6280741149876</v>
      </c>
      <c r="J66" s="1">
        <f>J65*J27</f>
        <v>8781.3744278400227</v>
      </c>
      <c r="K66" t="s">
        <v>172</v>
      </c>
      <c r="L66" t="s">
        <v>173</v>
      </c>
    </row>
    <row r="67" spans="1:12" x14ac:dyDescent="0.25">
      <c r="A67">
        <v>65</v>
      </c>
      <c r="B67" t="s">
        <v>15</v>
      </c>
      <c r="C67" t="s">
        <v>235</v>
      </c>
      <c r="D67" t="s">
        <v>236</v>
      </c>
      <c r="E67" t="s">
        <v>237</v>
      </c>
      <c r="F67" s="1">
        <f>F13*F62</f>
        <v>8.2327360570442689</v>
      </c>
      <c r="G67" s="1">
        <f>G13*G62</f>
        <v>1.8223820773037218</v>
      </c>
      <c r="H67" s="1">
        <f>H13*H62</f>
        <v>1.041812895587662</v>
      </c>
      <c r="I67" s="1">
        <f>I13*I62</f>
        <v>0.74592399063948411</v>
      </c>
      <c r="J67" s="1">
        <f>J13*J62</f>
        <v>0.38379660472554122</v>
      </c>
      <c r="K67" t="s">
        <v>238</v>
      </c>
      <c r="L67" t="s">
        <v>239</v>
      </c>
    </row>
    <row r="68" spans="1:12" x14ac:dyDescent="0.25">
      <c r="A68">
        <v>66</v>
      </c>
      <c r="B68" t="s">
        <v>8</v>
      </c>
      <c r="C68" t="s">
        <v>240</v>
      </c>
      <c r="D68" t="s">
        <v>241</v>
      </c>
      <c r="E68" t="s">
        <v>75</v>
      </c>
      <c r="F68" s="1" t="s">
        <v>242</v>
      </c>
      <c r="G68" s="1" t="s">
        <v>242</v>
      </c>
      <c r="H68" s="1" t="s">
        <v>242</v>
      </c>
      <c r="I68" s="1" t="s">
        <v>242</v>
      </c>
      <c r="J68" s="1" t="s">
        <v>242</v>
      </c>
      <c r="K68" t="s">
        <v>13</v>
      </c>
      <c r="L68" t="s">
        <v>243</v>
      </c>
    </row>
    <row r="69" spans="1:12" s="35" customFormat="1" x14ac:dyDescent="0.25">
      <c r="A69" s="35">
        <v>67</v>
      </c>
      <c r="B69" s="35" t="s">
        <v>15</v>
      </c>
      <c r="C69" s="35" t="s">
        <v>244</v>
      </c>
      <c r="D69" s="35" t="s">
        <v>245</v>
      </c>
      <c r="E69" s="35" t="s">
        <v>237</v>
      </c>
      <c r="F69" s="36">
        <f>F67/F68</f>
        <v>20.58184014261067</v>
      </c>
      <c r="G69" s="36">
        <f>G67/G68</f>
        <v>4.5559551932593045</v>
      </c>
      <c r="H69" s="36">
        <f>H67/H68</f>
        <v>2.604532238969155</v>
      </c>
      <c r="I69" s="36">
        <f>I67/I68</f>
        <v>1.8648099765987103</v>
      </c>
      <c r="J69" s="36">
        <f>J67/J68</f>
        <v>0.95949151181385306</v>
      </c>
      <c r="K69" s="37" t="s">
        <v>246</v>
      </c>
      <c r="L69" s="35" t="s">
        <v>247</v>
      </c>
    </row>
    <row r="70" spans="1:12" x14ac:dyDescent="0.25">
      <c r="A70">
        <v>68</v>
      </c>
      <c r="B70" t="s">
        <v>248</v>
      </c>
      <c r="C70" t="s">
        <v>249</v>
      </c>
      <c r="D70" t="s">
        <v>250</v>
      </c>
      <c r="E70" t="s">
        <v>237</v>
      </c>
      <c r="F70" s="1">
        <f>ROUNDDOWN(1.5*F69,0)</f>
        <v>30</v>
      </c>
      <c r="G70" s="1">
        <f>ROUNDDOWN(1.5*G69,0)</f>
        <v>6</v>
      </c>
      <c r="H70" s="1">
        <f>ROUNDDOWN(1.5*H69,0)</f>
        <v>3</v>
      </c>
      <c r="I70" s="1">
        <f>ROUNDDOWN(1.5*I69,0)</f>
        <v>2</v>
      </c>
      <c r="J70" s="1">
        <f>ROUNDDOWN(1.5*J69,0)</f>
        <v>1</v>
      </c>
      <c r="K70" t="s">
        <v>13</v>
      </c>
      <c r="L70" t="s">
        <v>251</v>
      </c>
    </row>
    <row r="71" spans="1:12" x14ac:dyDescent="0.25">
      <c r="A71">
        <v>69</v>
      </c>
      <c r="B71" t="s">
        <v>248</v>
      </c>
      <c r="C71" t="s">
        <v>252</v>
      </c>
      <c r="D71" t="s">
        <v>253</v>
      </c>
      <c r="E71" t="s">
        <v>237</v>
      </c>
      <c r="F71" s="1">
        <f>ROUNDDOWN(3*F69,0)</f>
        <v>61</v>
      </c>
      <c r="G71" s="1">
        <f>ROUNDDOWN(3*G69,0)</f>
        <v>13</v>
      </c>
      <c r="H71" s="1">
        <f>ROUNDDOWN(3*H69,0)</f>
        <v>7</v>
      </c>
      <c r="I71" s="1">
        <f>ROUNDDOWN(3*I69,0)</f>
        <v>5</v>
      </c>
      <c r="J71" s="1">
        <f>ROUNDDOWN(3*J69,0)</f>
        <v>2</v>
      </c>
      <c r="K71" t="s">
        <v>13</v>
      </c>
      <c r="L71" t="s">
        <v>251</v>
      </c>
    </row>
    <row r="72" spans="1:12" x14ac:dyDescent="0.25">
      <c r="A72">
        <v>70</v>
      </c>
      <c r="B72" t="s">
        <v>8</v>
      </c>
      <c r="C72" t="s">
        <v>254</v>
      </c>
      <c r="D72" t="s">
        <v>255</v>
      </c>
      <c r="E72" t="s">
        <v>256</v>
      </c>
      <c r="F72" s="1" t="s">
        <v>257</v>
      </c>
      <c r="G72" s="1" t="s">
        <v>257</v>
      </c>
      <c r="H72" s="1" t="s">
        <v>257</v>
      </c>
      <c r="I72" s="1" t="s">
        <v>257</v>
      </c>
      <c r="J72" s="1" t="s">
        <v>257</v>
      </c>
      <c r="K72" t="s">
        <v>13</v>
      </c>
      <c r="L72" t="s">
        <v>258</v>
      </c>
    </row>
    <row r="73" spans="1:12" x14ac:dyDescent="0.25">
      <c r="A73">
        <v>71</v>
      </c>
      <c r="B73" t="s">
        <v>15</v>
      </c>
      <c r="C73" t="s">
        <v>259</v>
      </c>
      <c r="D73" t="s">
        <v>260</v>
      </c>
      <c r="E73" t="s">
        <v>11</v>
      </c>
      <c r="F73" s="1">
        <f>((6*F72*F49)/(F27*(F23-F24)))^(1/3)</f>
        <v>3.5339444005473442E-3</v>
      </c>
      <c r="G73" s="1">
        <f>((6*G72*G49)/(G27*(G23-G24)))^(1/3)</f>
        <v>3.5339444005473442E-3</v>
      </c>
      <c r="H73" s="1">
        <f>((6*H72*H49)/(H27*(H23-H24)))^(1/3)</f>
        <v>3.5339444005473442E-3</v>
      </c>
      <c r="I73" s="1">
        <f>((6*I72*I49)/(I27*(I23-I24)))^(1/3)</f>
        <v>3.5339444005473442E-3</v>
      </c>
      <c r="J73" s="1">
        <f>((6*J72*J49)/(J27*(J23-J24)))^(1/3)</f>
        <v>3.5339444005473442E-3</v>
      </c>
      <c r="K73" t="s">
        <v>261</v>
      </c>
      <c r="L73" t="s">
        <v>262</v>
      </c>
    </row>
    <row r="74" spans="1:12" x14ac:dyDescent="0.25">
      <c r="A74">
        <v>72</v>
      </c>
      <c r="B74" t="s">
        <v>15</v>
      </c>
      <c r="C74" t="s">
        <v>259</v>
      </c>
      <c r="D74" t="s">
        <v>263</v>
      </c>
      <c r="E74" t="s">
        <v>264</v>
      </c>
      <c r="F74" s="1">
        <f>F73*1000</f>
        <v>3.5339444005473442</v>
      </c>
      <c r="G74" s="1">
        <f>G73*1000</f>
        <v>3.5339444005473442</v>
      </c>
      <c r="H74" s="1">
        <f>H73*1000</f>
        <v>3.5339444005473442</v>
      </c>
      <c r="I74" s="1">
        <f>I73*1000</f>
        <v>3.5339444005473442</v>
      </c>
      <c r="J74" s="1">
        <f>J73*1000</f>
        <v>3.5339444005473442</v>
      </c>
      <c r="K74" t="s">
        <v>265</v>
      </c>
      <c r="L74" t="s">
        <v>266</v>
      </c>
    </row>
    <row r="75" spans="1:12" x14ac:dyDescent="0.25">
      <c r="A75">
        <v>73</v>
      </c>
      <c r="B75" t="s">
        <v>15</v>
      </c>
      <c r="C75" t="s">
        <v>267</v>
      </c>
      <c r="D75" t="s">
        <v>268</v>
      </c>
      <c r="E75" t="s">
        <v>269</v>
      </c>
      <c r="F75" s="1">
        <f>F8/F29</f>
        <v>1.8784512595377478</v>
      </c>
      <c r="G75" s="1">
        <f>G8/G29</f>
        <v>1.8784512595377478</v>
      </c>
      <c r="H75" s="1">
        <f>H8/H29</f>
        <v>1.8784512595377474</v>
      </c>
      <c r="I75" s="1">
        <f>I8/I29</f>
        <v>1.8784512595377474</v>
      </c>
      <c r="J75" s="1">
        <f>J8/J29</f>
        <v>1.8784512595377474</v>
      </c>
      <c r="K75" t="s">
        <v>270</v>
      </c>
      <c r="L75" t="s">
        <v>271</v>
      </c>
    </row>
    <row r="76" spans="1:12" x14ac:dyDescent="0.25">
      <c r="A76">
        <v>74</v>
      </c>
      <c r="B76" t="s">
        <v>15</v>
      </c>
      <c r="C76" t="s">
        <v>272</v>
      </c>
      <c r="D76" t="s">
        <v>273</v>
      </c>
      <c r="E76" t="s">
        <v>274</v>
      </c>
      <c r="F76" s="1">
        <f>F25*F18</f>
        <v>1.2330866666666667</v>
      </c>
      <c r="G76" s="1">
        <f>G25*G18</f>
        <v>0.29861362636195748</v>
      </c>
      <c r="H76" s="1">
        <f>H25*H18</f>
        <v>0.16737187442289941</v>
      </c>
      <c r="I76" s="1">
        <f>I25*I18</f>
        <v>0.1071179996306556</v>
      </c>
      <c r="J76" s="1">
        <f>J25*J18</f>
        <v>5.4652040627885513E-2</v>
      </c>
      <c r="K76" t="s">
        <v>275</v>
      </c>
      <c r="L76" t="s">
        <v>272</v>
      </c>
    </row>
    <row r="77" spans="1:12" x14ac:dyDescent="0.25">
      <c r="A77">
        <v>75</v>
      </c>
      <c r="B77" t="s">
        <v>15</v>
      </c>
      <c r="C77" t="s">
        <v>276</v>
      </c>
      <c r="D77" t="s">
        <v>277</v>
      </c>
      <c r="E77" t="s">
        <v>278</v>
      </c>
      <c r="F77" s="1">
        <f>F76*F29</f>
        <v>0.65643793545652418</v>
      </c>
      <c r="G77" s="1">
        <f>G76*G29</f>
        <v>0.15896799283226587</v>
      </c>
      <c r="H77" s="1">
        <f>H76*H29</f>
        <v>8.9100994009334356E-2</v>
      </c>
      <c r="I77" s="1">
        <f>I76*I29</f>
        <v>5.7024636165973974E-2</v>
      </c>
      <c r="J77" s="1">
        <f>J76*J29</f>
        <v>2.9094202125496928E-2</v>
      </c>
      <c r="K77" t="s">
        <v>279</v>
      </c>
      <c r="L77" t="s">
        <v>280</v>
      </c>
    </row>
    <row r="78" spans="1:12" x14ac:dyDescent="0.25">
      <c r="A78">
        <v>76</v>
      </c>
      <c r="B78" t="s">
        <v>15</v>
      </c>
      <c r="C78" t="s">
        <v>281</v>
      </c>
      <c r="D78" t="s">
        <v>282</v>
      </c>
      <c r="E78" t="s">
        <v>283</v>
      </c>
      <c r="F78" s="1">
        <f>F6/F16</f>
        <v>0.52430729897529249</v>
      </c>
      <c r="G78" s="1">
        <f t="shared" ref="G78:J78" si="2">G6/G16</f>
        <v>0.47543541540094741</v>
      </c>
      <c r="H78" s="1">
        <f t="shared" si="2"/>
        <v>0.84823984903855731</v>
      </c>
      <c r="I78" s="1">
        <f t="shared" si="2"/>
        <v>1.5088881930012801</v>
      </c>
      <c r="J78" s="1">
        <f t="shared" si="2"/>
        <v>2.9574208582825086</v>
      </c>
      <c r="K78" t="s">
        <v>339</v>
      </c>
      <c r="L78" t="s">
        <v>284</v>
      </c>
    </row>
    <row r="79" spans="1:12" x14ac:dyDescent="0.25">
      <c r="A79">
        <v>77</v>
      </c>
      <c r="B79" t="s">
        <v>15</v>
      </c>
      <c r="C79" t="s">
        <v>285</v>
      </c>
      <c r="D79" t="s">
        <v>286</v>
      </c>
      <c r="E79" t="s">
        <v>75</v>
      </c>
      <c r="F79" s="1">
        <f>F59/F35</f>
        <v>17.609851899576416</v>
      </c>
      <c r="G79" s="1">
        <f>G59/G35</f>
        <v>6.0139891226650102</v>
      </c>
      <c r="H79" s="1">
        <f>H59/H35</f>
        <v>6.1392074549529827</v>
      </c>
      <c r="I79" s="1">
        <f>I59/I35</f>
        <v>8.0467819953559658</v>
      </c>
      <c r="J79" s="1">
        <f>J59/J35</f>
        <v>5.9846953615725367</v>
      </c>
      <c r="K79" t="s">
        <v>291</v>
      </c>
      <c r="L79" t="s">
        <v>292</v>
      </c>
    </row>
    <row r="80" spans="1:12" x14ac:dyDescent="0.25">
      <c r="A80">
        <v>78</v>
      </c>
      <c r="B80" t="s">
        <v>248</v>
      </c>
      <c r="C80" t="s">
        <v>287</v>
      </c>
      <c r="D80" t="s">
        <v>288</v>
      </c>
      <c r="E80" t="s">
        <v>75</v>
      </c>
      <c r="F80" s="1" t="str">
        <f>IF(F79&gt;=5,"Aman","Perlu evaluasi header/diffuser")</f>
        <v>Aman</v>
      </c>
      <c r="G80" s="1" t="str">
        <f>IF(G79&gt;=5,"Aman","Perlu evaluasi header/diffuser")</f>
        <v>Aman</v>
      </c>
      <c r="H80" s="1" t="str">
        <f>IF(H79&gt;=5,"Aman","Perlu evaluasi header/diffuser")</f>
        <v>Aman</v>
      </c>
      <c r="I80" s="1" t="str">
        <f>IF(I79&gt;=5,"Aman","Perlu evaluasi header/diffuser")</f>
        <v>Aman</v>
      </c>
      <c r="J80" s="1" t="str">
        <f>IF(J79&gt;=5,"Aman","Perlu evaluasi header/diffuser")</f>
        <v>Aman</v>
      </c>
      <c r="K80" t="s">
        <v>289</v>
      </c>
      <c r="L80" t="s">
        <v>290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44AB43-735A-4F75-91A8-6BEAE3974E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PVC</vt:lpstr>
      <vt:lpstr>airlift-model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 Oxo Nusantara</dc:creator>
  <cp:lastModifiedBy>Petro Oxo Nusantara</cp:lastModifiedBy>
  <dcterms:created xsi:type="dcterms:W3CDTF">2026-06-16T13:13:55Z</dcterms:created>
  <dcterms:modified xsi:type="dcterms:W3CDTF">2026-06-21T22:51:20Z</dcterms:modified>
</cp:coreProperties>
</file>