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294\Documents\Projects\kawruhnology\docs\"/>
    </mc:Choice>
  </mc:AlternateContent>
  <xr:revisionPtr revIDLastSave="0" documentId="13_ncr:1_{A4322889-B781-4513-A1F1-CDFA49A940DB}" xr6:coauthVersionLast="47" xr6:coauthVersionMax="47" xr10:uidLastSave="{00000000-0000-0000-0000-000000000000}"/>
  <bookViews>
    <workbookView xWindow="-90" yWindow="0" windowWidth="18705" windowHeight="15585" activeTab="1" xr2:uid="{00000000-000D-0000-FFFF-FFFF00000000}"/>
  </bookViews>
  <sheets>
    <sheet name="General_Model" sheetId="1" r:id="rId1"/>
    <sheet name="Solver_C" sheetId="2" r:id="rId2"/>
    <sheet name="Solver_D" sheetId="3" r:id="rId3"/>
    <sheet name="Solver_E" sheetId="4" r:id="rId4"/>
    <sheet name="Model_Notes" sheetId="5" r:id="rId5"/>
  </sheets>
  <definedNames>
    <definedName name="_xlnm._FilterDatabase" localSheetId="1" hidden="1">Solver_C!$A$2:$C$1002</definedName>
    <definedName name="_xlnm._FilterDatabase" localSheetId="2" hidden="1">Solver_D!$A$2:$C$1002</definedName>
    <definedName name="_xlnm._FilterDatabase" localSheetId="3" hidden="1">Solver_E!$A$2:$C$1002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24" i="1"/>
  <c r="E23" i="1"/>
  <c r="D23" i="1"/>
  <c r="C23" i="1"/>
  <c r="E21" i="1"/>
  <c r="E22" i="1" s="1"/>
  <c r="D21" i="1"/>
  <c r="D22" i="1" s="1"/>
  <c r="D24" i="1" s="1"/>
  <c r="C21" i="1"/>
  <c r="C22" i="1" s="1"/>
  <c r="E20" i="1"/>
  <c r="D20" i="1"/>
  <c r="C20" i="1"/>
  <c r="E24" i="1" l="1"/>
  <c r="B96" i="2"/>
  <c r="B583" i="2"/>
  <c r="B773" i="2"/>
  <c r="B223" i="2"/>
  <c r="B26" i="2"/>
  <c r="B342" i="2"/>
  <c r="B850" i="2"/>
  <c r="B556" i="2"/>
  <c r="B936" i="2"/>
  <c r="C936" i="2" s="1"/>
  <c r="B785" i="2"/>
  <c r="C785" i="2" s="1"/>
  <c r="B202" i="2"/>
  <c r="B967" i="2"/>
  <c r="B532" i="2"/>
  <c r="B958" i="2"/>
  <c r="B76" i="2"/>
  <c r="B962" i="2"/>
  <c r="B352" i="2"/>
  <c r="B808" i="2"/>
  <c r="B331" i="2"/>
  <c r="B685" i="2"/>
  <c r="B993" i="2"/>
  <c r="B555" i="2"/>
  <c r="C555" i="2" s="1"/>
  <c r="B268" i="2"/>
  <c r="B896" i="2"/>
  <c r="B795" i="2"/>
  <c r="B898" i="2"/>
  <c r="B699" i="2"/>
  <c r="B925" i="2"/>
  <c r="B802" i="2"/>
  <c r="B356" i="2"/>
  <c r="B278" i="2"/>
  <c r="B415" i="2"/>
  <c r="B471" i="2"/>
  <c r="B146" i="2"/>
  <c r="B893" i="2"/>
  <c r="B605" i="2"/>
  <c r="B100" i="2"/>
  <c r="B615" i="2"/>
  <c r="B74" i="2"/>
  <c r="B702" i="2"/>
  <c r="B212" i="2"/>
  <c r="B511" i="2"/>
  <c r="B110" i="2"/>
  <c r="B504" i="2"/>
  <c r="B871" i="2"/>
  <c r="B483" i="2"/>
  <c r="B569" i="2"/>
  <c r="B742" i="2"/>
  <c r="B185" i="2"/>
  <c r="B368" i="2"/>
  <c r="B312" i="2"/>
  <c r="B139" i="2"/>
  <c r="B819" i="2"/>
  <c r="B708" i="2"/>
  <c r="B492" i="2"/>
  <c r="C492" i="2" s="1"/>
  <c r="B360" i="2"/>
  <c r="B572" i="2"/>
  <c r="B7" i="2"/>
  <c r="B712" i="2"/>
  <c r="B197" i="2"/>
  <c r="B37" i="2"/>
  <c r="B81" i="2"/>
  <c r="B452" i="2"/>
  <c r="B600" i="2"/>
  <c r="B214" i="2"/>
  <c r="B786" i="2"/>
  <c r="B771" i="2"/>
  <c r="B668" i="2"/>
  <c r="B688" i="2"/>
  <c r="B88" i="2"/>
  <c r="B946" i="2"/>
  <c r="B18" i="2"/>
  <c r="B523" i="2"/>
  <c r="B980" i="2"/>
  <c r="B163" i="2"/>
  <c r="B493" i="2"/>
  <c r="B877" i="2"/>
  <c r="B577" i="2"/>
  <c r="B927" i="2"/>
  <c r="B749" i="2"/>
  <c r="B299" i="2"/>
  <c r="B309" i="2"/>
  <c r="B56" i="2"/>
  <c r="B541" i="2"/>
  <c r="B385" i="2"/>
  <c r="B713" i="2"/>
  <c r="B937" i="2"/>
  <c r="B306" i="2"/>
  <c r="B372" i="2"/>
  <c r="B380" i="2"/>
  <c r="B403" i="2"/>
  <c r="B118" i="2"/>
  <c r="B145" i="2"/>
  <c r="C145" i="2" s="1"/>
  <c r="B479" i="2"/>
  <c r="B320" i="2"/>
  <c r="B282" i="2"/>
  <c r="B418" i="2"/>
  <c r="B144" i="2"/>
  <c r="C144" i="2" s="1"/>
  <c r="B193" i="2"/>
  <c r="B588" i="2"/>
  <c r="B293" i="2"/>
  <c r="C293" i="2" s="1"/>
  <c r="B355" i="2"/>
  <c r="B317" i="2"/>
  <c r="C317" i="2" s="1"/>
  <c r="B897" i="2"/>
  <c r="C897" i="2" s="1"/>
  <c r="B568" i="2"/>
  <c r="C568" i="2" s="1"/>
  <c r="B225" i="2"/>
  <c r="B806" i="2"/>
  <c r="B252" i="2"/>
  <c r="B735" i="2"/>
  <c r="B311" i="2"/>
  <c r="B120" i="2"/>
  <c r="B104" i="2"/>
  <c r="B101" i="2"/>
  <c r="B612" i="2"/>
  <c r="B915" i="2"/>
  <c r="B768" i="2"/>
  <c r="B700" i="2"/>
  <c r="B521" i="2"/>
  <c r="B753" i="2"/>
  <c r="B517" i="2"/>
  <c r="B653" i="2"/>
  <c r="B203" i="2"/>
  <c r="B865" i="2"/>
  <c r="B940" i="2"/>
  <c r="B116" i="2"/>
  <c r="B450" i="2"/>
  <c r="B870" i="2"/>
  <c r="C870" i="2" s="1"/>
  <c r="B488" i="2"/>
  <c r="B387" i="2"/>
  <c r="B466" i="2"/>
  <c r="B410" i="2"/>
  <c r="B48" i="2"/>
  <c r="B440" i="2"/>
  <c r="B690" i="2"/>
  <c r="B874" i="2"/>
  <c r="B318" i="2"/>
  <c r="B529" i="2"/>
  <c r="B294" i="2"/>
  <c r="C25" i="1"/>
  <c r="C26" i="1"/>
  <c r="B148" i="2" s="1"/>
  <c r="B913" i="4"/>
  <c r="B688" i="4"/>
  <c r="B215" i="4"/>
  <c r="C215" i="4" s="1"/>
  <c r="B673" i="4"/>
  <c r="B977" i="4"/>
  <c r="B216" i="4"/>
  <c r="B267" i="4"/>
  <c r="B397" i="4"/>
  <c r="B928" i="4"/>
  <c r="B149" i="4"/>
  <c r="B623" i="4"/>
  <c r="B940" i="4"/>
  <c r="E5" i="1"/>
  <c r="E25" i="1" s="1"/>
  <c r="E26" i="1"/>
  <c r="B301" i="4" s="1"/>
  <c r="D5" i="1"/>
  <c r="D25" i="1" s="1"/>
  <c r="D26" i="1" s="1"/>
  <c r="B3" i="3" l="1"/>
  <c r="B872" i="3"/>
  <c r="B640" i="3"/>
  <c r="B826" i="3"/>
  <c r="C826" i="3" s="1"/>
  <c r="B637" i="3"/>
  <c r="C637" i="3" s="1"/>
  <c r="B426" i="3"/>
  <c r="C426" i="3" s="1"/>
  <c r="B814" i="3"/>
  <c r="B879" i="3"/>
  <c r="B611" i="3"/>
  <c r="B425" i="3"/>
  <c r="B827" i="3"/>
  <c r="B813" i="3"/>
  <c r="C813" i="3" s="1"/>
  <c r="B878" i="3"/>
  <c r="C878" i="3" s="1"/>
  <c r="B610" i="3"/>
  <c r="B667" i="3"/>
  <c r="C667" i="3" s="1"/>
  <c r="B509" i="3"/>
  <c r="C509" i="3" s="1"/>
  <c r="B5" i="3"/>
  <c r="B607" i="3"/>
  <c r="B972" i="3"/>
  <c r="B898" i="3"/>
  <c r="B590" i="3"/>
  <c r="B399" i="3"/>
  <c r="B833" i="3"/>
  <c r="B700" i="3"/>
  <c r="B508" i="3"/>
  <c r="B210" i="3"/>
  <c r="B433" i="3"/>
  <c r="B622" i="3"/>
  <c r="C622" i="3" s="1"/>
  <c r="B563" i="3"/>
  <c r="B498" i="3"/>
  <c r="C498" i="3" s="1"/>
  <c r="B970" i="3"/>
  <c r="B755" i="3"/>
  <c r="B897" i="3"/>
  <c r="C897" i="3" s="1"/>
  <c r="B422" i="3"/>
  <c r="C422" i="3" s="1"/>
  <c r="B966" i="3"/>
  <c r="B636" i="3"/>
  <c r="C636" i="3" s="1"/>
  <c r="B892" i="3"/>
  <c r="C892" i="3" s="1"/>
  <c r="B555" i="3"/>
  <c r="B912" i="3"/>
  <c r="C912" i="3" s="1"/>
  <c r="B956" i="3"/>
  <c r="C956" i="3" s="1"/>
  <c r="B99" i="3"/>
  <c r="C99" i="3" s="1"/>
  <c r="B614" i="3"/>
  <c r="C614" i="3" s="1"/>
  <c r="B981" i="3"/>
  <c r="B816" i="3"/>
  <c r="B683" i="3"/>
  <c r="B154" i="3"/>
  <c r="B511" i="3"/>
  <c r="B236" i="3"/>
  <c r="C236" i="3" s="1"/>
  <c r="B630" i="3"/>
  <c r="C630" i="3" s="1"/>
  <c r="B579" i="3"/>
  <c r="B651" i="3"/>
  <c r="B873" i="3"/>
  <c r="C873" i="3" s="1"/>
  <c r="B724" i="3"/>
  <c r="C724" i="3" s="1"/>
  <c r="B789" i="3"/>
  <c r="C789" i="3" s="1"/>
  <c r="B519" i="3"/>
  <c r="B499" i="3"/>
  <c r="B978" i="3"/>
  <c r="C978" i="3" s="1"/>
  <c r="B151" i="3"/>
  <c r="B988" i="3"/>
  <c r="B924" i="3"/>
  <c r="B357" i="3"/>
  <c r="B946" i="3"/>
  <c r="B910" i="3"/>
  <c r="B844" i="3"/>
  <c r="C844" i="3" s="1"/>
  <c r="B93" i="3"/>
  <c r="B502" i="3"/>
  <c r="B718" i="3"/>
  <c r="B338" i="3"/>
  <c r="B180" i="3"/>
  <c r="B414" i="3"/>
  <c r="B276" i="3"/>
  <c r="B992" i="3"/>
  <c r="B176" i="3"/>
  <c r="C176" i="3" s="1"/>
  <c r="B597" i="3"/>
  <c r="B388" i="3"/>
  <c r="B829" i="3"/>
  <c r="C829" i="3" s="1"/>
  <c r="B451" i="3"/>
  <c r="B187" i="3"/>
  <c r="B883" i="3"/>
  <c r="B54" i="3"/>
  <c r="B832" i="3"/>
  <c r="C832" i="3" s="1"/>
  <c r="B417" i="3"/>
  <c r="B310" i="3"/>
  <c r="B126" i="3"/>
  <c r="B497" i="3"/>
  <c r="C497" i="3" s="1"/>
  <c r="B505" i="3"/>
  <c r="B682" i="3"/>
  <c r="B868" i="3"/>
  <c r="B153" i="3"/>
  <c r="C153" i="3" s="1"/>
  <c r="B788" i="3"/>
  <c r="C788" i="3" s="1"/>
  <c r="B754" i="3"/>
  <c r="B235" i="3"/>
  <c r="B662" i="3"/>
  <c r="C662" i="3" s="1"/>
  <c r="B680" i="3"/>
  <c r="C680" i="3" s="1"/>
  <c r="B657" i="3"/>
  <c r="B523" i="3"/>
  <c r="B723" i="3"/>
  <c r="C723" i="3" s="1"/>
  <c r="B486" i="3"/>
  <c r="B727" i="3"/>
  <c r="C727" i="3" s="1"/>
  <c r="B31" i="3"/>
  <c r="C31" i="3" s="1"/>
  <c r="B540" i="3"/>
  <c r="C540" i="3" s="1"/>
  <c r="B440" i="3"/>
  <c r="C440" i="3" s="1"/>
  <c r="B285" i="3"/>
  <c r="B534" i="3"/>
  <c r="B786" i="3"/>
  <c r="C786" i="3" s="1"/>
  <c r="B758" i="3"/>
  <c r="B186" i="3"/>
  <c r="B119" i="3"/>
  <c r="B464" i="3"/>
  <c r="C464" i="3" s="1"/>
  <c r="B402" i="3"/>
  <c r="B845" i="3"/>
  <c r="B398" i="3"/>
  <c r="C398" i="3" s="1"/>
  <c r="B232" i="3"/>
  <c r="C232" i="3" s="1"/>
  <c r="B213" i="3"/>
  <c r="B594" i="3"/>
  <c r="B104" i="3"/>
  <c r="B295" i="3"/>
  <c r="C295" i="3" s="1"/>
  <c r="B421" i="3"/>
  <c r="C421" i="3" s="1"/>
  <c r="B260" i="3"/>
  <c r="B671" i="3"/>
  <c r="C671" i="3" s="1"/>
  <c r="B954" i="3"/>
  <c r="C954" i="3" s="1"/>
  <c r="B942" i="3"/>
  <c r="B528" i="3"/>
  <c r="C528" i="3" s="1"/>
  <c r="B996" i="3"/>
  <c r="C996" i="3" s="1"/>
  <c r="B174" i="3"/>
  <c r="B780" i="3"/>
  <c r="C780" i="3" s="1"/>
  <c r="B185" i="3"/>
  <c r="B169" i="3"/>
  <c r="B777" i="3"/>
  <c r="C777" i="3" s="1"/>
  <c r="B145" i="3"/>
  <c r="B606" i="3"/>
  <c r="B986" i="3"/>
  <c r="C986" i="3" s="1"/>
  <c r="B616" i="3"/>
  <c r="C616" i="3" s="1"/>
  <c r="B494" i="3"/>
  <c r="B266" i="3"/>
  <c r="B152" i="3"/>
  <c r="C152" i="3" s="1"/>
  <c r="B342" i="3"/>
  <c r="B806" i="3"/>
  <c r="B202" i="3"/>
  <c r="B965" i="3"/>
  <c r="B570" i="3"/>
  <c r="B271" i="3"/>
  <c r="C271" i="3" s="1"/>
  <c r="B974" i="3"/>
  <c r="B871" i="3"/>
  <c r="B969" i="3"/>
  <c r="C969" i="3" s="1"/>
  <c r="B306" i="3"/>
  <c r="B841" i="3"/>
  <c r="C841" i="3" s="1"/>
  <c r="B695" i="3"/>
  <c r="C695" i="3" s="1"/>
  <c r="B560" i="3"/>
  <c r="C560" i="3" s="1"/>
  <c r="B400" i="3"/>
  <c r="C400" i="3" s="1"/>
  <c r="B842" i="3"/>
  <c r="B256" i="3"/>
  <c r="B960" i="3"/>
  <c r="B546" i="3"/>
  <c r="B161" i="3"/>
  <c r="B562" i="3"/>
  <c r="C562" i="3" s="1"/>
  <c r="B714" i="3"/>
  <c r="C714" i="3" s="1"/>
  <c r="B876" i="3"/>
  <c r="B218" i="3"/>
  <c r="C218" i="3" s="1"/>
  <c r="B326" i="3"/>
  <c r="B80" i="3"/>
  <c r="C80" i="3" s="1"/>
  <c r="B572" i="3"/>
  <c r="C572" i="3" s="1"/>
  <c r="B775" i="3"/>
  <c r="B318" i="3"/>
  <c r="B44" i="3"/>
  <c r="B751" i="3"/>
  <c r="C751" i="3" s="1"/>
  <c r="B204" i="3"/>
  <c r="B424" i="3"/>
  <c r="C424" i="3" s="1"/>
  <c r="B392" i="3"/>
  <c r="C392" i="3" s="1"/>
  <c r="B456" i="3"/>
  <c r="B270" i="3"/>
  <c r="B552" i="3"/>
  <c r="C552" i="3" s="1"/>
  <c r="B599" i="3"/>
  <c r="C599" i="3" s="1"/>
  <c r="B551" i="3"/>
  <c r="B427" i="3"/>
  <c r="B985" i="3"/>
  <c r="B737" i="3"/>
  <c r="B164" i="3"/>
  <c r="B274" i="3"/>
  <c r="B588" i="3"/>
  <c r="C588" i="3" s="1"/>
  <c r="B163" i="3"/>
  <c r="C163" i="3" s="1"/>
  <c r="B123" i="3"/>
  <c r="B641" i="3"/>
  <c r="B512" i="3"/>
  <c r="C512" i="3" s="1"/>
  <c r="B963" i="3"/>
  <c r="C963" i="3" s="1"/>
  <c r="B291" i="3"/>
  <c r="C291" i="3" s="1"/>
  <c r="B507" i="3"/>
  <c r="B849" i="3"/>
  <c r="B698" i="3"/>
  <c r="C698" i="3" s="1"/>
  <c r="B65" i="3"/>
  <c r="C65" i="3" s="1"/>
  <c r="B991" i="3"/>
  <c r="B854" i="3"/>
  <c r="C854" i="3" s="1"/>
  <c r="B353" i="3"/>
  <c r="C353" i="3" s="1"/>
  <c r="B315" i="3"/>
  <c r="B242" i="3"/>
  <c r="B330" i="3"/>
  <c r="C330" i="3" s="1"/>
  <c r="B799" i="3"/>
  <c r="C799" i="3" s="1"/>
  <c r="B59" i="3"/>
  <c r="C59" i="3" s="1"/>
  <c r="B521" i="3"/>
  <c r="B56" i="3"/>
  <c r="B771" i="3"/>
  <c r="C771" i="3" s="1"/>
  <c r="B491" i="3"/>
  <c r="B272" i="3"/>
  <c r="B279" i="3"/>
  <c r="C279" i="3" s="1"/>
  <c r="B922" i="3"/>
  <c r="C922" i="3" s="1"/>
  <c r="B752" i="3"/>
  <c r="B189" i="3"/>
  <c r="B297" i="3"/>
  <c r="C297" i="3" s="1"/>
  <c r="B94" i="3"/>
  <c r="B328" i="3"/>
  <c r="C328" i="3" s="1"/>
  <c r="B645" i="3"/>
  <c r="B821" i="3"/>
  <c r="B73" i="3"/>
  <c r="B109" i="3"/>
  <c r="C109" i="3" s="1"/>
  <c r="B268" i="3"/>
  <c r="B190" i="3"/>
  <c r="B851" i="3"/>
  <c r="C851" i="3" s="1"/>
  <c r="B794" i="3"/>
  <c r="B557" i="3"/>
  <c r="B320" i="3"/>
  <c r="C320" i="3" s="1"/>
  <c r="B656" i="3"/>
  <c r="C656" i="3" s="1"/>
  <c r="B397" i="3"/>
  <c r="B436" i="3"/>
  <c r="B706" i="3"/>
  <c r="B526" i="3"/>
  <c r="B92" i="3"/>
  <c r="C92" i="3" s="1"/>
  <c r="B265" i="3"/>
  <c r="B901" i="3"/>
  <c r="B739" i="3"/>
  <c r="C739" i="3" s="1"/>
  <c r="B604" i="3"/>
  <c r="B866" i="3"/>
  <c r="C866" i="3" s="1"/>
  <c r="B674" i="3"/>
  <c r="C674" i="3" s="1"/>
  <c r="B293" i="3"/>
  <c r="B288" i="3"/>
  <c r="B793" i="3"/>
  <c r="C793" i="3" s="1"/>
  <c r="B337" i="3"/>
  <c r="C337" i="3" s="1"/>
  <c r="B124" i="3"/>
  <c r="B395" i="3"/>
  <c r="C395" i="3" s="1"/>
  <c r="B762" i="3"/>
  <c r="B43" i="3"/>
  <c r="C43" i="3" s="1"/>
  <c r="B127" i="3"/>
  <c r="C127" i="3" s="1"/>
  <c r="B867" i="3"/>
  <c r="B787" i="3"/>
  <c r="B432" i="3"/>
  <c r="C432" i="3" s="1"/>
  <c r="B947" i="3"/>
  <c r="B559" i="3"/>
  <c r="C559" i="3" s="1"/>
  <c r="B255" i="3"/>
  <c r="C255" i="3" s="1"/>
  <c r="B959" i="3"/>
  <c r="B100" i="3"/>
  <c r="B167" i="3"/>
  <c r="B200" i="3"/>
  <c r="B989" i="3"/>
  <c r="B487" i="3"/>
  <c r="B517" i="3"/>
  <c r="B980" i="3"/>
  <c r="C980" i="3" s="1"/>
  <c r="B968" i="3"/>
  <c r="C968" i="3" s="1"/>
  <c r="B35" i="3"/>
  <c r="B660" i="3"/>
  <c r="B773" i="3"/>
  <c r="B11" i="3"/>
  <c r="B450" i="3"/>
  <c r="B286" i="3"/>
  <c r="B760" i="3"/>
  <c r="B264" i="3"/>
  <c r="C264" i="3" s="1"/>
  <c r="B249" i="3"/>
  <c r="B648" i="3"/>
  <c r="B950" i="3"/>
  <c r="C950" i="3" s="1"/>
  <c r="B688" i="3"/>
  <c r="B96" i="3"/>
  <c r="C96" i="3" s="1"/>
  <c r="B925" i="3"/>
  <c r="C925" i="3" s="1"/>
  <c r="B893" i="3"/>
  <c r="B654" i="3"/>
  <c r="B28" i="3"/>
  <c r="B496" i="3"/>
  <c r="B708" i="3"/>
  <c r="B900" i="3"/>
  <c r="C900" i="3" s="1"/>
  <c r="B74" i="3"/>
  <c r="B445" i="3"/>
  <c r="B627" i="3"/>
  <c r="B130" i="3"/>
  <c r="C130" i="3" s="1"/>
  <c r="B712" i="3"/>
  <c r="B665" i="3"/>
  <c r="B880" i="3"/>
  <c r="B64" i="3"/>
  <c r="B839" i="3"/>
  <c r="B243" i="3"/>
  <c r="B596" i="3"/>
  <c r="C596" i="3" s="1"/>
  <c r="B1001" i="3"/>
  <c r="C1001" i="3" s="1"/>
  <c r="B273" i="3"/>
  <c r="C273" i="3" s="1"/>
  <c r="B932" i="3"/>
  <c r="B24" i="3"/>
  <c r="B76" i="3"/>
  <c r="C76" i="3" s="1"/>
  <c r="B472" i="3"/>
  <c r="C472" i="3" s="1"/>
  <c r="B567" i="3"/>
  <c r="B730" i="3"/>
  <c r="B785" i="3"/>
  <c r="B747" i="3"/>
  <c r="B168" i="3"/>
  <c r="C168" i="3" s="1"/>
  <c r="B569" i="3"/>
  <c r="B664" i="3"/>
  <c r="B575" i="3"/>
  <c r="C575" i="3" s="1"/>
  <c r="B280" i="3"/>
  <c r="B332" i="3"/>
  <c r="B548" i="3"/>
  <c r="C548" i="3" s="1"/>
  <c r="B999" i="3"/>
  <c r="B251" i="3"/>
  <c r="B929" i="3"/>
  <c r="B476" i="3"/>
  <c r="B603" i="3"/>
  <c r="C603" i="3" s="1"/>
  <c r="B367" i="3"/>
  <c r="B298" i="3"/>
  <c r="B836" i="3"/>
  <c r="C836" i="3" s="1"/>
  <c r="B201" i="3"/>
  <c r="C201" i="3" s="1"/>
  <c r="B863" i="3"/>
  <c r="B983" i="3"/>
  <c r="B823" i="3"/>
  <c r="C823" i="3" s="1"/>
  <c r="B407" i="3"/>
  <c r="C407" i="3" s="1"/>
  <c r="B336" i="3"/>
  <c r="C336" i="3" s="1"/>
  <c r="B321" i="3"/>
  <c r="B710" i="3"/>
  <c r="B742" i="3"/>
  <c r="C742" i="3" s="1"/>
  <c r="B393" i="3"/>
  <c r="C393" i="3" s="1"/>
  <c r="B731" i="3"/>
  <c r="B441" i="3"/>
  <c r="C441" i="3" s="1"/>
  <c r="B39" i="3"/>
  <c r="C39" i="3" s="1"/>
  <c r="B835" i="3"/>
  <c r="B22" i="3"/>
  <c r="B199" i="3"/>
  <c r="C199" i="3" s="1"/>
  <c r="B302" i="3"/>
  <c r="C302" i="3" s="1"/>
  <c r="B694" i="3"/>
  <c r="B939" i="3"/>
  <c r="B323" i="3"/>
  <c r="B97" i="3"/>
  <c r="B905" i="3"/>
  <c r="B979" i="3"/>
  <c r="B33" i="3"/>
  <c r="B475" i="3"/>
  <c r="C475" i="3" s="1"/>
  <c r="B47" i="3"/>
  <c r="B217" i="3"/>
  <c r="C217" i="3" s="1"/>
  <c r="B418" i="3"/>
  <c r="C418" i="3" s="1"/>
  <c r="B891" i="3"/>
  <c r="B98" i="3"/>
  <c r="C98" i="3" s="1"/>
  <c r="B679" i="3"/>
  <c r="B536" i="3"/>
  <c r="B601" i="3"/>
  <c r="C601" i="3" s="1"/>
  <c r="B697" i="3"/>
  <c r="C697" i="3" s="1"/>
  <c r="B15" i="3"/>
  <c r="B359" i="3"/>
  <c r="B50" i="3"/>
  <c r="C50" i="3" s="1"/>
  <c r="B699" i="3"/>
  <c r="B721" i="3"/>
  <c r="C721" i="3" s="1"/>
  <c r="B327" i="3"/>
  <c r="C327" i="3" s="1"/>
  <c r="B308" i="3"/>
  <c r="C308" i="3" s="1"/>
  <c r="B294" i="3"/>
  <c r="C294" i="3" s="1"/>
  <c r="B219" i="3"/>
  <c r="B672" i="3"/>
  <c r="B409" i="3"/>
  <c r="C409" i="3" s="1"/>
  <c r="B343" i="3"/>
  <c r="C343" i="3" s="1"/>
  <c r="B824" i="3"/>
  <c r="B639" i="3"/>
  <c r="C639" i="3" s="1"/>
  <c r="B216" i="3"/>
  <c r="C216" i="3" s="1"/>
  <c r="B617" i="3"/>
  <c r="B919" i="3"/>
  <c r="C919" i="3" s="1"/>
  <c r="B263" i="3"/>
  <c r="C263" i="3" s="1"/>
  <c r="B86" i="3"/>
  <c r="B661" i="3"/>
  <c r="C661" i="3" s="1"/>
  <c r="B951" i="3"/>
  <c r="B134" i="3"/>
  <c r="B586" i="3"/>
  <c r="C586" i="3" s="1"/>
  <c r="B67" i="3"/>
  <c r="C67" i="3" s="1"/>
  <c r="B573" i="3"/>
  <c r="B908" i="3"/>
  <c r="C908" i="3" s="1"/>
  <c r="B906" i="3"/>
  <c r="C906" i="3" s="1"/>
  <c r="B565" i="3"/>
  <c r="B382" i="3"/>
  <c r="C382" i="3" s="1"/>
  <c r="B42" i="3"/>
  <c r="C42" i="3" s="1"/>
  <c r="B132" i="3"/>
  <c r="B619" i="3"/>
  <c r="C619" i="3" s="1"/>
  <c r="B182" i="3"/>
  <c r="B764" i="3"/>
  <c r="B215" i="3"/>
  <c r="B314" i="3"/>
  <c r="C314" i="3" s="1"/>
  <c r="B589" i="3"/>
  <c r="B125" i="3"/>
  <c r="C125" i="3" s="1"/>
  <c r="B995" i="3"/>
  <c r="B920" i="3"/>
  <c r="B805" i="3"/>
  <c r="B175" i="3"/>
  <c r="C175" i="3" s="1"/>
  <c r="B928" i="3"/>
  <c r="C928" i="3" s="1"/>
  <c r="B177" i="3"/>
  <c r="C177" i="3" s="1"/>
  <c r="B254" i="3"/>
  <c r="C254" i="3" s="1"/>
  <c r="B60" i="3"/>
  <c r="B856" i="3"/>
  <c r="C856" i="3" s="1"/>
  <c r="B72" i="3"/>
  <c r="C72" i="3" s="1"/>
  <c r="B952" i="3"/>
  <c r="B455" i="3"/>
  <c r="C455" i="3" s="1"/>
  <c r="B240" i="3"/>
  <c r="C240" i="3" s="1"/>
  <c r="B281" i="3"/>
  <c r="B997" i="3"/>
  <c r="B420" i="3"/>
  <c r="C420" i="3" s="1"/>
  <c r="B933" i="3"/>
  <c r="B347" i="3"/>
  <c r="C347" i="3" s="1"/>
  <c r="B620" i="3"/>
  <c r="B977" i="3"/>
  <c r="B231" i="3"/>
  <c r="B765" i="3"/>
  <c r="C765" i="3" s="1"/>
  <c r="B171" i="3"/>
  <c r="B259" i="3"/>
  <c r="C259" i="3" s="1"/>
  <c r="B666" i="3"/>
  <c r="C666" i="3" s="1"/>
  <c r="B309" i="3"/>
  <c r="C309" i="3" s="1"/>
  <c r="B484" i="3"/>
  <c r="B71" i="3"/>
  <c r="C71" i="3" s="1"/>
  <c r="B673" i="3"/>
  <c r="B761" i="3"/>
  <c r="C761" i="3" s="1"/>
  <c r="B768" i="3"/>
  <c r="B81" i="3"/>
  <c r="B140" i="3"/>
  <c r="C140" i="3" s="1"/>
  <c r="B554" i="3"/>
  <c r="C554" i="3" s="1"/>
  <c r="B447" i="3"/>
  <c r="B225" i="3"/>
  <c r="B941" i="3"/>
  <c r="C941" i="3" s="1"/>
  <c r="B192" i="3"/>
  <c r="B375" i="3"/>
  <c r="B649" i="3"/>
  <c r="C649" i="3" s="1"/>
  <c r="B847" i="3"/>
  <c r="B319" i="3"/>
  <c r="B741" i="3"/>
  <c r="B324" i="3"/>
  <c r="B907" i="3"/>
  <c r="B282" i="3"/>
  <c r="C282" i="3" s="1"/>
  <c r="B837" i="3"/>
  <c r="B510" i="3"/>
  <c r="C510" i="3" s="1"/>
  <c r="B439" i="3"/>
  <c r="C439" i="3" s="1"/>
  <c r="B624" i="3"/>
  <c r="B212" i="3"/>
  <c r="B846" i="3"/>
  <c r="C846" i="3" s="1"/>
  <c r="B967" i="3"/>
  <c r="B564" i="3"/>
  <c r="C564" i="3" s="1"/>
  <c r="B634" i="3"/>
  <c r="B668" i="3"/>
  <c r="B211" i="3"/>
  <c r="C211" i="3" s="1"/>
  <c r="B696" i="3"/>
  <c r="C696" i="3" s="1"/>
  <c r="B913" i="3"/>
  <c r="B701" i="3"/>
  <c r="B370" i="3"/>
  <c r="C370" i="3" s="1"/>
  <c r="B716" i="3"/>
  <c r="B693" i="3"/>
  <c r="B865" i="3"/>
  <c r="C865" i="3" s="1"/>
  <c r="B848" i="3"/>
  <c r="C848" i="3" s="1"/>
  <c r="B229" i="3"/>
  <c r="C229" i="3" s="1"/>
  <c r="B602" i="3"/>
  <c r="B61" i="3"/>
  <c r="B748" i="3"/>
  <c r="B9" i="3"/>
  <c r="B448" i="3"/>
  <c r="B862" i="3"/>
  <c r="C862" i="3" s="1"/>
  <c r="B434" i="3"/>
  <c r="C434" i="3" s="1"/>
  <c r="B553" i="3"/>
  <c r="B463" i="3"/>
  <c r="B869" i="3"/>
  <c r="C869" i="3" s="1"/>
  <c r="B23" i="3"/>
  <c r="C23" i="3" s="1"/>
  <c r="B955" i="3"/>
  <c r="B728" i="3"/>
  <c r="B887" i="3"/>
  <c r="B815" i="3"/>
  <c r="C815" i="3" s="1"/>
  <c r="B998" i="3"/>
  <c r="C998" i="3" s="1"/>
  <c r="B853" i="3"/>
  <c r="B984" i="3"/>
  <c r="C984" i="3" s="1"/>
  <c r="B850" i="3"/>
  <c r="C850" i="3" s="1"/>
  <c r="B643" i="3"/>
  <c r="B609" i="3"/>
  <c r="C609" i="3" s="1"/>
  <c r="B911" i="3"/>
  <c r="C911" i="3" s="1"/>
  <c r="B735" i="3"/>
  <c r="B381" i="3"/>
  <c r="C381" i="3" s="1"/>
  <c r="B166" i="3"/>
  <c r="B345" i="3"/>
  <c r="B411" i="3"/>
  <c r="C411" i="3" s="1"/>
  <c r="B840" i="3"/>
  <c r="C840" i="3" s="1"/>
  <c r="B227" i="3"/>
  <c r="B83" i="3"/>
  <c r="C83" i="3" s="1"/>
  <c r="B591" i="3"/>
  <c r="C591" i="3" s="1"/>
  <c r="B304" i="3"/>
  <c r="B205" i="3"/>
  <c r="B904" i="3"/>
  <c r="C904" i="3" s="1"/>
  <c r="B29" i="3"/>
  <c r="B864" i="3"/>
  <c r="B102" i="3"/>
  <c r="B431" i="3"/>
  <c r="B830" i="3"/>
  <c r="B514" i="3"/>
  <c r="B246" i="3"/>
  <c r="B784" i="3"/>
  <c r="C784" i="3" s="1"/>
  <c r="B443" i="3"/>
  <c r="C443" i="3" s="1"/>
  <c r="B750" i="3"/>
  <c r="B172" i="3"/>
  <c r="B146" i="3"/>
  <c r="C146" i="3" s="1"/>
  <c r="B782" i="3"/>
  <c r="B715" i="3"/>
  <c r="C715" i="3" s="1"/>
  <c r="B877" i="3"/>
  <c r="B778" i="3"/>
  <c r="B781" i="3"/>
  <c r="B461" i="3"/>
  <c r="C461" i="3" s="1"/>
  <c r="B537" i="3"/>
  <c r="C537" i="3" s="1"/>
  <c r="B366" i="3"/>
  <c r="C366" i="3" s="1"/>
  <c r="B449" i="3"/>
  <c r="C449" i="3" s="1"/>
  <c r="B296" i="3"/>
  <c r="B658" i="3"/>
  <c r="B269" i="3"/>
  <c r="C269" i="3" s="1"/>
  <c r="B535" i="3"/>
  <c r="C535" i="3" s="1"/>
  <c r="B27" i="3"/>
  <c r="C27" i="3" s="1"/>
  <c r="B676" i="3"/>
  <c r="B500" i="3"/>
  <c r="B652" i="3"/>
  <c r="B578" i="3"/>
  <c r="C578" i="3" s="1"/>
  <c r="B583" i="3"/>
  <c r="B363" i="3"/>
  <c r="B155" i="3"/>
  <c r="B810" i="3"/>
  <c r="B66" i="3"/>
  <c r="B360" i="3"/>
  <c r="C360" i="3" s="1"/>
  <c r="B289" i="3"/>
  <c r="C289" i="3" s="1"/>
  <c r="B435" i="3"/>
  <c r="C435" i="3" s="1"/>
  <c r="B110" i="3"/>
  <c r="B149" i="3"/>
  <c r="B331" i="3"/>
  <c r="C331" i="3" s="1"/>
  <c r="B379" i="3"/>
  <c r="B945" i="3"/>
  <c r="C945" i="3" s="1"/>
  <c r="B55" i="3"/>
  <c r="C55" i="3" s="1"/>
  <c r="B488" i="3"/>
  <c r="C488" i="3" s="1"/>
  <c r="B238" i="3"/>
  <c r="B809" i="3"/>
  <c r="C809" i="3" s="1"/>
  <c r="B253" i="3"/>
  <c r="C253" i="3" s="1"/>
  <c r="B316" i="3"/>
  <c r="B339" i="3"/>
  <c r="B705" i="3"/>
  <c r="C705" i="3" s="1"/>
  <c r="B686" i="3"/>
  <c r="B592" i="3"/>
  <c r="B792" i="3"/>
  <c r="C792" i="3" s="1"/>
  <c r="B725" i="3"/>
  <c r="B8" i="3"/>
  <c r="C8" i="3" s="1"/>
  <c r="B527" i="3"/>
  <c r="C527" i="3" s="1"/>
  <c r="B77" i="3"/>
  <c r="B26" i="3"/>
  <c r="B335" i="3"/>
  <c r="C335" i="3" s="1"/>
  <c r="B18" i="3"/>
  <c r="B915" i="3"/>
  <c r="C915" i="3" s="1"/>
  <c r="B378" i="3"/>
  <c r="B88" i="3"/>
  <c r="B612" i="3"/>
  <c r="C612" i="3" s="1"/>
  <c r="B803" i="3"/>
  <c r="B529" i="3"/>
  <c r="B267" i="3"/>
  <c r="C267" i="3" s="1"/>
  <c r="B41" i="3"/>
  <c r="B144" i="3"/>
  <c r="B734" i="3"/>
  <c r="B593" i="3"/>
  <c r="C593" i="3" s="1"/>
  <c r="B994" i="3"/>
  <c r="B608" i="3"/>
  <c r="C608" i="3" s="1"/>
  <c r="B361" i="3"/>
  <c r="B442" i="3"/>
  <c r="B937" i="3"/>
  <c r="B133" i="3"/>
  <c r="C133" i="3" s="1"/>
  <c r="B650" i="3"/>
  <c r="B468" i="3"/>
  <c r="C468" i="3" s="1"/>
  <c r="B504" i="3"/>
  <c r="C504" i="3" s="1"/>
  <c r="B69" i="3"/>
  <c r="B746" i="3"/>
  <c r="B390" i="3"/>
  <c r="C390" i="3" s="1"/>
  <c r="B719" i="3"/>
  <c r="B935" i="3"/>
  <c r="C935" i="3" s="1"/>
  <c r="B387" i="3"/>
  <c r="B732" i="3"/>
  <c r="B975" i="3"/>
  <c r="B713" i="3"/>
  <c r="B373" i="3"/>
  <c r="B568" i="3"/>
  <c r="C568" i="3" s="1"/>
  <c r="B122" i="3"/>
  <c r="C122" i="3" s="1"/>
  <c r="B412" i="3"/>
  <c r="B914" i="3"/>
  <c r="B159" i="3"/>
  <c r="B825" i="3"/>
  <c r="C825" i="3" s="1"/>
  <c r="B317" i="3"/>
  <c r="C317" i="3" s="1"/>
  <c r="B408" i="3"/>
  <c r="B457" i="3"/>
  <c r="B886" i="3"/>
  <c r="C886" i="3" s="1"/>
  <c r="B861" i="3"/>
  <c r="C861" i="3" s="1"/>
  <c r="B729" i="3"/>
  <c r="C729" i="3" s="1"/>
  <c r="B702" i="3"/>
  <c r="C702" i="3" s="1"/>
  <c r="B193" i="3"/>
  <c r="C193" i="3" s="1"/>
  <c r="B538" i="3"/>
  <c r="B114" i="3"/>
  <c r="B428" i="3"/>
  <c r="C428" i="3" s="1"/>
  <c r="B490" i="3"/>
  <c r="C490" i="3" s="1"/>
  <c r="B277" i="3"/>
  <c r="B394" i="3"/>
  <c r="B303" i="3"/>
  <c r="C303" i="3" s="1"/>
  <c r="B738" i="3"/>
  <c r="B142" i="3"/>
  <c r="B377" i="3"/>
  <c r="C377" i="3" s="1"/>
  <c r="B545" i="3"/>
  <c r="C545" i="3" s="1"/>
  <c r="B391" i="3"/>
  <c r="C391" i="3" s="1"/>
  <c r="B233" i="3"/>
  <c r="B930" i="3"/>
  <c r="B6" i="3"/>
  <c r="C6" i="3" s="1"/>
  <c r="B795" i="3"/>
  <c r="B452" i="3"/>
  <c r="B396" i="3"/>
  <c r="B410" i="3"/>
  <c r="B108" i="3"/>
  <c r="C108" i="3" s="1"/>
  <c r="B629" i="3"/>
  <c r="B195" i="3"/>
  <c r="B678" i="3"/>
  <c r="C678" i="3" s="1"/>
  <c r="B380" i="3"/>
  <c r="C380" i="3" s="1"/>
  <c r="B292" i="3"/>
  <c r="B344" i="3"/>
  <c r="C344" i="3" s="1"/>
  <c r="B711" i="3"/>
  <c r="C711" i="3" s="1"/>
  <c r="B106" i="3"/>
  <c r="B460" i="3"/>
  <c r="C460" i="3" s="1"/>
  <c r="B299" i="3"/>
  <c r="B801" i="3"/>
  <c r="B138" i="3"/>
  <c r="C138" i="3" s="1"/>
  <c r="B976" i="3"/>
  <c r="C976" i="3" s="1"/>
  <c r="B148" i="3"/>
  <c r="C148" i="3" s="1"/>
  <c r="B220" i="3"/>
  <c r="B931" i="3"/>
  <c r="C931" i="3" s="1"/>
  <c r="B585" i="3"/>
  <c r="B89" i="3"/>
  <c r="C89" i="3" s="1"/>
  <c r="B372" i="3"/>
  <c r="C372" i="3" s="1"/>
  <c r="B25" i="3"/>
  <c r="C25" i="3" s="1"/>
  <c r="B944" i="3"/>
  <c r="C944" i="3" s="1"/>
  <c r="B419" i="3"/>
  <c r="B860" i="3"/>
  <c r="B927" i="3"/>
  <c r="C927" i="3" s="1"/>
  <c r="B12" i="3"/>
  <c r="C12" i="3" s="1"/>
  <c r="B478" i="3"/>
  <c r="C478" i="3" s="1"/>
  <c r="B438" i="3"/>
  <c r="B325" i="3"/>
  <c r="B745" i="3"/>
  <c r="B117" i="3"/>
  <c r="B208" i="3"/>
  <c r="C208" i="3" s="1"/>
  <c r="B10" i="3"/>
  <c r="C10" i="3" s="1"/>
  <c r="B223" i="3"/>
  <c r="B479" i="3"/>
  <c r="B884" i="3"/>
  <c r="C884" i="3" s="1"/>
  <c r="B889" i="3"/>
  <c r="C889" i="3" s="1"/>
  <c r="B179" i="3"/>
  <c r="C179" i="3" s="1"/>
  <c r="B644" i="3"/>
  <c r="C644" i="3" s="1"/>
  <c r="B756" i="3"/>
  <c r="B364" i="3"/>
  <c r="B770" i="3"/>
  <c r="B532" i="3"/>
  <c r="B79" i="3"/>
  <c r="C79" i="3" s="1"/>
  <c r="B923" i="3"/>
  <c r="C923" i="3" s="1"/>
  <c r="B287" i="3"/>
  <c r="C287" i="3" s="1"/>
  <c r="B471" i="3"/>
  <c r="B870" i="3"/>
  <c r="B477" i="3"/>
  <c r="C477" i="3" s="1"/>
  <c r="B248" i="3"/>
  <c r="B207" i="3"/>
  <c r="B807" i="3"/>
  <c r="B581" i="3"/>
  <c r="C581" i="3" s="1"/>
  <c r="B577" i="3"/>
  <c r="B874" i="3"/>
  <c r="C874" i="3" s="1"/>
  <c r="B454" i="3"/>
  <c r="C454" i="3" s="1"/>
  <c r="B53" i="3"/>
  <c r="C53" i="3" s="1"/>
  <c r="B647" i="3"/>
  <c r="C647" i="3" s="1"/>
  <c r="B241" i="3"/>
  <c r="B543" i="3"/>
  <c r="B38" i="3"/>
  <c r="C38" i="3" s="1"/>
  <c r="B1000" i="3"/>
  <c r="C1000" i="3" s="1"/>
  <c r="B470" i="3"/>
  <c r="C470" i="3" s="1"/>
  <c r="B305" i="3"/>
  <c r="C305" i="3" s="1"/>
  <c r="B250" i="3"/>
  <c r="C250" i="3" s="1"/>
  <c r="B605" i="3"/>
  <c r="C605" i="3" s="1"/>
  <c r="B480" i="3"/>
  <c r="C480" i="3" s="1"/>
  <c r="B206" i="3"/>
  <c r="C206" i="3" s="1"/>
  <c r="B230" i="3"/>
  <c r="C230" i="3" s="1"/>
  <c r="B62" i="3"/>
  <c r="C62" i="3" s="1"/>
  <c r="B703" i="3"/>
  <c r="B520" i="3"/>
  <c r="C520" i="3" s="1"/>
  <c r="B58" i="3"/>
  <c r="C58" i="3" s="1"/>
  <c r="B501" i="3"/>
  <c r="C501" i="3" s="1"/>
  <c r="B356" i="3"/>
  <c r="B312" i="3"/>
  <c r="B116" i="3"/>
  <c r="C116" i="3" s="1"/>
  <c r="B885" i="3"/>
  <c r="B32" i="3"/>
  <c r="B115" i="3"/>
  <c r="C115" i="3" s="1"/>
  <c r="B162" i="3"/>
  <c r="B194" i="3"/>
  <c r="C194" i="3" s="1"/>
  <c r="B489" i="3"/>
  <c r="B131" i="3"/>
  <c r="B811" i="3"/>
  <c r="B733" i="3"/>
  <c r="C733" i="3" s="1"/>
  <c r="B766" i="3"/>
  <c r="C766" i="3" s="1"/>
  <c r="B896" i="3"/>
  <c r="C896" i="3" s="1"/>
  <c r="B228" i="3"/>
  <c r="C228" i="3" s="1"/>
  <c r="B128" i="3"/>
  <c r="B247" i="3"/>
  <c r="B101" i="3"/>
  <c r="C101" i="3" s="1"/>
  <c r="B623" i="3"/>
  <c r="C623" i="3" s="1"/>
  <c r="B556" i="3"/>
  <c r="C556" i="3" s="1"/>
  <c r="B85" i="3"/>
  <c r="B909" i="3"/>
  <c r="C909" i="3" s="1"/>
  <c r="B19" i="3"/>
  <c r="C19" i="3" s="1"/>
  <c r="B631" i="3"/>
  <c r="C631" i="3" s="1"/>
  <c r="B663" i="3"/>
  <c r="B20" i="3"/>
  <c r="B107" i="3"/>
  <c r="C107" i="3" s="1"/>
  <c r="B362" i="3"/>
  <c r="B462" i="3"/>
  <c r="C462" i="3" s="1"/>
  <c r="B633" i="3"/>
  <c r="C633" i="3" s="1"/>
  <c r="B444" i="3"/>
  <c r="C444" i="3" s="1"/>
  <c r="B961" i="3"/>
  <c r="B384" i="3"/>
  <c r="B13" i="3"/>
  <c r="B515" i="3"/>
  <c r="C515" i="3" s="1"/>
  <c r="B852" i="3"/>
  <c r="C852" i="3" s="1"/>
  <c r="B473" i="3"/>
  <c r="B197" i="3"/>
  <c r="C197" i="3" s="1"/>
  <c r="B899" i="3"/>
  <c r="C899" i="3" s="1"/>
  <c r="B481" i="3"/>
  <c r="B584" i="3"/>
  <c r="C584" i="3" s="1"/>
  <c r="B753" i="3"/>
  <c r="C753" i="3" s="1"/>
  <c r="B389" i="3"/>
  <c r="B690" i="3"/>
  <c r="C690" i="3" s="1"/>
  <c r="B37" i="3"/>
  <c r="B239" i="3"/>
  <c r="B684" i="3"/>
  <c r="C684" i="3" s="1"/>
  <c r="B943" i="3"/>
  <c r="B158" i="3"/>
  <c r="B550" i="3"/>
  <c r="C550" i="3" s="1"/>
  <c r="B720" i="3"/>
  <c r="C720" i="3" s="1"/>
  <c r="B63" i="3"/>
  <c r="C63" i="3" s="1"/>
  <c r="B894" i="3"/>
  <c r="B524" i="3"/>
  <c r="C524" i="3" s="1"/>
  <c r="B576" i="3"/>
  <c r="C576" i="3" s="1"/>
  <c r="B571" i="3"/>
  <c r="C571" i="3" s="1"/>
  <c r="B600" i="3"/>
  <c r="B506" i="3"/>
  <c r="C506" i="3" s="1"/>
  <c r="B36" i="3"/>
  <c r="C36" i="3" s="1"/>
  <c r="B147" i="3"/>
  <c r="C147" i="3" s="1"/>
  <c r="B940" i="3"/>
  <c r="B542" i="3"/>
  <c r="C542" i="3" s="1"/>
  <c r="B888" i="3"/>
  <c r="B677" i="3"/>
  <c r="B855" i="3"/>
  <c r="B791" i="3"/>
  <c r="C791" i="3" s="1"/>
  <c r="B831" i="3"/>
  <c r="C831" i="3" s="1"/>
  <c r="B368" i="3"/>
  <c r="B495" i="3"/>
  <c r="B48" i="3"/>
  <c r="B4" i="3"/>
  <c r="C4" i="3" s="1"/>
  <c r="B503" i="3"/>
  <c r="B196" i="3"/>
  <c r="B181" i="3"/>
  <c r="C181" i="3" s="1"/>
  <c r="B973" i="3"/>
  <c r="C973" i="3" s="1"/>
  <c r="B541" i="3"/>
  <c r="B423" i="3"/>
  <c r="B962" i="3"/>
  <c r="C962" i="3" s="1"/>
  <c r="B574" i="3"/>
  <c r="B917" i="3"/>
  <c r="C917" i="3" s="1"/>
  <c r="B198" i="3"/>
  <c r="B918" i="3"/>
  <c r="B757" i="3"/>
  <c r="C757" i="3" s="1"/>
  <c r="B258" i="3"/>
  <c r="C258" i="3" s="1"/>
  <c r="B822" i="3"/>
  <c r="B744" i="3"/>
  <c r="C744" i="3" s="1"/>
  <c r="B244" i="3"/>
  <c r="C244" i="3" s="1"/>
  <c r="B170" i="3"/>
  <c r="C170" i="3" s="1"/>
  <c r="B802" i="3"/>
  <c r="B934" i="3"/>
  <c r="C934" i="3" s="1"/>
  <c r="B16" i="3"/>
  <c r="C16" i="3" s="1"/>
  <c r="B558" i="3"/>
  <c r="C558" i="3" s="1"/>
  <c r="B105" i="3"/>
  <c r="B275" i="3"/>
  <c r="C275" i="3" s="1"/>
  <c r="B474" i="3"/>
  <c r="C474" i="3" s="1"/>
  <c r="B262" i="3"/>
  <c r="B284" i="3"/>
  <c r="C284" i="3" s="1"/>
  <c r="B322" i="3"/>
  <c r="C322" i="3" s="1"/>
  <c r="B948" i="3"/>
  <c r="C948" i="3" s="1"/>
  <c r="B385" i="3"/>
  <c r="B949" i="3"/>
  <c r="C949" i="3" s="1"/>
  <c r="B736" i="3"/>
  <c r="C736" i="3" s="1"/>
  <c r="B406" i="3"/>
  <c r="C406" i="3" s="1"/>
  <c r="B493" i="3"/>
  <c r="C493" i="3" s="1"/>
  <c r="B566" i="3"/>
  <c r="B518" i="3"/>
  <c r="C518" i="3" s="1"/>
  <c r="B921" i="3"/>
  <c r="C921" i="3" s="1"/>
  <c r="B774" i="3"/>
  <c r="C774" i="3" s="1"/>
  <c r="B685" i="3"/>
  <c r="C685" i="3" s="1"/>
  <c r="B113" i="3"/>
  <c r="C113" i="3" s="1"/>
  <c r="B990" i="3"/>
  <c r="C990" i="3" s="1"/>
  <c r="B348" i="3"/>
  <c r="B222" i="3"/>
  <c r="B522" i="3"/>
  <c r="C522" i="3" s="1"/>
  <c r="B808" i="3"/>
  <c r="C808" i="3" s="1"/>
  <c r="B415" i="3"/>
  <c r="C415" i="3" s="1"/>
  <c r="B7" i="3"/>
  <c r="B371" i="3"/>
  <c r="B812" i="3"/>
  <c r="C812" i="3" s="1"/>
  <c r="B150" i="3"/>
  <c r="C150" i="3" s="1"/>
  <c r="B290" i="3"/>
  <c r="B740" i="3"/>
  <c r="C740" i="3" s="1"/>
  <c r="B346" i="3"/>
  <c r="C346" i="3" s="1"/>
  <c r="B245" i="3"/>
  <c r="C245" i="3" s="1"/>
  <c r="B926" i="3"/>
  <c r="B369" i="3"/>
  <c r="C369" i="3" s="1"/>
  <c r="B226" i="3"/>
  <c r="C226" i="3" s="1"/>
  <c r="B21" i="3"/>
  <c r="C21" i="3" s="1"/>
  <c r="B329" i="3"/>
  <c r="B726" i="3"/>
  <c r="C726" i="3" s="1"/>
  <c r="B882" i="3"/>
  <c r="C882" i="3" s="1"/>
  <c r="B692" i="3"/>
  <c r="C692" i="3" s="1"/>
  <c r="B707" i="3"/>
  <c r="C707" i="3" s="1"/>
  <c r="B82" i="3"/>
  <c r="C82" i="3" s="1"/>
  <c r="B75" i="3"/>
  <c r="B704" i="3"/>
  <c r="C704" i="3" s="1"/>
  <c r="B628" i="3"/>
  <c r="B278" i="3"/>
  <c r="C278" i="3" s="1"/>
  <c r="B687" i="3"/>
  <c r="B492" i="3"/>
  <c r="C492" i="3" s="1"/>
  <c r="B301" i="3"/>
  <c r="B790" i="3"/>
  <c r="B796" i="3"/>
  <c r="C796" i="3" s="1"/>
  <c r="B759" i="3"/>
  <c r="C759" i="3" s="1"/>
  <c r="B618" i="3"/>
  <c r="B531" i="3"/>
  <c r="C531" i="3" s="1"/>
  <c r="B137" i="3"/>
  <c r="C137" i="3" s="1"/>
  <c r="B857" i="3"/>
  <c r="B670" i="3"/>
  <c r="B783" i="3"/>
  <c r="C783" i="3" s="1"/>
  <c r="B157" i="3"/>
  <c r="C157" i="3" s="1"/>
  <c r="B173" i="3"/>
  <c r="C173" i="3" s="1"/>
  <c r="B413" i="3"/>
  <c r="B17" i="3"/>
  <c r="B49" i="3"/>
  <c r="C49" i="3" s="1"/>
  <c r="B779" i="3"/>
  <c r="C779" i="3" s="1"/>
  <c r="B237" i="3"/>
  <c r="C237" i="3" s="1"/>
  <c r="B136" i="3"/>
  <c r="B340" i="3"/>
  <c r="C340" i="3" s="1"/>
  <c r="B40" i="3"/>
  <c r="B469" i="3"/>
  <c r="C469" i="3" s="1"/>
  <c r="B143" i="3"/>
  <c r="C143" i="3" s="1"/>
  <c r="B669" i="3"/>
  <c r="C669" i="3" s="1"/>
  <c r="B429" i="3"/>
  <c r="C429" i="3" s="1"/>
  <c r="B916" i="3"/>
  <c r="B655" i="3"/>
  <c r="B91" i="3"/>
  <c r="C91" i="3" s="1"/>
  <c r="B834" i="3"/>
  <c r="C834" i="3" s="1"/>
  <c r="B875" i="3"/>
  <c r="C875" i="3" s="1"/>
  <c r="B51" i="3"/>
  <c r="B257" i="3"/>
  <c r="C257" i="3" s="1"/>
  <c r="B800" i="3"/>
  <c r="C800" i="3" s="1"/>
  <c r="B587" i="3"/>
  <c r="B890" i="3"/>
  <c r="C890" i="3" s="1"/>
  <c r="B582" i="3"/>
  <c r="C582" i="3" s="1"/>
  <c r="B221" i="3"/>
  <c r="C221" i="3" s="1"/>
  <c r="B957" i="3"/>
  <c r="B354" i="3"/>
  <c r="B982" i="3"/>
  <c r="C982" i="3" s="1"/>
  <c r="B386" i="3"/>
  <c r="C386" i="3" s="1"/>
  <c r="B769" i="3"/>
  <c r="C769" i="3" s="1"/>
  <c r="B209" i="3"/>
  <c r="C209" i="3" s="1"/>
  <c r="B34" i="3"/>
  <c r="C34" i="3" s="1"/>
  <c r="B383" i="3"/>
  <c r="C383" i="3" s="1"/>
  <c r="B465" i="3"/>
  <c r="B625" i="3"/>
  <c r="C625" i="3" s="1"/>
  <c r="B188" i="3"/>
  <c r="C188" i="3" s="1"/>
  <c r="B971" i="3"/>
  <c r="C971" i="3" s="1"/>
  <c r="B307" i="3"/>
  <c r="B615" i="3"/>
  <c r="B818" i="3"/>
  <c r="C818" i="3" s="1"/>
  <c r="B252" i="3"/>
  <c r="B283" i="3"/>
  <c r="C283" i="3" s="1"/>
  <c r="B214" i="3"/>
  <c r="C214" i="3" s="1"/>
  <c r="B895" i="3"/>
  <c r="C895" i="3" s="1"/>
  <c r="B203" i="3"/>
  <c r="C203" i="3" s="1"/>
  <c r="B953" i="3"/>
  <c r="B483" i="3"/>
  <c r="C483" i="3" s="1"/>
  <c r="B804" i="3"/>
  <c r="C804" i="3" s="1"/>
  <c r="B446" i="3"/>
  <c r="C446" i="3" s="1"/>
  <c r="B78" i="3"/>
  <c r="B626" i="3"/>
  <c r="C626" i="3" s="1"/>
  <c r="B160" i="3"/>
  <c r="C160" i="3" s="1"/>
  <c r="B352" i="3"/>
  <c r="B798" i="3"/>
  <c r="B87" i="3"/>
  <c r="C87" i="3" s="1"/>
  <c r="B70" i="3"/>
  <c r="B90" i="3"/>
  <c r="B341" i="3"/>
  <c r="B646" i="3"/>
  <c r="C646" i="3" s="1"/>
  <c r="B513" i="3"/>
  <c r="C513" i="3" s="1"/>
  <c r="B749" i="3"/>
  <c r="C749" i="3" s="1"/>
  <c r="B334" i="3"/>
  <c r="B57" i="3"/>
  <c r="B595" i="3"/>
  <c r="C595" i="3" s="1"/>
  <c r="B191" i="3"/>
  <c r="C191" i="3" s="1"/>
  <c r="B964" i="3"/>
  <c r="C964" i="3" s="1"/>
  <c r="B902" i="3"/>
  <c r="B621" i="3"/>
  <c r="B743" i="3"/>
  <c r="B139" i="3"/>
  <c r="B46" i="3"/>
  <c r="C46" i="3" s="1"/>
  <c r="B482" i="3"/>
  <c r="B903" i="3"/>
  <c r="B1002" i="3"/>
  <c r="B416" i="3"/>
  <c r="B311" i="3"/>
  <c r="C311" i="3" s="1"/>
  <c r="B14" i="3"/>
  <c r="C14" i="3" s="1"/>
  <c r="B613" i="3"/>
  <c r="B958" i="3"/>
  <c r="C958" i="3" s="1"/>
  <c r="B453" i="3"/>
  <c r="B881" i="3"/>
  <c r="B401" i="3"/>
  <c r="C401" i="3" s="1"/>
  <c r="B129" i="3"/>
  <c r="C129" i="3" s="1"/>
  <c r="B598" i="3"/>
  <c r="C598" i="3" s="1"/>
  <c r="B405" i="3"/>
  <c r="C405" i="3" s="1"/>
  <c r="B767" i="3"/>
  <c r="C767" i="3" s="1"/>
  <c r="B561" i="3"/>
  <c r="B539" i="3"/>
  <c r="C539" i="3" s="1"/>
  <c r="B376" i="3"/>
  <c r="C376" i="3" s="1"/>
  <c r="B580" i="3"/>
  <c r="B355" i="3"/>
  <c r="C355" i="3" s="1"/>
  <c r="B858" i="3"/>
  <c r="C858" i="3" s="1"/>
  <c r="B459" i="3"/>
  <c r="B458" i="3"/>
  <c r="C458" i="3" s="1"/>
  <c r="B30" i="3"/>
  <c r="C30" i="3" s="1"/>
  <c r="B224" i="3"/>
  <c r="C224" i="3" s="1"/>
  <c r="B485" i="3"/>
  <c r="C485" i="3" s="1"/>
  <c r="B838" i="3"/>
  <c r="B797" i="3"/>
  <c r="C797" i="3" s="1"/>
  <c r="B544" i="3"/>
  <c r="C544" i="3" s="1"/>
  <c r="B430" i="3"/>
  <c r="C430" i="3" s="1"/>
  <c r="B632" i="3"/>
  <c r="B351" i="3"/>
  <c r="C351" i="3" s="1"/>
  <c r="B717" i="3"/>
  <c r="C717" i="3" s="1"/>
  <c r="B820" i="3"/>
  <c r="C820" i="3" s="1"/>
  <c r="B349" i="3"/>
  <c r="C349" i="3" s="1"/>
  <c r="B135" i="3"/>
  <c r="C135" i="3" s="1"/>
  <c r="B549" i="3"/>
  <c r="C549" i="3" s="1"/>
  <c r="B938" i="3"/>
  <c r="C938" i="3" s="1"/>
  <c r="B300" i="3"/>
  <c r="C300" i="3" s="1"/>
  <c r="B234" i="3"/>
  <c r="C234" i="3" s="1"/>
  <c r="B111" i="3"/>
  <c r="C111" i="3" s="1"/>
  <c r="B52" i="3"/>
  <c r="C52" i="3" s="1"/>
  <c r="B819" i="3"/>
  <c r="C819" i="3" s="1"/>
  <c r="B709" i="3"/>
  <c r="C709" i="3" s="1"/>
  <c r="B358" i="3"/>
  <c r="C358" i="3" s="1"/>
  <c r="B936" i="3"/>
  <c r="B530" i="3"/>
  <c r="B120" i="3"/>
  <c r="B45" i="3"/>
  <c r="B112" i="3"/>
  <c r="C112" i="3" s="1"/>
  <c r="B350" i="3"/>
  <c r="B374" i="3"/>
  <c r="B689" i="3"/>
  <c r="C689" i="3" s="1"/>
  <c r="B103" i="3"/>
  <c r="C103" i="3" s="1"/>
  <c r="B722" i="3"/>
  <c r="B993" i="3"/>
  <c r="C993" i="3" s="1"/>
  <c r="B156" i="3"/>
  <c r="C156" i="3" s="1"/>
  <c r="B859" i="3"/>
  <c r="C859" i="3" s="1"/>
  <c r="B141" i="3"/>
  <c r="B828" i="3"/>
  <c r="C828" i="3" s="1"/>
  <c r="B817" i="3"/>
  <c r="B547" i="3"/>
  <c r="B681" i="3"/>
  <c r="B333" i="3"/>
  <c r="C333" i="3" s="1"/>
  <c r="B365" i="3"/>
  <c r="C365" i="3" s="1"/>
  <c r="B313" i="3"/>
  <c r="C313" i="3" s="1"/>
  <c r="B516" i="3"/>
  <c r="C516" i="3" s="1"/>
  <c r="B659" i="3"/>
  <c r="C659" i="3" s="1"/>
  <c r="B437" i="3"/>
  <c r="C437" i="3" s="1"/>
  <c r="B178" i="3"/>
  <c r="B987" i="3"/>
  <c r="C987" i="3" s="1"/>
  <c r="B165" i="3"/>
  <c r="C165" i="3" s="1"/>
  <c r="B635" i="3"/>
  <c r="C635" i="3" s="1"/>
  <c r="B261" i="3"/>
  <c r="C261" i="3" s="1"/>
  <c r="B675" i="3"/>
  <c r="C675" i="3" s="1"/>
  <c r="B763" i="3"/>
  <c r="C763" i="3" s="1"/>
  <c r="B843" i="3"/>
  <c r="C843" i="3" s="1"/>
  <c r="B466" i="3"/>
  <c r="B84" i="3"/>
  <c r="C84" i="3" s="1"/>
  <c r="B404" i="3"/>
  <c r="B653" i="3"/>
  <c r="C653" i="3" s="1"/>
  <c r="B525" i="3"/>
  <c r="B68" i="3"/>
  <c r="C68" i="3" s="1"/>
  <c r="B118" i="3"/>
  <c r="C118" i="3" s="1"/>
  <c r="B183" i="3"/>
  <c r="B184" i="3"/>
  <c r="C184" i="3" s="1"/>
  <c r="B776" i="3"/>
  <c r="B638" i="3"/>
  <c r="B467" i="3"/>
  <c r="C467" i="3" s="1"/>
  <c r="B95" i="3"/>
  <c r="C95" i="3" s="1"/>
  <c r="B691" i="3"/>
  <c r="B642" i="3"/>
  <c r="C642" i="3" s="1"/>
  <c r="B533" i="3"/>
  <c r="C533" i="3" s="1"/>
  <c r="B403" i="3"/>
  <c r="B772" i="3"/>
  <c r="C772" i="3" s="1"/>
  <c r="B121" i="3"/>
  <c r="C121" i="3" s="1"/>
  <c r="B706" i="4"/>
  <c r="C706" i="4" s="1"/>
  <c r="B368" i="4"/>
  <c r="B628" i="4"/>
  <c r="B269" i="4"/>
  <c r="C269" i="4" s="1"/>
  <c r="B682" i="4"/>
  <c r="B644" i="4"/>
  <c r="C644" i="4" s="1"/>
  <c r="B622" i="4"/>
  <c r="C622" i="4" s="1"/>
  <c r="B468" i="4"/>
  <c r="B719" i="4"/>
  <c r="C719" i="4" s="1"/>
  <c r="B723" i="4"/>
  <c r="C723" i="4" s="1"/>
  <c r="B104" i="4"/>
  <c r="C104" i="4" s="1"/>
  <c r="B271" i="4"/>
  <c r="B260" i="4"/>
  <c r="B954" i="4"/>
  <c r="B56" i="4"/>
  <c r="C56" i="4" s="1"/>
  <c r="B344" i="4"/>
  <c r="C344" i="4" s="1"/>
  <c r="B415" i="4"/>
  <c r="B812" i="4"/>
  <c r="B1001" i="4"/>
  <c r="B595" i="4"/>
  <c r="B485" i="4"/>
  <c r="B766" i="4"/>
  <c r="B306" i="4"/>
  <c r="C306" i="4" s="1"/>
  <c r="B145" i="4"/>
  <c r="B980" i="4"/>
  <c r="B926" i="4"/>
  <c r="B78" i="4"/>
  <c r="C78" i="4" s="1"/>
  <c r="B447" i="4"/>
  <c r="C447" i="4" s="1"/>
  <c r="B509" i="4"/>
  <c r="B184" i="4"/>
  <c r="C184" i="4" s="1"/>
  <c r="B302" i="4"/>
  <c r="B602" i="4"/>
  <c r="B158" i="4"/>
  <c r="B52" i="4"/>
  <c r="C52" i="4" s="1"/>
  <c r="B631" i="4"/>
  <c r="C631" i="4" s="1"/>
  <c r="B224" i="4"/>
  <c r="C224" i="4" s="1"/>
  <c r="B601" i="4"/>
  <c r="B804" i="4"/>
  <c r="B183" i="4"/>
  <c r="C183" i="4" s="1"/>
  <c r="B711" i="4"/>
  <c r="C711" i="4" s="1"/>
  <c r="B921" i="4"/>
  <c r="B62" i="4"/>
  <c r="B147" i="4"/>
  <c r="B163" i="4"/>
  <c r="B792" i="4"/>
  <c r="B285" i="4"/>
  <c r="B439" i="4"/>
  <c r="B679" i="4"/>
  <c r="B590" i="4"/>
  <c r="B704" i="4"/>
  <c r="B731" i="4"/>
  <c r="C731" i="4" s="1"/>
  <c r="B252" i="4"/>
  <c r="C252" i="4" s="1"/>
  <c r="B989" i="4"/>
  <c r="B253" i="4"/>
  <c r="B46" i="4"/>
  <c r="B329" i="4"/>
  <c r="B612" i="4"/>
  <c r="B634" i="4"/>
  <c r="B581" i="4"/>
  <c r="B334" i="4"/>
  <c r="C334" i="4" s="1"/>
  <c r="B219" i="4"/>
  <c r="B705" i="4"/>
  <c r="B434" i="4"/>
  <c r="C434" i="4" s="1"/>
  <c r="B785" i="4"/>
  <c r="C785" i="4" s="1"/>
  <c r="B309" i="4"/>
  <c r="B834" i="4"/>
  <c r="C834" i="4" s="1"/>
  <c r="B406" i="4"/>
  <c r="C406" i="4" s="1"/>
  <c r="B801" i="4"/>
  <c r="B291" i="4"/>
  <c r="B280" i="4"/>
  <c r="B372" i="4"/>
  <c r="B875" i="4"/>
  <c r="C875" i="4" s="1"/>
  <c r="B994" i="4"/>
  <c r="B482" i="4"/>
  <c r="B325" i="4"/>
  <c r="B427" i="4"/>
  <c r="C427" i="4" s="1"/>
  <c r="B782" i="4"/>
  <c r="C782" i="4" s="1"/>
  <c r="B692" i="4"/>
  <c r="B981" i="4"/>
  <c r="C981" i="4" s="1"/>
  <c r="B976" i="4"/>
  <c r="C976" i="4" s="1"/>
  <c r="B492" i="4"/>
  <c r="B730" i="4"/>
  <c r="B547" i="4"/>
  <c r="C547" i="4" s="1"/>
  <c r="B393" i="4"/>
  <c r="C393" i="4" s="1"/>
  <c r="B113" i="4"/>
  <c r="B588" i="4"/>
  <c r="B555" i="4"/>
  <c r="C555" i="4" s="1"/>
  <c r="B513" i="4"/>
  <c r="C513" i="4" s="1"/>
  <c r="B961" i="4"/>
  <c r="B388" i="4"/>
  <c r="B479" i="4"/>
  <c r="B396" i="4"/>
  <c r="C396" i="4" s="1"/>
  <c r="B512" i="4"/>
  <c r="B27" i="4"/>
  <c r="B4" i="4"/>
  <c r="C4" i="4" s="1"/>
  <c r="B914" i="4"/>
  <c r="C914" i="4" s="1"/>
  <c r="B287" i="4"/>
  <c r="B740" i="4"/>
  <c r="B70" i="4"/>
  <c r="C70" i="4" s="1"/>
  <c r="B809" i="4"/>
  <c r="C809" i="4" s="1"/>
  <c r="B641" i="4"/>
  <c r="B959" i="4"/>
  <c r="C959" i="4" s="1"/>
  <c r="B182" i="4"/>
  <c r="B432" i="4"/>
  <c r="B511" i="4"/>
  <c r="C511" i="4" s="1"/>
  <c r="B651" i="4"/>
  <c r="B941" i="4"/>
  <c r="C941" i="4" s="1"/>
  <c r="B59" i="4"/>
  <c r="B386" i="4"/>
  <c r="B586" i="4"/>
  <c r="B160" i="4"/>
  <c r="C160" i="4" s="1"/>
  <c r="B316" i="4"/>
  <c r="B264" i="4"/>
  <c r="C264" i="4" s="1"/>
  <c r="B827" i="4"/>
  <c r="C827" i="4" s="1"/>
  <c r="B725" i="4"/>
  <c r="C725" i="4" s="1"/>
  <c r="B58" i="4"/>
  <c r="B394" i="4"/>
  <c r="B339" i="4"/>
  <c r="C339" i="4" s="1"/>
  <c r="B836" i="4"/>
  <c r="C836" i="4" s="1"/>
  <c r="B241" i="4"/>
  <c r="C241" i="4" s="1"/>
  <c r="B204" i="4"/>
  <c r="B413" i="4"/>
  <c r="B781" i="4"/>
  <c r="C781" i="4" s="1"/>
  <c r="B322" i="4"/>
  <c r="B761" i="4"/>
  <c r="B516" i="4"/>
  <c r="C516" i="4" s="1"/>
  <c r="B901" i="4"/>
  <c r="B694" i="4"/>
  <c r="B621" i="4"/>
  <c r="B349" i="4"/>
  <c r="C349" i="4" s="1"/>
  <c r="B490" i="4"/>
  <c r="C490" i="4" s="1"/>
  <c r="B937" i="4"/>
  <c r="C937" i="4" s="1"/>
  <c r="B992" i="4"/>
  <c r="B734" i="4"/>
  <c r="B887" i="4"/>
  <c r="B212" i="4"/>
  <c r="C212" i="4" s="1"/>
  <c r="B475" i="4"/>
  <c r="B572" i="4"/>
  <c r="C572" i="4" s="1"/>
  <c r="B891" i="4"/>
  <c r="C891" i="4" s="1"/>
  <c r="B753" i="4"/>
  <c r="B486" i="4"/>
  <c r="B109" i="4"/>
  <c r="C109" i="4" s="1"/>
  <c r="B951" i="4"/>
  <c r="C951" i="4" s="1"/>
  <c r="B290" i="4"/>
  <c r="C290" i="4" s="1"/>
  <c r="B466" i="4"/>
  <c r="B407" i="4"/>
  <c r="B757" i="4"/>
  <c r="C757" i="4" s="1"/>
  <c r="B846" i="4"/>
  <c r="C846" i="4" s="1"/>
  <c r="B562" i="4"/>
  <c r="B566" i="4"/>
  <c r="B365" i="4"/>
  <c r="B110" i="4"/>
  <c r="B498" i="4"/>
  <c r="B647" i="4"/>
  <c r="C647" i="4" s="1"/>
  <c r="B578" i="4"/>
  <c r="C578" i="4" s="1"/>
  <c r="B261" i="4"/>
  <c r="C261" i="4" s="1"/>
  <c r="B240" i="4"/>
  <c r="B521" i="4"/>
  <c r="B249" i="4"/>
  <c r="B76" i="4"/>
  <c r="C76" i="4" s="1"/>
  <c r="B18" i="4"/>
  <c r="B764" i="4"/>
  <c r="C764" i="4" s="1"/>
  <c r="B55" i="4"/>
  <c r="B171" i="4"/>
  <c r="B472" i="4"/>
  <c r="B410" i="4"/>
  <c r="C410" i="4" s="1"/>
  <c r="B708" i="4"/>
  <c r="C708" i="4" s="1"/>
  <c r="B540" i="4"/>
  <c r="B51" i="4"/>
  <c r="B152" i="4"/>
  <c r="B550" i="4"/>
  <c r="B418" i="4"/>
  <c r="C418" i="4" s="1"/>
  <c r="B491" i="4"/>
  <c r="B210" i="4"/>
  <c r="B71" i="4"/>
  <c r="C71" i="4" s="1"/>
  <c r="B429" i="4"/>
  <c r="B648" i="4"/>
  <c r="C648" i="4" s="1"/>
  <c r="B502" i="4"/>
  <c r="B986" i="4"/>
  <c r="C986" i="4" s="1"/>
  <c r="B754" i="4"/>
  <c r="C754" i="4" s="1"/>
  <c r="B544" i="4"/>
  <c r="B755" i="4"/>
  <c r="B140" i="4"/>
  <c r="B629" i="4"/>
  <c r="C629" i="4" s="1"/>
  <c r="B506" i="4"/>
  <c r="B973" i="4"/>
  <c r="B3" i="4"/>
  <c r="B557" i="4"/>
  <c r="B320" i="4"/>
  <c r="B332" i="4"/>
  <c r="C332" i="4" s="1"/>
  <c r="B250" i="4"/>
  <c r="C250" i="4" s="1"/>
  <c r="B536" i="4"/>
  <c r="B226" i="4"/>
  <c r="B300" i="4"/>
  <c r="C300" i="4" s="1"/>
  <c r="B722" i="4"/>
  <c r="C722" i="4" s="1"/>
  <c r="B34" i="4"/>
  <c r="C34" i="4" s="1"/>
  <c r="B176" i="4"/>
  <c r="B579" i="4"/>
  <c r="B277" i="4"/>
  <c r="C277" i="4" s="1"/>
  <c r="B777" i="4"/>
  <c r="B42" i="4"/>
  <c r="B49" i="4"/>
  <c r="C49" i="4" s="1"/>
  <c r="B854" i="4"/>
  <c r="C854" i="4" s="1"/>
  <c r="B19" i="4"/>
  <c r="C19" i="4" s="1"/>
  <c r="B208" i="4"/>
  <c r="B172" i="4"/>
  <c r="B28" i="4"/>
  <c r="C28" i="4" s="1"/>
  <c r="B198" i="4"/>
  <c r="C198" i="4" s="1"/>
  <c r="B136" i="4"/>
  <c r="C136" i="4" s="1"/>
  <c r="B353" i="4"/>
  <c r="C353" i="4" s="1"/>
  <c r="B92" i="4"/>
  <c r="C92" i="4" s="1"/>
  <c r="B122" i="4"/>
  <c r="B477" i="4"/>
  <c r="C477" i="4" s="1"/>
  <c r="B307" i="4"/>
  <c r="C307" i="4" s="1"/>
  <c r="B449" i="4"/>
  <c r="B366" i="4"/>
  <c r="C366" i="4" s="1"/>
  <c r="B202" i="4"/>
  <c r="B478" i="4"/>
  <c r="B505" i="4"/>
  <c r="C505" i="4" s="1"/>
  <c r="B591" i="4"/>
  <c r="C591" i="4" s="1"/>
  <c r="B346" i="4"/>
  <c r="B376" i="4"/>
  <c r="B594" i="4"/>
  <c r="C594" i="4" s="1"/>
  <c r="B495" i="4"/>
  <c r="B443" i="4"/>
  <c r="B701" i="4"/>
  <c r="B908" i="4"/>
  <c r="C908" i="4" s="1"/>
  <c r="B428" i="4"/>
  <c r="C428" i="4" s="1"/>
  <c r="B982" i="4"/>
  <c r="B310" i="4"/>
  <c r="B996" i="4"/>
  <c r="B463" i="4"/>
  <c r="C463" i="4" s="1"/>
  <c r="B61" i="4"/>
  <c r="B411" i="4"/>
  <c r="B470" i="4"/>
  <c r="B354" i="4"/>
  <c r="B157" i="4"/>
  <c r="C157" i="4" s="1"/>
  <c r="B94" i="4"/>
  <c r="C94" i="4" s="1"/>
  <c r="B139" i="4"/>
  <c r="C139" i="4" s="1"/>
  <c r="B592" i="4"/>
  <c r="C592" i="4" s="1"/>
  <c r="B333" i="4"/>
  <c r="B564" i="4"/>
  <c r="B192" i="4"/>
  <c r="C192" i="4" s="1"/>
  <c r="B599" i="4"/>
  <c r="C599" i="4" s="1"/>
  <c r="B720" i="4"/>
  <c r="B625" i="4"/>
  <c r="C625" i="4" s="1"/>
  <c r="B881" i="4"/>
  <c r="B788" i="4"/>
  <c r="B630" i="4"/>
  <c r="B338" i="4"/>
  <c r="C338" i="4" s="1"/>
  <c r="B767" i="4"/>
  <c r="C767" i="4" s="1"/>
  <c r="B771" i="4"/>
  <c r="C771" i="4" s="1"/>
  <c r="B609" i="4"/>
  <c r="B947" i="4"/>
  <c r="B542" i="4"/>
  <c r="C542" i="4" s="1"/>
  <c r="B839" i="4"/>
  <c r="C839" i="4" s="1"/>
  <c r="B971" i="4"/>
  <c r="B787" i="4"/>
  <c r="C787" i="4" s="1"/>
  <c r="B230" i="4"/>
  <c r="C230" i="4" s="1"/>
  <c r="B642" i="4"/>
  <c r="B337" i="4"/>
  <c r="B953" i="4"/>
  <c r="C953" i="4" s="1"/>
  <c r="B663" i="4"/>
  <c r="B657" i="4"/>
  <c r="B195" i="4"/>
  <c r="B308" i="4"/>
  <c r="C308" i="4" s="1"/>
  <c r="B273" i="4"/>
  <c r="B197" i="4"/>
  <c r="C197" i="4" s="1"/>
  <c r="B963" i="4"/>
  <c r="B948" i="4"/>
  <c r="C948" i="4" s="1"/>
  <c r="B348" i="4"/>
  <c r="B892" i="4"/>
  <c r="B180" i="4"/>
  <c r="C180" i="4" s="1"/>
  <c r="B79" i="4"/>
  <c r="C79" i="4" s="1"/>
  <c r="B494" i="4"/>
  <c r="C494" i="4" s="1"/>
  <c r="B910" i="4"/>
  <c r="C910" i="4" s="1"/>
  <c r="B667" i="4"/>
  <c r="B66" i="4"/>
  <c r="B893" i="4"/>
  <c r="C893" i="4" s="1"/>
  <c r="B760" i="4"/>
  <c r="C760" i="4" s="1"/>
  <c r="B638" i="4"/>
  <c r="B857" i="4"/>
  <c r="B587" i="4"/>
  <c r="C587" i="4" s="1"/>
  <c r="B932" i="4"/>
  <c r="C932" i="4" s="1"/>
  <c r="B978" i="4"/>
  <c r="B97" i="4"/>
  <c r="B126" i="4"/>
  <c r="C126" i="4" s="1"/>
  <c r="B275" i="4"/>
  <c r="C275" i="4" s="1"/>
  <c r="B178" i="4"/>
  <c r="B906" i="4"/>
  <c r="B503" i="4"/>
  <c r="C503" i="4" s="1"/>
  <c r="B483" i="4"/>
  <c r="C483" i="4" s="1"/>
  <c r="B987" i="4"/>
  <c r="B830" i="4"/>
  <c r="C830" i="4" s="1"/>
  <c r="B117" i="4"/>
  <c r="B454" i="4"/>
  <c r="B259" i="4"/>
  <c r="C259" i="4" s="1"/>
  <c r="B800" i="4"/>
  <c r="C800" i="4" s="1"/>
  <c r="B693" i="4"/>
  <c r="C693" i="4" s="1"/>
  <c r="B50" i="4"/>
  <c r="C50" i="4" s="1"/>
  <c r="B245" i="4"/>
  <c r="B448" i="4"/>
  <c r="B268" i="4"/>
  <c r="B747" i="4"/>
  <c r="C747" i="4" s="1"/>
  <c r="B312" i="4"/>
  <c r="B211" i="4"/>
  <c r="B22" i="4"/>
  <c r="C22" i="4" s="1"/>
  <c r="B33" i="4"/>
  <c r="B864" i="4"/>
  <c r="B697" i="4"/>
  <c r="C697" i="4" s="1"/>
  <c r="B639" i="4"/>
  <c r="C639" i="4" s="1"/>
  <c r="B15" i="4"/>
  <c r="C15" i="4" s="1"/>
  <c r="B718" i="4"/>
  <c r="B923" i="4"/>
  <c r="C923" i="4" s="1"/>
  <c r="B624" i="4"/>
  <c r="B795" i="4"/>
  <c r="C795" i="4" s="1"/>
  <c r="B735" i="4"/>
  <c r="C735" i="4" s="1"/>
  <c r="B90" i="4"/>
  <c r="B866" i="4"/>
  <c r="B859" i="4"/>
  <c r="B430" i="4"/>
  <c r="C430" i="4" s="1"/>
  <c r="B567" i="4"/>
  <c r="B151" i="4"/>
  <c r="C151" i="4" s="1"/>
  <c r="B607" i="4"/>
  <c r="C607" i="4" s="1"/>
  <c r="B732" i="4"/>
  <c r="B288" i="4"/>
  <c r="B362" i="4"/>
  <c r="C362" i="4" s="1"/>
  <c r="B888" i="4"/>
  <c r="C888" i="4" s="1"/>
  <c r="B528" i="4"/>
  <c r="B525" i="4"/>
  <c r="B7" i="4"/>
  <c r="C7" i="4" s="1"/>
  <c r="B9" i="4"/>
  <c r="B89" i="4"/>
  <c r="B471" i="4"/>
  <c r="C471" i="4" s="1"/>
  <c r="B64" i="4"/>
  <c r="C64" i="4" s="1"/>
  <c r="B677" i="4"/>
  <c r="B137" i="4"/>
  <c r="B130" i="4"/>
  <c r="B814" i="4"/>
  <c r="C814" i="4" s="1"/>
  <c r="B99" i="4"/>
  <c r="C99" i="4" s="1"/>
  <c r="B370" i="4"/>
  <c r="B962" i="4"/>
  <c r="C962" i="4" s="1"/>
  <c r="B53" i="4"/>
  <c r="B488" i="4"/>
  <c r="B77" i="4"/>
  <c r="B620" i="4"/>
  <c r="C620" i="4" s="1"/>
  <c r="B228" i="4"/>
  <c r="B73" i="4"/>
  <c r="C73" i="4" s="1"/>
  <c r="B166" i="4"/>
  <c r="B112" i="4"/>
  <c r="C112" i="4" s="1"/>
  <c r="B297" i="4"/>
  <c r="B880" i="4"/>
  <c r="C880" i="4" s="1"/>
  <c r="B656" i="4"/>
  <c r="B433" i="4"/>
  <c r="B920" i="4"/>
  <c r="C920" i="4" s="1"/>
  <c r="B351" i="4"/>
  <c r="B969" i="4"/>
  <c r="B589" i="4"/>
  <c r="C589" i="4" s="1"/>
  <c r="B293" i="4"/>
  <c r="C293" i="4" s="1"/>
  <c r="B289" i="4"/>
  <c r="C289" i="4" s="1"/>
  <c r="B96" i="4"/>
  <c r="B538" i="4"/>
  <c r="B865" i="4"/>
  <c r="C865" i="4" s="1"/>
  <c r="B988" i="4"/>
  <c r="C988" i="4" s="1"/>
  <c r="B65" i="4"/>
  <c r="C65" i="4" s="1"/>
  <c r="B417" i="4"/>
  <c r="B371" i="4"/>
  <c r="B683" i="4"/>
  <c r="B554" i="4"/>
  <c r="B815" i="4"/>
  <c r="B408" i="4"/>
  <c r="C408" i="4" s="1"/>
  <c r="B438" i="4"/>
  <c r="B736" i="4"/>
  <c r="B369" i="4"/>
  <c r="C369" i="4" s="1"/>
  <c r="B611" i="4"/>
  <c r="C611" i="4" s="1"/>
  <c r="B974" i="4"/>
  <c r="C974" i="4" s="1"/>
  <c r="B749" i="4"/>
  <c r="C749" i="4" s="1"/>
  <c r="B829" i="4"/>
  <c r="C829" i="4" s="1"/>
  <c r="B142" i="4"/>
  <c r="C142" i="4" s="1"/>
  <c r="B672" i="4"/>
  <c r="C672" i="4" s="1"/>
  <c r="B461" i="4"/>
  <c r="C461" i="4" s="1"/>
  <c r="B382" i="4"/>
  <c r="C382" i="4" s="1"/>
  <c r="B551" i="4"/>
  <c r="C551" i="4" s="1"/>
  <c r="B54" i="4"/>
  <c r="C54" i="4" s="1"/>
  <c r="B530" i="4"/>
  <c r="B209" i="4"/>
  <c r="B670" i="4"/>
  <c r="C670" i="4" s="1"/>
  <c r="B451" i="4"/>
  <c r="C451" i="4" s="1"/>
  <c r="B645" i="4"/>
  <c r="B218" i="4"/>
  <c r="C218" i="4" s="1"/>
  <c r="B44" i="4"/>
  <c r="C44" i="4" s="1"/>
  <c r="B853" i="4"/>
  <c r="B282" i="4"/>
  <c r="B695" i="4"/>
  <c r="B902" i="4"/>
  <c r="B721" i="4"/>
  <c r="B284" i="4"/>
  <c r="B246" i="4"/>
  <c r="B357" i="4"/>
  <c r="C357" i="4" s="1"/>
  <c r="B818" i="4"/>
  <c r="C818" i="4" s="1"/>
  <c r="B328" i="4"/>
  <c r="C328" i="4" s="1"/>
  <c r="B292" i="4"/>
  <c r="B331" i="4"/>
  <c r="B831" i="4"/>
  <c r="B626" i="4"/>
  <c r="B60" i="4"/>
  <c r="C60" i="4" s="1"/>
  <c r="B298" i="4"/>
  <c r="B379" i="4"/>
  <c r="C379" i="4" s="1"/>
  <c r="B573" i="4"/>
  <c r="B404" i="4"/>
  <c r="B558" i="4"/>
  <c r="C558" i="4" s="1"/>
  <c r="B903" i="4"/>
  <c r="C903" i="4" s="1"/>
  <c r="B75" i="4"/>
  <c r="B116" i="4"/>
  <c r="B909" i="4"/>
  <c r="B23" i="4"/>
  <c r="C23" i="4" s="1"/>
  <c r="B993" i="4"/>
  <c r="C993" i="4" s="1"/>
  <c r="B469" i="4"/>
  <c r="C469" i="4" s="1"/>
  <c r="B303" i="4"/>
  <c r="C303" i="4" s="1"/>
  <c r="B37" i="4"/>
  <c r="C37" i="4" s="1"/>
  <c r="B744" i="4"/>
  <c r="B605" i="4"/>
  <c r="B342" i="4"/>
  <c r="C342" i="4" s="1"/>
  <c r="B597" i="4"/>
  <c r="C597" i="4" s="1"/>
  <c r="B313" i="4"/>
  <c r="B244" i="4"/>
  <c r="C244" i="4" s="1"/>
  <c r="B194" i="4"/>
  <c r="C194" i="4" s="1"/>
  <c r="B185" i="4"/>
  <c r="B868" i="4"/>
  <c r="B737" i="4"/>
  <c r="C737" i="4" s="1"/>
  <c r="B858" i="4"/>
  <c r="C858" i="4" s="1"/>
  <c r="B41" i="4"/>
  <c r="C41" i="4" s="1"/>
  <c r="B655" i="4"/>
  <c r="B8" i="4"/>
  <c r="C8" i="4" s="1"/>
  <c r="B326" i="4"/>
  <c r="C326" i="4" s="1"/>
  <c r="B882" i="4"/>
  <c r="C882" i="4" s="1"/>
  <c r="B939" i="4"/>
  <c r="C939" i="4" s="1"/>
  <c r="B144" i="4"/>
  <c r="B294" i="4"/>
  <c r="C294" i="4" s="1"/>
  <c r="B367" i="4"/>
  <c r="C367" i="4" s="1"/>
  <c r="B517" i="4"/>
  <c r="B169" i="4"/>
  <c r="C169" i="4" s="1"/>
  <c r="B643" i="4"/>
  <c r="C643" i="4" s="1"/>
  <c r="B680" i="4"/>
  <c r="B217" i="4"/>
  <c r="B174" i="4"/>
  <c r="B691" i="4"/>
  <c r="C691" i="4" s="1"/>
  <c r="B518" i="4"/>
  <c r="C518" i="4" s="1"/>
  <c r="B154" i="4"/>
  <c r="B748" i="4"/>
  <c r="C748" i="4" s="1"/>
  <c r="B165" i="4"/>
  <c r="C165" i="4" s="1"/>
  <c r="B522" i="4"/>
  <c r="B150" i="4"/>
  <c r="B819" i="4"/>
  <c r="C819" i="4" s="1"/>
  <c r="B203" i="4"/>
  <c r="C203" i="4" s="1"/>
  <c r="B254" i="4"/>
  <c r="B571" i="4"/>
  <c r="B453" i="4"/>
  <c r="C453" i="4" s="1"/>
  <c r="B654" i="4"/>
  <c r="C654" i="4" s="1"/>
  <c r="B535" i="4"/>
  <c r="C535" i="4" s="1"/>
  <c r="B619" i="4"/>
  <c r="B896" i="4"/>
  <c r="B862" i="4"/>
  <c r="B596" i="4"/>
  <c r="B57" i="4"/>
  <c r="C57" i="4" s="1"/>
  <c r="B87" i="4"/>
  <c r="C87" i="4" s="1"/>
  <c r="B773" i="4"/>
  <c r="C773" i="4" s="1"/>
  <c r="B173" i="4"/>
  <c r="C173" i="4" s="1"/>
  <c r="B543" i="4"/>
  <c r="C543" i="4" s="1"/>
  <c r="B133" i="4"/>
  <c r="B574" i="4"/>
  <c r="C574" i="4" s="1"/>
  <c r="B227" i="4"/>
  <c r="C227" i="4" s="1"/>
  <c r="B583" i="4"/>
  <c r="B884" i="4"/>
  <c r="C884" i="4" s="1"/>
  <c r="B213" i="4"/>
  <c r="B458" i="4"/>
  <c r="B610" i="4"/>
  <c r="B193" i="4"/>
  <c r="C193" i="4" s="1"/>
  <c r="B286" i="4"/>
  <c r="C286" i="4" s="1"/>
  <c r="B391" i="4"/>
  <c r="B965" i="4"/>
  <c r="B170" i="4"/>
  <c r="C170" i="4" s="1"/>
  <c r="B727" i="4"/>
  <c r="B141" i="4"/>
  <c r="C141" i="4" s="1"/>
  <c r="B659" i="4"/>
  <c r="B533" i="4"/>
  <c r="B565" i="4"/>
  <c r="C565" i="4" s="1"/>
  <c r="B927" i="4"/>
  <c r="C927" i="4" s="1"/>
  <c r="B979" i="4"/>
  <c r="C979" i="4" s="1"/>
  <c r="B674" i="4"/>
  <c r="B841" i="4"/>
  <c r="C841" i="4" s="1"/>
  <c r="B364" i="4"/>
  <c r="C364" i="4" s="1"/>
  <c r="B83" i="4"/>
  <c r="B519" i="4"/>
  <c r="B13" i="4"/>
  <c r="C13" i="4" s="1"/>
  <c r="B317" i="4"/>
  <c r="C317" i="4" s="1"/>
  <c r="B698" i="4"/>
  <c r="B912" i="4"/>
  <c r="C912" i="4" s="1"/>
  <c r="B419" i="4"/>
  <c r="B436" i="4"/>
  <c r="B496" i="4"/>
  <c r="B665" i="4"/>
  <c r="B146" i="4"/>
  <c r="C146" i="4" s="1"/>
  <c r="B384" i="4"/>
  <c r="B446" i="4"/>
  <c r="B423" i="4"/>
  <c r="B635" i="4"/>
  <c r="C635" i="4" s="1"/>
  <c r="B10" i="4"/>
  <c r="C10" i="4" s="1"/>
  <c r="B845" i="4"/>
  <c r="B68" i="4"/>
  <c r="C68" i="4" s="1"/>
  <c r="B840" i="4"/>
  <c r="B138" i="4"/>
  <c r="B686" i="4"/>
  <c r="B867" i="4"/>
  <c r="C867" i="4" s="1"/>
  <c r="B101" i="4"/>
  <c r="C101" i="4" s="1"/>
  <c r="B420" i="4"/>
  <c r="C420" i="4" s="1"/>
  <c r="B783" i="4"/>
  <c r="B374" i="4"/>
  <c r="B742" i="4"/>
  <c r="C742" i="4" s="1"/>
  <c r="B715" i="4"/>
  <c r="C715" i="4" s="1"/>
  <c r="B975" i="4"/>
  <c r="C975" i="4" s="1"/>
  <c r="B422" i="4"/>
  <c r="C422" i="4" s="1"/>
  <c r="B380" i="4"/>
  <c r="C380" i="4" s="1"/>
  <c r="B763" i="4"/>
  <c r="B276" i="4"/>
  <c r="B776" i="4"/>
  <c r="C776" i="4" s="1"/>
  <c r="B480" i="4"/>
  <c r="C480" i="4" s="1"/>
  <c r="B600" i="4"/>
  <c r="C600" i="4" s="1"/>
  <c r="B467" i="4"/>
  <c r="B794" i="4"/>
  <c r="B21" i="4"/>
  <c r="C21" i="4" s="1"/>
  <c r="B806" i="4"/>
  <c r="C806" i="4" s="1"/>
  <c r="B949" i="4"/>
  <c r="B577" i="4"/>
  <c r="B844" i="4"/>
  <c r="C844" i="4" s="1"/>
  <c r="B16" i="4"/>
  <c r="C16" i="4" s="1"/>
  <c r="B199" i="4"/>
  <c r="B778" i="4"/>
  <c r="C778" i="4" s="1"/>
  <c r="B604" i="4"/>
  <c r="C604" i="4" s="1"/>
  <c r="B401" i="4"/>
  <c r="C401" i="4" s="1"/>
  <c r="B552" i="4"/>
  <c r="B32" i="4"/>
  <c r="C32" i="4" s="1"/>
  <c r="B563" i="4"/>
  <c r="C563" i="4" s="1"/>
  <c r="B175" i="4"/>
  <c r="C175" i="4" s="1"/>
  <c r="B824" i="4"/>
  <c r="B687" i="4"/>
  <c r="C687" i="4" s="1"/>
  <c r="B459" i="4"/>
  <c r="C459" i="4" s="1"/>
  <c r="B877" i="4"/>
  <c r="B929" i="4"/>
  <c r="B91" i="4"/>
  <c r="C91" i="4" s="1"/>
  <c r="B710" i="4"/>
  <c r="B221" i="4"/>
  <c r="C221" i="4" s="1"/>
  <c r="B24" i="4"/>
  <c r="B414" i="4"/>
  <c r="C414" i="4" s="1"/>
  <c r="B129" i="4"/>
  <c r="C129" i="4" s="1"/>
  <c r="B898" i="4"/>
  <c r="C898" i="4" s="1"/>
  <c r="B223" i="4"/>
  <c r="B377" i="4"/>
  <c r="B186" i="4"/>
  <c r="C186" i="4" s="1"/>
  <c r="B335" i="4"/>
  <c r="B661" i="4"/>
  <c r="B529" i="4"/>
  <c r="C529" i="4" s="1"/>
  <c r="B270" i="4"/>
  <c r="C270" i="4" s="1"/>
  <c r="B739" i="4"/>
  <c r="C739" i="4" s="1"/>
  <c r="B559" i="4"/>
  <c r="B206" i="4"/>
  <c r="B549" i="4"/>
  <c r="C549" i="4" s="1"/>
  <c r="B220" i="4"/>
  <c r="C220" i="4" s="1"/>
  <c r="B489" i="4"/>
  <c r="B473" i="4"/>
  <c r="C473" i="4" s="1"/>
  <c r="B918" i="4"/>
  <c r="C918" i="4" s="1"/>
  <c r="B835" i="4"/>
  <c r="B796" i="4"/>
  <c r="B134" i="4"/>
  <c r="C134" i="4" s="1"/>
  <c r="B713" i="4"/>
  <c r="C713" i="4" s="1"/>
  <c r="B733" i="4"/>
  <c r="C733" i="4" s="1"/>
  <c r="B38" i="4"/>
  <c r="B729" i="4"/>
  <c r="B685" i="4"/>
  <c r="C685" i="4" s="1"/>
  <c r="B797" i="4"/>
  <c r="C797" i="4" s="1"/>
  <c r="B985" i="4"/>
  <c r="B614" i="4"/>
  <c r="B514" i="4"/>
  <c r="B416" i="4"/>
  <c r="B527" i="4"/>
  <c r="C527" i="4" s="1"/>
  <c r="B904" i="4"/>
  <c r="B769" i="4"/>
  <c r="C769" i="4" s="1"/>
  <c r="B916" i="4"/>
  <c r="B924" i="4"/>
  <c r="B340" i="4"/>
  <c r="B114" i="4"/>
  <c r="C114" i="4" s="1"/>
  <c r="B832" i="4"/>
  <c r="C832" i="4" s="1"/>
  <c r="B637" i="4"/>
  <c r="C637" i="4" s="1"/>
  <c r="B784" i="4"/>
  <c r="B822" i="4"/>
  <c r="C822" i="4" s="1"/>
  <c r="B181" i="4"/>
  <c r="B29" i="4"/>
  <c r="B967" i="4"/>
  <c r="C967" i="4" s="1"/>
  <c r="B299" i="4"/>
  <c r="C299" i="4" s="1"/>
  <c r="B395" i="4"/>
  <c r="C395" i="4" s="1"/>
  <c r="B765" i="4"/>
  <c r="B885" i="4"/>
  <c r="B107" i="4"/>
  <c r="B955" i="4"/>
  <c r="C955" i="4" s="1"/>
  <c r="B671" i="4"/>
  <c r="C671" i="4" s="1"/>
  <c r="B405" i="4"/>
  <c r="B546" i="4"/>
  <c r="B67" i="4"/>
  <c r="B93" i="4"/>
  <c r="B774" i="4"/>
  <c r="C774" i="4" s="1"/>
  <c r="B664" i="4"/>
  <c r="C664" i="4" s="1"/>
  <c r="B770" i="4"/>
  <c r="C770" i="4" s="1"/>
  <c r="B820" i="4"/>
  <c r="B330" i="4"/>
  <c r="B816" i="4"/>
  <c r="C816" i="4" s="1"/>
  <c r="B850" i="4"/>
  <c r="C850" i="4" s="1"/>
  <c r="B870" i="4"/>
  <c r="C870" i="4" s="1"/>
  <c r="B84" i="4"/>
  <c r="C84" i="4" s="1"/>
  <c r="B444" i="4"/>
  <c r="B871" i="4"/>
  <c r="B248" i="4"/>
  <c r="B741" i="4"/>
  <c r="B966" i="4"/>
  <c r="C966" i="4" s="1"/>
  <c r="B324" i="4"/>
  <c r="B425" i="4"/>
  <c r="B256" i="4"/>
  <c r="B878" i="4"/>
  <c r="C878" i="4" s="1"/>
  <c r="B12" i="4"/>
  <c r="C12" i="4" s="1"/>
  <c r="B712" i="4"/>
  <c r="B843" i="4"/>
  <c r="B851" i="4"/>
  <c r="B20" i="4"/>
  <c r="B793" i="4"/>
  <c r="C793" i="4" s="1"/>
  <c r="B257" i="4"/>
  <c r="C257" i="4" s="1"/>
  <c r="B658" i="4"/>
  <c r="C658" i="4" s="1"/>
  <c r="B347" i="4"/>
  <c r="C347" i="4" s="1"/>
  <c r="B553" i="4"/>
  <c r="B807" i="4"/>
  <c r="B570" i="4"/>
  <c r="C570" i="4" s="1"/>
  <c r="B352" i="4"/>
  <c r="C352" i="4" s="1"/>
  <c r="B510" i="4"/>
  <c r="B387" i="4"/>
  <c r="C387" i="4" s="1"/>
  <c r="B31" i="4"/>
  <c r="C31" i="4" s="1"/>
  <c r="B895" i="4"/>
  <c r="B318" i="4"/>
  <c r="C318" i="4" s="1"/>
  <c r="B676" i="4"/>
  <c r="C676" i="4" s="1"/>
  <c r="B484" i="4"/>
  <c r="C484" i="4" s="1"/>
  <c r="B632" i="4"/>
  <c r="C632" i="4" s="1"/>
  <c r="B127" i="4"/>
  <c r="B960" i="4"/>
  <c r="C960" i="4" s="1"/>
  <c r="B690" i="4"/>
  <c r="C690" i="4" s="1"/>
  <c r="B98" i="4"/>
  <c r="C98" i="4" s="1"/>
  <c r="B650" i="4"/>
  <c r="B319" i="4"/>
  <c r="C319" i="4" s="1"/>
  <c r="B400" i="4"/>
  <c r="B855" i="4"/>
  <c r="B745" i="4"/>
  <c r="B121" i="4"/>
  <c r="C121" i="4" s="1"/>
  <c r="B274" i="4"/>
  <c r="C274" i="4" s="1"/>
  <c r="B81" i="4"/>
  <c r="B780" i="4"/>
  <c r="B48" i="4"/>
  <c r="B266" i="4"/>
  <c r="C266" i="4" s="1"/>
  <c r="B373" i="4"/>
  <c r="C373" i="4" s="1"/>
  <c r="B421" i="4"/>
  <c r="B897" i="4"/>
  <c r="B931" i="4"/>
  <c r="C931" i="4" s="1"/>
  <c r="B724" i="4"/>
  <c r="B984" i="4"/>
  <c r="C984" i="4" s="1"/>
  <c r="B409" i="4"/>
  <c r="C409" i="4" s="1"/>
  <c r="B398" i="4"/>
  <c r="B942" i="4"/>
  <c r="C942" i="4" s="1"/>
  <c r="B899" i="4"/>
  <c r="B124" i="4"/>
  <c r="B108" i="4"/>
  <c r="C108" i="4" s="1"/>
  <c r="B534" i="4"/>
  <c r="C534" i="4" s="1"/>
  <c r="B455" i="4"/>
  <c r="B26" i="4"/>
  <c r="B390" i="4"/>
  <c r="B934" i="4"/>
  <c r="B798" i="4"/>
  <c r="B945" i="4"/>
  <c r="C945" i="4" s="1"/>
  <c r="B856" i="4"/>
  <c r="C856" i="4" s="1"/>
  <c r="B805" i="4"/>
  <c r="B295" i="4"/>
  <c r="B123" i="4"/>
  <c r="C123" i="4" s="1"/>
  <c r="B997" i="4"/>
  <c r="B497" i="4"/>
  <c r="C497" i="4" s="1"/>
  <c r="B251" i="4"/>
  <c r="B821" i="4"/>
  <c r="B952" i="4"/>
  <c r="B232" i="4"/>
  <c r="B848" i="4"/>
  <c r="B678" i="4"/>
  <c r="C678" i="4" s="1"/>
  <c r="B826" i="4"/>
  <c r="C826" i="4" s="1"/>
  <c r="B660" i="4"/>
  <c r="C660" i="4" s="1"/>
  <c r="B262" i="4"/>
  <c r="B25" i="4"/>
  <c r="B545" i="4"/>
  <c r="C545" i="4" s="1"/>
  <c r="B811" i="4"/>
  <c r="C811" i="4" s="1"/>
  <c r="B5" i="4"/>
  <c r="B162" i="4"/>
  <c r="C162" i="4" s="1"/>
  <c r="B43" i="4"/>
  <c r="C43" i="4" s="1"/>
  <c r="B350" i="4"/>
  <c r="C350" i="4" s="1"/>
  <c r="B936" i="4"/>
  <c r="B435" i="4"/>
  <c r="C435" i="4" s="1"/>
  <c r="B442" i="4"/>
  <c r="C442" i="4" s="1"/>
  <c r="B917" i="4"/>
  <c r="C917" i="4" s="1"/>
  <c r="B72" i="4"/>
  <c r="B279" i="4"/>
  <c r="B177" i="4"/>
  <c r="C177" i="4" s="1"/>
  <c r="B200" i="4"/>
  <c r="C200" i="4" s="1"/>
  <c r="B613" i="4"/>
  <c r="B803" i="4"/>
  <c r="C803" i="4" s="1"/>
  <c r="B863" i="4"/>
  <c r="C863" i="4" s="1"/>
  <c r="B235" i="4"/>
  <c r="B817" i="4"/>
  <c r="B119" i="4"/>
  <c r="B189" i="4"/>
  <c r="C189" i="4" s="1"/>
  <c r="B681" i="4"/>
  <c r="C681" i="4" s="1"/>
  <c r="B17" i="4"/>
  <c r="B762" i="4"/>
  <c r="C762" i="4" s="1"/>
  <c r="B526" i="4"/>
  <c r="C526" i="4" s="1"/>
  <c r="B756" i="4"/>
  <c r="C756" i="4" s="1"/>
  <c r="B958" i="4"/>
  <c r="B500" i="4"/>
  <c r="C500" i="4" s="1"/>
  <c r="B201" i="4"/>
  <c r="C201" i="4" s="1"/>
  <c r="B345" i="4"/>
  <c r="C345" i="4" s="1"/>
  <c r="B125" i="4"/>
  <c r="B105" i="4"/>
  <c r="C105" i="4" s="1"/>
  <c r="B560" i="4"/>
  <c r="C560" i="4" s="1"/>
  <c r="B82" i="4"/>
  <c r="C82" i="4" s="1"/>
  <c r="B242" i="4"/>
  <c r="B155" i="4"/>
  <c r="B872" i="4"/>
  <c r="C872" i="4" s="1"/>
  <c r="B717" i="4"/>
  <c r="C717" i="4" s="1"/>
  <c r="B327" i="4"/>
  <c r="C327" i="4" s="1"/>
  <c r="B890" i="4"/>
  <c r="B445" i="4"/>
  <c r="C445" i="4" s="1"/>
  <c r="B35" i="4"/>
  <c r="B205" i="4"/>
  <c r="C205" i="4" s="1"/>
  <c r="B190" i="4"/>
  <c r="C190" i="4" s="1"/>
  <c r="B746" i="4"/>
  <c r="B14" i="4"/>
  <c r="C14" i="4" s="1"/>
  <c r="B548" i="4"/>
  <c r="B879" i="4"/>
  <c r="B131" i="4"/>
  <c r="C131" i="4" s="1"/>
  <c r="B531" i="4"/>
  <c r="C531" i="4" s="1"/>
  <c r="B576" i="4"/>
  <c r="B383" i="4"/>
  <c r="B786" i="4"/>
  <c r="C786" i="4" s="1"/>
  <c r="B431" i="4"/>
  <c r="C431" i="4" s="1"/>
  <c r="B886" i="4"/>
  <c r="B196" i="4"/>
  <c r="B699" i="4"/>
  <c r="B852" i="4"/>
  <c r="C852" i="4" s="1"/>
  <c r="B69" i="4"/>
  <c r="B561" i="4"/>
  <c r="C561" i="4" s="1"/>
  <c r="B998" i="4"/>
  <c r="C998" i="4" s="1"/>
  <c r="B907" i="4"/>
  <c r="C907" i="4" s="1"/>
  <c r="B132" i="4"/>
  <c r="C132" i="4" s="1"/>
  <c r="B161" i="4"/>
  <c r="C161" i="4" s="1"/>
  <c r="B283" i="4"/>
  <c r="C283" i="4" s="1"/>
  <c r="B636" i="4"/>
  <c r="C636" i="4" s="1"/>
  <c r="B919" i="4"/>
  <c r="B837" i="4"/>
  <c r="C837" i="4" s="1"/>
  <c r="B440" i="4"/>
  <c r="C440" i="4" s="1"/>
  <c r="B63" i="4"/>
  <c r="B399" i="4"/>
  <c r="B823" i="4"/>
  <c r="B703" i="4"/>
  <c r="C703" i="4" s="1"/>
  <c r="B255" i="4"/>
  <c r="C255" i="4" s="1"/>
  <c r="B709" i="4"/>
  <c r="B481" i="4"/>
  <c r="C481" i="4" s="1"/>
  <c r="B247" i="4"/>
  <c r="C247" i="4" s="1"/>
  <c r="B808" i="4"/>
  <c r="B187" i="4"/>
  <c r="B702" i="4"/>
  <c r="B39" i="4"/>
  <c r="C39" i="4" s="1"/>
  <c r="B508" i="4"/>
  <c r="C508" i="4" s="1"/>
  <c r="B460" i="4"/>
  <c r="B894" i="4"/>
  <c r="B118" i="4"/>
  <c r="C118" i="4" s="1"/>
  <c r="B323" i="4"/>
  <c r="C323" i="4" s="1"/>
  <c r="B462" i="4"/>
  <c r="B359" i="4"/>
  <c r="B164" i="4"/>
  <c r="C164" i="4" s="1"/>
  <c r="B40" i="4"/>
  <c r="B900" i="4"/>
  <c r="B758" i="4"/>
  <c r="B743" i="4"/>
  <c r="C743" i="4" s="1"/>
  <c r="B385" i="4"/>
  <c r="C385" i="4" s="1"/>
  <c r="B265" i="4"/>
  <c r="B381" i="4"/>
  <c r="B627" i="4"/>
  <c r="C627" i="4" s="1"/>
  <c r="B520" i="4"/>
  <c r="C520" i="4" s="1"/>
  <c r="B474" i="4"/>
  <c r="C474" i="4" s="1"/>
  <c r="B616" i="4"/>
  <c r="C616" i="4" s="1"/>
  <c r="B707" i="4"/>
  <c r="B842" i="4"/>
  <c r="B1000" i="4"/>
  <c r="B168" i="4"/>
  <c r="C168" i="4" s="1"/>
  <c r="B296" i="4"/>
  <c r="C296" i="4" s="1"/>
  <c r="B214" i="4"/>
  <c r="C214" i="4" s="1"/>
  <c r="B750" i="4"/>
  <c r="B86" i="4"/>
  <c r="B847" i="4"/>
  <c r="C847" i="4" s="1"/>
  <c r="B539" i="4"/>
  <c r="C539" i="4" s="1"/>
  <c r="B102" i="4"/>
  <c r="B938" i="4"/>
  <c r="C938" i="4" s="1"/>
  <c r="B789" i="4"/>
  <c r="C789" i="4" s="1"/>
  <c r="B143" i="4"/>
  <c r="B238" i="4"/>
  <c r="B437" i="4"/>
  <c r="C437" i="4" s="1"/>
  <c r="B120" i="4"/>
  <c r="C120" i="4" s="1"/>
  <c r="B358" i="4"/>
  <c r="C358" i="4" s="1"/>
  <c r="B738" i="4"/>
  <c r="B684" i="4"/>
  <c r="B493" i="4"/>
  <c r="C493" i="4" s="1"/>
  <c r="B759" i="4"/>
  <c r="C759" i="4" s="1"/>
  <c r="B402" i="4"/>
  <c r="B507" i="4"/>
  <c r="B752" i="4"/>
  <c r="C752" i="4" s="1"/>
  <c r="B944" i="4"/>
  <c r="B849" i="4"/>
  <c r="B873" i="4"/>
  <c r="C873" i="4" s="1"/>
  <c r="B450" i="4"/>
  <c r="B156" i="4"/>
  <c r="C156" i="4" s="1"/>
  <c r="B991" i="4"/>
  <c r="C991" i="4" s="1"/>
  <c r="B465" i="4"/>
  <c r="C465" i="4" s="1"/>
  <c r="B861" i="4"/>
  <c r="C861" i="4" s="1"/>
  <c r="B476" i="4"/>
  <c r="C476" i="4" s="1"/>
  <c r="B111" i="4"/>
  <c r="C111" i="4" s="1"/>
  <c r="B363" i="4"/>
  <c r="B689" i="4"/>
  <c r="B115" i="4"/>
  <c r="B889" i="4"/>
  <c r="C889" i="4" s="1"/>
  <c r="B541" i="4"/>
  <c r="B537" i="4"/>
  <c r="C537" i="4" s="1"/>
  <c r="B191" i="4"/>
  <c r="B933" i="4"/>
  <c r="B231" i="4"/>
  <c r="B452" i="4"/>
  <c r="C452" i="4" s="1"/>
  <c r="B922" i="4"/>
  <c r="C922" i="4" s="1"/>
  <c r="B828" i="4"/>
  <c r="B179" i="4"/>
  <c r="C179" i="4" s="1"/>
  <c r="B860" i="4"/>
  <c r="B772" i="4"/>
  <c r="B790" i="4"/>
  <c r="C790" i="4" s="1"/>
  <c r="B696" i="4"/>
  <c r="C696" i="4" s="1"/>
  <c r="B243" i="4"/>
  <c r="C243" i="4" s="1"/>
  <c r="B36" i="4"/>
  <c r="C36" i="4" s="1"/>
  <c r="B593" i="4"/>
  <c r="B983" i="4"/>
  <c r="B6" i="4"/>
  <c r="C6" i="4" s="1"/>
  <c r="B233" i="4"/>
  <c r="C233" i="4" s="1"/>
  <c r="B876" i="4"/>
  <c r="C876" i="4" s="1"/>
  <c r="B608" i="4"/>
  <c r="C608" i="4" s="1"/>
  <c r="B311" i="4"/>
  <c r="C311" i="4" s="1"/>
  <c r="B343" i="4"/>
  <c r="B675" i="4"/>
  <c r="B825" i="4"/>
  <c r="B234" i="4"/>
  <c r="C234" i="4" s="1"/>
  <c r="B575" i="4"/>
  <c r="C575" i="4" s="1"/>
  <c r="B278" i="4"/>
  <c r="B207" i="4"/>
  <c r="C207" i="4" s="1"/>
  <c r="B799" i="4"/>
  <c r="C799" i="4" s="1"/>
  <c r="B580" i="4"/>
  <c r="C580" i="4" s="1"/>
  <c r="B617" i="4"/>
  <c r="B662" i="4"/>
  <c r="B813" i="4"/>
  <c r="B810" i="4"/>
  <c r="B11" i="4"/>
  <c r="B751" i="4"/>
  <c r="C751" i="4" s="1"/>
  <c r="B412" i="4"/>
  <c r="C412" i="4" s="1"/>
  <c r="B1002" i="4"/>
  <c r="B80" i="4"/>
  <c r="B606" i="4"/>
  <c r="B582" i="4"/>
  <c r="C582" i="4" s="1"/>
  <c r="B128" i="4"/>
  <c r="C128" i="4" s="1"/>
  <c r="B791" i="4"/>
  <c r="C791" i="4" s="1"/>
  <c r="B389" i="4"/>
  <c r="B956" i="4"/>
  <c r="C956" i="4" s="1"/>
  <c r="B874" i="4"/>
  <c r="B585" i="4"/>
  <c r="C585" i="4" s="1"/>
  <c r="B515" i="4"/>
  <c r="C515" i="4" s="1"/>
  <c r="B281" i="4"/>
  <c r="C281" i="4" s="1"/>
  <c r="B714" i="4"/>
  <c r="B999" i="4"/>
  <c r="B375" i="4"/>
  <c r="B229" i="4"/>
  <c r="C229" i="4" s="1"/>
  <c r="B700" i="4"/>
  <c r="C700" i="4" s="1"/>
  <c r="B424" i="4"/>
  <c r="C424" i="4" s="1"/>
  <c r="B314" i="4"/>
  <c r="B943" i="4"/>
  <c r="C943" i="4" s="1"/>
  <c r="B159" i="4"/>
  <c r="B556" i="4"/>
  <c r="C556" i="4" s="1"/>
  <c r="B666" i="4"/>
  <c r="C666" i="4" s="1"/>
  <c r="B392" i="4"/>
  <c r="C392" i="4" s="1"/>
  <c r="B239" i="4"/>
  <c r="C239" i="4" s="1"/>
  <c r="B524" i="4"/>
  <c r="B768" i="4"/>
  <c r="B603" i="4"/>
  <c r="C603" i="4" s="1"/>
  <c r="B990" i="4"/>
  <c r="C990" i="4" s="1"/>
  <c r="B100" i="4"/>
  <c r="B360" i="4"/>
  <c r="B106" i="4"/>
  <c r="B584" i="4"/>
  <c r="C584" i="4" s="1"/>
  <c r="B646" i="4"/>
  <c r="C646" i="4" s="1"/>
  <c r="B148" i="4"/>
  <c r="C148" i="4" s="1"/>
  <c r="B88" i="4"/>
  <c r="C88" i="4" s="1"/>
  <c r="B225" i="4"/>
  <c r="C225" i="4" s="1"/>
  <c r="B135" i="4"/>
  <c r="C135" i="4" s="1"/>
  <c r="B263" i="4"/>
  <c r="C263" i="4" s="1"/>
  <c r="B426" i="4"/>
  <c r="C426" i="4" s="1"/>
  <c r="B403" i="4"/>
  <c r="C403" i="4" s="1"/>
  <c r="B668" i="4"/>
  <c r="B883" i="4"/>
  <c r="C883" i="4" s="1"/>
  <c r="B838" i="4"/>
  <c r="B569" i="4"/>
  <c r="B869" i="4"/>
  <c r="C869" i="4" s="1"/>
  <c r="B930" i="4"/>
  <c r="C930" i="4" s="1"/>
  <c r="B361" i="4"/>
  <c r="B649" i="4"/>
  <c r="B95" i="4"/>
  <c r="C95" i="4" s="1"/>
  <c r="B457" i="4"/>
  <c r="C457" i="4" s="1"/>
  <c r="B615" i="4"/>
  <c r="C615" i="4" s="1"/>
  <c r="B935" i="4"/>
  <c r="B45" i="4"/>
  <c r="B236" i="4"/>
  <c r="B633" i="4"/>
  <c r="B970" i="4"/>
  <c r="C970" i="4" s="1"/>
  <c r="B716" i="4"/>
  <c r="B315" i="4"/>
  <c r="B499" i="4"/>
  <c r="C499" i="4" s="1"/>
  <c r="B501" i="4"/>
  <c r="B653" i="4"/>
  <c r="B652" i="4"/>
  <c r="C652" i="4" s="1"/>
  <c r="B568" i="4"/>
  <c r="C568" i="4" s="1"/>
  <c r="B968" i="4"/>
  <c r="B946" i="4"/>
  <c r="C946" i="4" s="1"/>
  <c r="B802" i="4"/>
  <c r="C802" i="4" s="1"/>
  <c r="B779" i="4"/>
  <c r="C779" i="4" s="1"/>
  <c r="B669" i="4"/>
  <c r="B964" i="4"/>
  <c r="C964" i="4" s="1"/>
  <c r="B523" i="4"/>
  <c r="C523" i="4" s="1"/>
  <c r="B237" i="4"/>
  <c r="C237" i="4" s="1"/>
  <c r="B464" i="4"/>
  <c r="B305" i="4"/>
  <c r="C149" i="4"/>
  <c r="B153" i="4"/>
  <c r="C153" i="4" s="1"/>
  <c r="B957" i="4"/>
  <c r="C957" i="4" s="1"/>
  <c r="B950" i="4"/>
  <c r="B925" i="4"/>
  <c r="C925" i="4" s="1"/>
  <c r="B74" i="4"/>
  <c r="C74" i="4" s="1"/>
  <c r="B321" i="4"/>
  <c r="B188" i="4"/>
  <c r="C940" i="4"/>
  <c r="C977" i="4"/>
  <c r="C216" i="4"/>
  <c r="C913" i="4"/>
  <c r="B456" i="4"/>
  <c r="B728" i="4"/>
  <c r="C728" i="4" s="1"/>
  <c r="B915" i="4"/>
  <c r="B833" i="4"/>
  <c r="C116" i="2"/>
  <c r="B103" i="4"/>
  <c r="B272" i="4"/>
  <c r="B167" i="4"/>
  <c r="B304" i="4"/>
  <c r="C304" i="4" s="1"/>
  <c r="B640" i="4"/>
  <c r="C640" i="4" s="1"/>
  <c r="B30" i="4"/>
  <c r="C30" i="4" s="1"/>
  <c r="B726" i="4"/>
  <c r="B336" i="4"/>
  <c r="C336" i="4" s="1"/>
  <c r="B47" i="4"/>
  <c r="C47" i="4" s="1"/>
  <c r="B441" i="4"/>
  <c r="B532" i="4"/>
  <c r="C532" i="4" s="1"/>
  <c r="B504" i="4"/>
  <c r="B775" i="4"/>
  <c r="B618" i="4"/>
  <c r="C618" i="4" s="1"/>
  <c r="B85" i="4"/>
  <c r="B355" i="4"/>
  <c r="B598" i="4"/>
  <c r="B995" i="4"/>
  <c r="C995" i="4" s="1"/>
  <c r="B341" i="4"/>
  <c r="B905" i="4"/>
  <c r="C905" i="4" s="1"/>
  <c r="B487" i="4"/>
  <c r="C487" i="4" s="1"/>
  <c r="B356" i="4"/>
  <c r="B222" i="4"/>
  <c r="C222" i="4" s="1"/>
  <c r="B972" i="4"/>
  <c r="C972" i="4" s="1"/>
  <c r="B258" i="4"/>
  <c r="C258" i="4" s="1"/>
  <c r="B378" i="4"/>
  <c r="C378" i="4" s="1"/>
  <c r="B911" i="4"/>
  <c r="C806" i="2"/>
  <c r="C18" i="2"/>
  <c r="C946" i="2"/>
  <c r="C700" i="2"/>
  <c r="C193" i="2"/>
  <c r="C940" i="2"/>
  <c r="C713" i="2"/>
  <c r="C101" i="2"/>
  <c r="C380" i="2"/>
  <c r="C896" i="2"/>
  <c r="C773" i="2"/>
  <c r="C294" i="2"/>
  <c r="C577" i="2"/>
  <c r="C865" i="2"/>
  <c r="C927" i="2"/>
  <c r="C529" i="2"/>
  <c r="C355" i="2"/>
  <c r="C479" i="2"/>
  <c r="C699" i="2"/>
  <c r="C331" i="2"/>
  <c r="C385" i="2"/>
  <c r="C202" i="2"/>
  <c r="C311" i="2"/>
  <c r="C118" i="2"/>
  <c r="C786" i="2"/>
  <c r="C712" i="2"/>
  <c r="C146" i="2"/>
  <c r="C403" i="2"/>
  <c r="C56" i="2"/>
  <c r="C569" i="2"/>
  <c r="C702" i="2"/>
  <c r="C104" i="2"/>
  <c r="C541" i="2"/>
  <c r="C600" i="2"/>
  <c r="C802" i="2"/>
  <c r="C185" i="2"/>
  <c r="C268" i="2"/>
  <c r="C768" i="2"/>
  <c r="C742" i="2"/>
  <c r="C471" i="2"/>
  <c r="C735" i="2"/>
  <c r="C81" i="2"/>
  <c r="C96" i="2"/>
  <c r="C937" i="2"/>
  <c r="C299" i="2"/>
  <c r="C100" i="2"/>
  <c r="C488" i="2"/>
  <c r="C685" i="2"/>
  <c r="C967" i="2"/>
  <c r="B623" i="2"/>
  <c r="B528" i="2"/>
  <c r="C528" i="2" s="1"/>
  <c r="B198" i="2"/>
  <c r="B97" i="2"/>
  <c r="B334" i="2"/>
  <c r="B277" i="2"/>
  <c r="C277" i="2" s="1"/>
  <c r="B423" i="2"/>
  <c r="B486" i="2"/>
  <c r="B269" i="2"/>
  <c r="C269" i="2" s="1"/>
  <c r="B90" i="2"/>
  <c r="B840" i="2"/>
  <c r="B956" i="2"/>
  <c r="B881" i="2"/>
  <c r="B876" i="2"/>
  <c r="C876" i="2" s="1"/>
  <c r="B229" i="2"/>
  <c r="B480" i="2"/>
  <c r="B929" i="2"/>
  <c r="B395" i="2"/>
  <c r="B678" i="2"/>
  <c r="B166" i="2"/>
  <c r="B95" i="2"/>
  <c r="C95" i="2" s="1"/>
  <c r="B524" i="2"/>
  <c r="B374" i="2"/>
  <c r="B92" i="2"/>
  <c r="B208" i="2"/>
  <c r="C208" i="2" s="1"/>
  <c r="B241" i="2"/>
  <c r="C241" i="2" s="1"/>
  <c r="B422" i="2"/>
  <c r="C422" i="2" s="1"/>
  <c r="B550" i="2"/>
  <c r="B655" i="2"/>
  <c r="B14" i="2"/>
  <c r="B687" i="2"/>
  <c r="C687" i="2" s="1"/>
  <c r="B3" i="2"/>
  <c r="B476" i="2"/>
  <c r="B40" i="2"/>
  <c r="B83" i="2"/>
  <c r="B164" i="2"/>
  <c r="B1001" i="2"/>
  <c r="B175" i="2"/>
  <c r="B715" i="2"/>
  <c r="C715" i="2" s="1"/>
  <c r="B781" i="2"/>
  <c r="B127" i="2"/>
  <c r="B216" i="2"/>
  <c r="C216" i="2" s="1"/>
  <c r="B602" i="2"/>
  <c r="B135" i="2"/>
  <c r="B587" i="2"/>
  <c r="C587" i="2" s="1"/>
  <c r="B729" i="2"/>
  <c r="B329" i="2"/>
  <c r="B125" i="2"/>
  <c r="B902" i="2"/>
  <c r="B734" i="2"/>
  <c r="C734" i="2" s="1"/>
  <c r="B750" i="2"/>
  <c r="B917" i="2"/>
  <c r="B718" i="2"/>
  <c r="B363" i="2"/>
  <c r="C363" i="2" s="1"/>
  <c r="B519" i="2"/>
  <c r="B156" i="2"/>
  <c r="B516" i="2"/>
  <c r="C516" i="2" s="1"/>
  <c r="B887" i="2"/>
  <c r="B447" i="2"/>
  <c r="B994" i="2"/>
  <c r="B959" i="2"/>
  <c r="B765" i="2"/>
  <c r="B59" i="2"/>
  <c r="B284" i="2"/>
  <c r="B435" i="2"/>
  <c r="B997" i="2"/>
  <c r="C997" i="2" s="1"/>
  <c r="B370" i="2"/>
  <c r="B182" i="2"/>
  <c r="C182" i="2" s="1"/>
  <c r="B70" i="2"/>
  <c r="B659" i="2"/>
  <c r="B905" i="2"/>
  <c r="B607" i="2"/>
  <c r="B487" i="2"/>
  <c r="C487" i="2" s="1"/>
  <c r="B807" i="2"/>
  <c r="C807" i="2" s="1"/>
  <c r="B590" i="2"/>
  <c r="B725" i="2"/>
  <c r="B739" i="2"/>
  <c r="B863" i="2"/>
  <c r="B462" i="2"/>
  <c r="B161" i="2"/>
  <c r="B224" i="2"/>
  <c r="C224" i="2" s="1"/>
  <c r="B332" i="2"/>
  <c r="B559" i="2"/>
  <c r="C559" i="2" s="1"/>
  <c r="B382" i="2"/>
  <c r="B341" i="2"/>
  <c r="C341" i="2" s="1"/>
  <c r="B518" i="2"/>
  <c r="B828" i="2"/>
  <c r="B489" i="2"/>
  <c r="B827" i="2"/>
  <c r="B944" i="2"/>
  <c r="B307" i="2"/>
  <c r="B321" i="2"/>
  <c r="C321" i="2" s="1"/>
  <c r="B53" i="2"/>
  <c r="B316" i="2"/>
  <c r="C316" i="2" s="1"/>
  <c r="B954" i="2"/>
  <c r="B985" i="2"/>
  <c r="B603" i="2"/>
  <c r="C603" i="2" s="1"/>
  <c r="B496" i="2"/>
  <c r="B112" i="2"/>
  <c r="C112" i="2" s="1"/>
  <c r="B899" i="2"/>
  <c r="B155" i="2"/>
  <c r="B763" i="2"/>
  <c r="B610" i="2"/>
  <c r="B78" i="2"/>
  <c r="B297" i="2"/>
  <c r="C297" i="2" s="1"/>
  <c r="B798" i="2"/>
  <c r="B721" i="2"/>
  <c r="B976" i="2"/>
  <c r="C976" i="2" s="1"/>
  <c r="B586" i="2"/>
  <c r="C586" i="2" s="1"/>
  <c r="B295" i="2"/>
  <c r="C295" i="2" s="1"/>
  <c r="B475" i="2"/>
  <c r="C475" i="2" s="1"/>
  <c r="B31" i="2"/>
  <c r="B399" i="2"/>
  <c r="B280" i="2"/>
  <c r="C280" i="2" s="1"/>
  <c r="B866" i="2"/>
  <c r="B928" i="2"/>
  <c r="C928" i="2" s="1"/>
  <c r="B136" i="2"/>
  <c r="B171" i="2"/>
  <c r="C171" i="2" s="1"/>
  <c r="B613" i="2"/>
  <c r="B853" i="2"/>
  <c r="C853" i="2" s="1"/>
  <c r="B248" i="2"/>
  <c r="C248" i="2" s="1"/>
  <c r="B38" i="2"/>
  <c r="B207" i="2"/>
  <c r="C207" i="2" s="1"/>
  <c r="B941" i="2"/>
  <c r="B217" i="2"/>
  <c r="B29" i="2"/>
  <c r="B812" i="2"/>
  <c r="B999" i="2"/>
  <c r="B860" i="2"/>
  <c r="C860" i="2" s="1"/>
  <c r="B314" i="2"/>
  <c r="B62" i="2"/>
  <c r="B464" i="2"/>
  <c r="C464" i="2" s="1"/>
  <c r="B833" i="2"/>
  <c r="C833" i="2" s="1"/>
  <c r="B551" i="2"/>
  <c r="C551" i="2" s="1"/>
  <c r="B259" i="2"/>
  <c r="C259" i="2" s="1"/>
  <c r="B366" i="2"/>
  <c r="B308" i="2"/>
  <c r="C308" i="2" s="1"/>
  <c r="B98" i="2"/>
  <c r="B44" i="2"/>
  <c r="C44" i="2" s="1"/>
  <c r="B778" i="2"/>
  <c r="B71" i="2"/>
  <c r="C71" i="2" s="1"/>
  <c r="B25" i="2"/>
  <c r="C25" i="2" s="1"/>
  <c r="B218" i="2"/>
  <c r="B663" i="2"/>
  <c r="C663" i="2" s="1"/>
  <c r="B107" i="2"/>
  <c r="B553" i="2"/>
  <c r="B647" i="2"/>
  <c r="C647" i="2" s="1"/>
  <c r="B50" i="2"/>
  <c r="B938" i="2"/>
  <c r="B969" i="2"/>
  <c r="B796" i="2"/>
  <c r="B379" i="2"/>
  <c r="C379" i="2" s="1"/>
  <c r="B746" i="2"/>
  <c r="C746" i="2" s="1"/>
  <c r="B36" i="2"/>
  <c r="C36" i="2" s="1"/>
  <c r="B411" i="2"/>
  <c r="B77" i="2"/>
  <c r="B934" i="2"/>
  <c r="C934" i="2" s="1"/>
  <c r="B770" i="2"/>
  <c r="C770" i="2" s="1"/>
  <c r="B565" i="2"/>
  <c r="C565" i="2" s="1"/>
  <c r="B200" i="2"/>
  <c r="B460" i="2"/>
  <c r="C460" i="2" s="1"/>
  <c r="B676" i="2"/>
  <c r="C676" i="2" s="1"/>
  <c r="B430" i="2"/>
  <c r="B775" i="2"/>
  <c r="C775" i="2" s="1"/>
  <c r="B227" i="2"/>
  <c r="B930" i="2"/>
  <c r="B436" i="2"/>
  <c r="B754" i="2"/>
  <c r="B473" i="2"/>
  <c r="B644" i="2"/>
  <c r="B567" i="2"/>
  <c r="C567" i="2" s="1"/>
  <c r="B646" i="2"/>
  <c r="B787" i="2"/>
  <c r="B186" i="2"/>
  <c r="B147" i="2"/>
  <c r="C147" i="2" s="1"/>
  <c r="B32" i="2"/>
  <c r="B180" i="2"/>
  <c r="C180" i="2" s="1"/>
  <c r="B547" i="2"/>
  <c r="B174" i="2"/>
  <c r="B912" i="2"/>
  <c r="C912" i="2" s="1"/>
  <c r="B315" i="2"/>
  <c r="C315" i="2" s="1"/>
  <c r="B632" i="2"/>
  <c r="C632" i="2" s="1"/>
  <c r="B57" i="2"/>
  <c r="C57" i="2" s="1"/>
  <c r="B891" i="2"/>
  <c r="B789" i="2"/>
  <c r="B557" i="2"/>
  <c r="B103" i="2"/>
  <c r="C103" i="2" s="1"/>
  <c r="B579" i="2"/>
  <c r="C579" i="2" s="1"/>
  <c r="B305" i="2"/>
  <c r="C305" i="2" s="1"/>
  <c r="B49" i="2"/>
  <c r="C49" i="2" s="1"/>
  <c r="B564" i="2"/>
  <c r="C564" i="2" s="1"/>
  <c r="B505" i="2"/>
  <c r="B108" i="2"/>
  <c r="C108" i="2" s="1"/>
  <c r="B1000" i="2"/>
  <c r="B454" i="2"/>
  <c r="C454" i="2" s="1"/>
  <c r="B119" i="2"/>
  <c r="C119" i="2" s="1"/>
  <c r="B682" i="2"/>
  <c r="B330" i="2"/>
  <c r="C330" i="2" s="1"/>
  <c r="B463" i="2"/>
  <c r="B576" i="2"/>
  <c r="C576" i="2" s="1"/>
  <c r="B879" i="2"/>
  <c r="C879" i="2" s="1"/>
  <c r="B43" i="2"/>
  <c r="C43" i="2" s="1"/>
  <c r="B883" i="2"/>
  <c r="C883" i="2" s="1"/>
  <c r="B625" i="2"/>
  <c r="B319" i="2"/>
  <c r="C319" i="2" s="1"/>
  <c r="B432" i="2"/>
  <c r="B630" i="2"/>
  <c r="C630" i="2" s="1"/>
  <c r="B172" i="2"/>
  <c r="B153" i="2"/>
  <c r="B28" i="2"/>
  <c r="C28" i="2" s="1"/>
  <c r="B270" i="2"/>
  <c r="B880" i="2"/>
  <c r="B570" i="2"/>
  <c r="C570" i="2" s="1"/>
  <c r="B157" i="2"/>
  <c r="C157" i="2" s="1"/>
  <c r="B509" i="2"/>
  <c r="C509" i="2" s="1"/>
  <c r="B931" i="2"/>
  <c r="C931" i="2" s="1"/>
  <c r="B237" i="2"/>
  <c r="C237" i="2" s="1"/>
  <c r="B222" i="2"/>
  <c r="C222" i="2" s="1"/>
  <c r="B574" i="2"/>
  <c r="B791" i="2"/>
  <c r="B823" i="2"/>
  <c r="B983" i="2"/>
  <c r="C983" i="2" s="1"/>
  <c r="B369" i="2"/>
  <c r="B654" i="2"/>
  <c r="C654" i="2" s="1"/>
  <c r="B152" i="2"/>
  <c r="C152" i="2" s="1"/>
  <c r="B412" i="2"/>
  <c r="C412" i="2" s="1"/>
  <c r="B289" i="2"/>
  <c r="C289" i="2" s="1"/>
  <c r="B344" i="2"/>
  <c r="C344" i="2" s="1"/>
  <c r="B343" i="2"/>
  <c r="B481" i="2"/>
  <c r="C481" i="2" s="1"/>
  <c r="B841" i="2"/>
  <c r="C841" i="2" s="1"/>
  <c r="B703" i="2"/>
  <c r="B327" i="2"/>
  <c r="B231" i="2"/>
  <c r="B246" i="2"/>
  <c r="B758" i="2"/>
  <c r="C758" i="2" s="1"/>
  <c r="B526" i="2"/>
  <c r="B17" i="2"/>
  <c r="C17" i="2" s="1"/>
  <c r="B497" i="2"/>
  <c r="B453" i="2"/>
  <c r="B286" i="2"/>
  <c r="C286" i="2" s="1"/>
  <c r="B977" i="2"/>
  <c r="B79" i="2"/>
  <c r="C79" i="2" s="1"/>
  <c r="B115" i="2"/>
  <c r="C115" i="2" s="1"/>
  <c r="B348" i="2"/>
  <c r="B537" i="2"/>
  <c r="C537" i="2" s="1"/>
  <c r="B987" i="2"/>
  <c r="B824" i="2"/>
  <c r="B966" i="2"/>
  <c r="C966" i="2" s="1"/>
  <c r="B988" i="2"/>
  <c r="B799" i="2"/>
  <c r="B494" i="2"/>
  <c r="C494" i="2" s="1"/>
  <c r="B361" i="2"/>
  <c r="B809" i="2"/>
  <c r="B856" i="2"/>
  <c r="B388" i="2"/>
  <c r="B190" i="2"/>
  <c r="B310" i="2"/>
  <c r="C310" i="2" s="1"/>
  <c r="B188" i="2"/>
  <c r="C188" i="2" s="1"/>
  <c r="B409" i="2"/>
  <c r="C409" i="2" s="1"/>
  <c r="B4" i="2"/>
  <c r="B947" i="2"/>
  <c r="B748" i="2"/>
  <c r="C748" i="2" s="1"/>
  <c r="B894" i="2"/>
  <c r="B626" i="2"/>
  <c r="C626" i="2" s="1"/>
  <c r="B397" i="2"/>
  <c r="C397" i="2" s="1"/>
  <c r="B838" i="2"/>
  <c r="B141" i="2"/>
  <c r="B869" i="2"/>
  <c r="C869" i="2" s="1"/>
  <c r="B431" i="2"/>
  <c r="B759" i="2"/>
  <c r="B85" i="2"/>
  <c r="B346" i="2"/>
  <c r="B325" i="2"/>
  <c r="C325" i="2" s="1"/>
  <c r="B722" i="2"/>
  <c r="B52" i="2"/>
  <c r="C52" i="2" s="1"/>
  <c r="B191" i="2"/>
  <c r="C191" i="2" s="1"/>
  <c r="B384" i="2"/>
  <c r="C384" i="2" s="1"/>
  <c r="B826" i="2"/>
  <c r="C826" i="2" s="1"/>
  <c r="B276" i="2"/>
  <c r="B213" i="2"/>
  <c r="B279" i="2"/>
  <c r="C279" i="2" s="1"/>
  <c r="B167" i="2"/>
  <c r="C167" i="2" s="1"/>
  <c r="B862" i="2"/>
  <c r="C862" i="2" s="1"/>
  <c r="B920" i="2"/>
  <c r="B710" i="2"/>
  <c r="B249" i="2"/>
  <c r="B948" i="2"/>
  <c r="C948" i="2" s="1"/>
  <c r="B741" i="2"/>
  <c r="C741" i="2" s="1"/>
  <c r="B981" i="2"/>
  <c r="B408" i="2"/>
  <c r="C408" i="2" s="1"/>
  <c r="B640" i="2"/>
  <c r="B974" i="2"/>
  <c r="B179" i="2"/>
  <c r="B818" i="2"/>
  <c r="C818" i="2" s="1"/>
  <c r="B244" i="2"/>
  <c r="C244" i="2" s="1"/>
  <c r="B673" i="2"/>
  <c r="C673" i="2" s="1"/>
  <c r="B990" i="2"/>
  <c r="B979" i="2"/>
  <c r="C979" i="2" s="1"/>
  <c r="B402" i="2"/>
  <c r="C402" i="2" s="1"/>
  <c r="B371" i="2"/>
  <c r="C371" i="2" s="1"/>
  <c r="B298" i="2"/>
  <c r="C298" i="2" s="1"/>
  <c r="B527" i="2"/>
  <c r="C527" i="2" s="1"/>
  <c r="B672" i="2"/>
  <c r="B716" i="2"/>
  <c r="B134" i="2"/>
  <c r="C134" i="2" s="1"/>
  <c r="B121" i="2"/>
  <c r="B658" i="2"/>
  <c r="C658" i="2" s="1"/>
  <c r="B205" i="2"/>
  <c r="C205" i="2" s="1"/>
  <c r="B726" i="2"/>
  <c r="B707" i="2"/>
  <c r="C707" i="2" s="1"/>
  <c r="B882" i="2"/>
  <c r="C882" i="2" s="1"/>
  <c r="B800" i="2"/>
  <c r="C800" i="2" s="1"/>
  <c r="B738" i="2"/>
  <c r="C738" i="2" s="1"/>
  <c r="B375" i="2"/>
  <c r="B935" i="2"/>
  <c r="C935" i="2" s="1"/>
  <c r="B51" i="2"/>
  <c r="B890" i="2"/>
  <c r="C890" i="2" s="1"/>
  <c r="B275" i="2"/>
  <c r="C275" i="2" s="1"/>
  <c r="B695" i="2"/>
  <c r="B522" i="2"/>
  <c r="C522" i="2" s="1"/>
  <c r="B998" i="2"/>
  <c r="C998" i="2" s="1"/>
  <c r="B165" i="2"/>
  <c r="C165" i="2" s="1"/>
  <c r="B173" i="2"/>
  <c r="C173" i="2" s="1"/>
  <c r="B417" i="2"/>
  <c r="C417" i="2" s="1"/>
  <c r="B782" i="2"/>
  <c r="B15" i="2"/>
  <c r="C15" i="2" s="1"/>
  <c r="B731" i="2"/>
  <c r="B847" i="2"/>
  <c r="B72" i="2"/>
  <c r="C72" i="2" s="1"/>
  <c r="B22" i="2"/>
  <c r="C22" i="2" s="1"/>
  <c r="B394" i="2"/>
  <c r="C394" i="2" s="1"/>
  <c r="B792" i="2"/>
  <c r="B251" i="2"/>
  <c r="C251" i="2" s="1"/>
  <c r="B150" i="2"/>
  <c r="C150" i="2" s="1"/>
  <c r="B468" i="2"/>
  <c r="B810" i="2"/>
  <c r="C810" i="2" s="1"/>
  <c r="B263" i="2"/>
  <c r="C263" i="2" s="1"/>
  <c r="B657" i="2"/>
  <c r="C657" i="2" s="1"/>
  <c r="B821" i="2"/>
  <c r="B336" i="2"/>
  <c r="B41" i="2"/>
  <c r="C41" i="2" s="1"/>
  <c r="B932" i="2"/>
  <c r="B901" i="2"/>
  <c r="B446" i="2"/>
  <c r="C446" i="2" s="1"/>
  <c r="B861" i="2"/>
  <c r="B723" i="2"/>
  <c r="C723" i="2" s="1"/>
  <c r="B111" i="2"/>
  <c r="B848" i="2"/>
  <c r="C848" i="2" s="1"/>
  <c r="B717" i="2"/>
  <c r="C717" i="2" s="1"/>
  <c r="B220" i="2"/>
  <c r="B885" i="2"/>
  <c r="B364" i="2"/>
  <c r="B500" i="2"/>
  <c r="B35" i="2"/>
  <c r="B47" i="2"/>
  <c r="C47" i="2" s="1"/>
  <c r="B373" i="2"/>
  <c r="C373" i="2" s="1"/>
  <c r="B581" i="2"/>
  <c r="B829" i="2"/>
  <c r="C829" i="2" s="1"/>
  <c r="B378" i="2"/>
  <c r="C378" i="2" s="1"/>
  <c r="B665" i="2"/>
  <c r="B963" i="2"/>
  <c r="B404" i="2"/>
  <c r="C404" i="2" s="1"/>
  <c r="B677" i="2"/>
  <c r="B113" i="2"/>
  <c r="B706" i="2"/>
  <c r="B400" i="2"/>
  <c r="B595" i="2"/>
  <c r="C595" i="2" s="1"/>
  <c r="B458" i="2"/>
  <c r="C458" i="2" s="1"/>
  <c r="B281" i="2"/>
  <c r="C281" i="2" s="1"/>
  <c r="B554" i="2"/>
  <c r="C554" i="2" s="1"/>
  <c r="B921" i="2"/>
  <c r="B351" i="2"/>
  <c r="C351" i="2" s="1"/>
  <c r="B836" i="2"/>
  <c r="B645" i="2"/>
  <c r="C645" i="2" s="1"/>
  <c r="B105" i="2"/>
  <c r="B952" i="2"/>
  <c r="B335" i="2"/>
  <c r="C335" i="2" s="1"/>
  <c r="B472" i="2"/>
  <c r="B953" i="2"/>
  <c r="C953" i="2" s="1"/>
  <c r="B427" i="2"/>
  <c r="C427" i="2" s="1"/>
  <c r="B260" i="2"/>
  <c r="C260" i="2" s="1"/>
  <c r="B485" i="2"/>
  <c r="C485" i="2" s="1"/>
  <c r="B221" i="2"/>
  <c r="C221" i="2" s="1"/>
  <c r="B99" i="2"/>
  <c r="C99" i="2" s="1"/>
  <c r="B794" i="2"/>
  <c r="C794" i="2" s="1"/>
  <c r="B91" i="2"/>
  <c r="B296" i="2"/>
  <c r="B914" i="2"/>
  <c r="C914" i="2" s="1"/>
  <c r="B689" i="2"/>
  <c r="B253" i="2"/>
  <c r="B162" i="2"/>
  <c r="C162" i="2" s="1"/>
  <c r="B534" i="2"/>
  <c r="C534" i="2" s="1"/>
  <c r="B752" i="2"/>
  <c r="C752" i="2" s="1"/>
  <c r="B669" i="2"/>
  <c r="B215" i="2"/>
  <c r="B132" i="2"/>
  <c r="B510" i="2"/>
  <c r="C510" i="2" s="1"/>
  <c r="B109" i="2"/>
  <c r="C109" i="2" s="1"/>
  <c r="B913" i="2"/>
  <c r="B421" i="2"/>
  <c r="B512" i="2"/>
  <c r="B194" i="2"/>
  <c r="B396" i="2"/>
  <c r="B978" i="2"/>
  <c r="B757" i="2"/>
  <c r="B75" i="2"/>
  <c r="B383" i="2"/>
  <c r="C383" i="2" s="1"/>
  <c r="B589" i="2"/>
  <c r="B84" i="2"/>
  <c r="C84" i="2" s="1"/>
  <c r="B490" i="2"/>
  <c r="C490" i="2" s="1"/>
  <c r="B558" i="2"/>
  <c r="B842" i="2"/>
  <c r="B727" i="2"/>
  <c r="C727" i="2" s="1"/>
  <c r="B834" i="2"/>
  <c r="B30" i="2"/>
  <c r="C30" i="2" s="1"/>
  <c r="B549" i="2"/>
  <c r="C549" i="2" s="1"/>
  <c r="B267" i="2"/>
  <c r="C267" i="2" s="1"/>
  <c r="B762" i="2"/>
  <c r="C762" i="2" s="1"/>
  <c r="B506" i="2"/>
  <c r="B662" i="2"/>
  <c r="C662" i="2" s="1"/>
  <c r="B313" i="2"/>
  <c r="B349" i="2"/>
  <c r="C349" i="2" s="1"/>
  <c r="B671" i="2"/>
  <c r="C671" i="2" s="1"/>
  <c r="B143" i="2"/>
  <c r="C143" i="2" s="1"/>
  <c r="B760" i="2"/>
  <c r="C760" i="2" s="1"/>
  <c r="B414" i="2"/>
  <c r="C414" i="2" s="1"/>
  <c r="B491" i="2"/>
  <c r="C491" i="2" s="1"/>
  <c r="B822" i="2"/>
  <c r="C822" i="2" s="1"/>
  <c r="B728" i="2"/>
  <c r="C728" i="2" s="1"/>
  <c r="B502" i="2"/>
  <c r="C502" i="2" s="1"/>
  <c r="B63" i="2"/>
  <c r="C63" i="2" s="1"/>
  <c r="B960" i="2"/>
  <c r="C960" i="2" s="1"/>
  <c r="B919" i="2"/>
  <c r="B730" i="2"/>
  <c r="C730" i="2" s="1"/>
  <c r="B984" i="2"/>
  <c r="B456" i="2"/>
  <c r="B652" i="2"/>
  <c r="C652" i="2" s="1"/>
  <c r="B916" i="2"/>
  <c r="B82" i="2"/>
  <c r="C82" i="2" s="1"/>
  <c r="B982" i="2"/>
  <c r="C982" i="2" s="1"/>
  <c r="B578" i="2"/>
  <c r="B621" i="2"/>
  <c r="C621" i="2" s="1"/>
  <c r="B986" i="2"/>
  <c r="C986" i="2" s="1"/>
  <c r="B353" i="2"/>
  <c r="B290" i="2"/>
  <c r="B622" i="2"/>
  <c r="C622" i="2" s="1"/>
  <c r="B889" i="2"/>
  <c r="B854" i="2"/>
  <c r="B89" i="2"/>
  <c r="B393" i="2"/>
  <c r="B611" i="2"/>
  <c r="C611" i="2" s="1"/>
  <c r="B923" i="2"/>
  <c r="B428" i="2"/>
  <c r="B740" i="2"/>
  <c r="B922" i="2"/>
  <c r="C922" i="2" s="1"/>
  <c r="B705" i="2"/>
  <c r="C705" i="2" s="1"/>
  <c r="B333" i="2"/>
  <c r="C333" i="2" s="1"/>
  <c r="B772" i="2"/>
  <c r="C772" i="2" s="1"/>
  <c r="B467" i="2"/>
  <c r="B73" i="2"/>
  <c r="C73" i="2" s="1"/>
  <c r="B751" i="2"/>
  <c r="C751" i="2" s="1"/>
  <c r="B42" i="2"/>
  <c r="B649" i="2"/>
  <c r="B858" i="2"/>
  <c r="C858" i="2" s="1"/>
  <c r="B365" i="2"/>
  <c r="C365" i="2" s="1"/>
  <c r="B606" i="2"/>
  <c r="B624" i="2"/>
  <c r="C624" i="2" s="1"/>
  <c r="B667" i="2"/>
  <c r="C667" i="2" s="1"/>
  <c r="B544" i="2"/>
  <c r="C544" i="2" s="1"/>
  <c r="B764" i="2"/>
  <c r="C764" i="2" s="1"/>
  <c r="B755" i="2"/>
  <c r="B11" i="2"/>
  <c r="B238" i="2"/>
  <c r="B596" i="2"/>
  <c r="B719" i="2"/>
  <c r="C719" i="2" s="1"/>
  <c r="B24" i="2"/>
  <c r="C24" i="2" s="1"/>
  <c r="B535" i="2"/>
  <c r="C535" i="2" s="1"/>
  <c r="B55" i="2"/>
  <c r="C55" i="2" s="1"/>
  <c r="B292" i="2"/>
  <c r="C292" i="2" s="1"/>
  <c r="B903" i="2"/>
  <c r="C903" i="2" s="1"/>
  <c r="B80" i="2"/>
  <c r="C80" i="2" s="1"/>
  <c r="B906" i="2"/>
  <c r="B10" i="2"/>
  <c r="B530" i="2"/>
  <c r="B455" i="2"/>
  <c r="C455" i="2" s="1"/>
  <c r="B240" i="2"/>
  <c r="B354" i="2"/>
  <c r="C354" i="2" s="1"/>
  <c r="B12" i="2"/>
  <c r="B323" i="2"/>
  <c r="B849" i="2"/>
  <c r="C849" i="2" s="1"/>
  <c r="B895" i="2"/>
  <c r="C895" i="2" s="1"/>
  <c r="B540" i="2"/>
  <c r="C540" i="2" s="1"/>
  <c r="B9" i="2"/>
  <c r="C9" i="2" s="1"/>
  <c r="B13" i="2"/>
  <c r="C13" i="2" s="1"/>
  <c r="B598" i="2"/>
  <c r="B209" i="2"/>
  <c r="B457" i="2"/>
  <c r="B482" i="2"/>
  <c r="C482" i="2" s="1"/>
  <c r="B989" i="2"/>
  <c r="C989" i="2" s="1"/>
  <c r="B629" i="2"/>
  <c r="C629" i="2" s="1"/>
  <c r="B514" i="2"/>
  <c r="C514" i="2" s="1"/>
  <c r="B825" i="2"/>
  <c r="C825" i="2" s="1"/>
  <c r="B508" i="2"/>
  <c r="C508" i="2" s="1"/>
  <c r="B783" i="2"/>
  <c r="C783" i="2" s="1"/>
  <c r="B868" i="2"/>
  <c r="C868" i="2" s="1"/>
  <c r="B407" i="2"/>
  <c r="C407" i="2" s="1"/>
  <c r="B413" i="2"/>
  <c r="B852" i="2"/>
  <c r="B884" i="2"/>
  <c r="C884" i="2" s="1"/>
  <c r="B909" i="2"/>
  <c r="B601" i="2"/>
  <c r="C601" i="2" s="1"/>
  <c r="B793" i="2"/>
  <c r="C793" i="2" s="1"/>
  <c r="B437" i="2"/>
  <c r="C437" i="2" s="1"/>
  <c r="B465" i="2"/>
  <c r="C465" i="2" s="1"/>
  <c r="B291" i="2"/>
  <c r="C291" i="2" s="1"/>
  <c r="B124" i="2"/>
  <c r="C124" i="2" s="1"/>
  <c r="B820" i="2"/>
  <c r="C820" i="2" s="1"/>
  <c r="B419" i="2"/>
  <c r="B138" i="2"/>
  <c r="C138" i="2" s="1"/>
  <c r="B774" i="2"/>
  <c r="B501" i="2"/>
  <c r="B160" i="2"/>
  <c r="C160" i="2" s="1"/>
  <c r="B996" i="2"/>
  <c r="C996" i="2" s="1"/>
  <c r="B835" i="2"/>
  <c r="C835" i="2" s="1"/>
  <c r="B338" i="2"/>
  <c r="B439" i="2"/>
  <c r="C439" i="2" s="1"/>
  <c r="B814" i="2"/>
  <c r="C814" i="2" s="1"/>
  <c r="B875" i="2"/>
  <c r="B620" i="2"/>
  <c r="B262" i="2"/>
  <c r="C262" i="2" s="1"/>
  <c r="B168" i="2"/>
  <c r="B245" i="2"/>
  <c r="B247" i="2"/>
  <c r="B181" i="2"/>
  <c r="C181" i="2" s="1"/>
  <c r="B187" i="2"/>
  <c r="C187" i="2" s="1"/>
  <c r="B443" i="2"/>
  <c r="B714" i="2"/>
  <c r="B843" i="2"/>
  <c r="B745" i="2"/>
  <c r="C745" i="2" s="1"/>
  <c r="B562" i="2"/>
  <c r="C562" i="2" s="1"/>
  <c r="B211" i="2"/>
  <c r="C211" i="2" s="1"/>
  <c r="B805" i="2"/>
  <c r="C805" i="2" s="1"/>
  <c r="B776" i="2"/>
  <c r="B628" i="2"/>
  <c r="B995" i="2"/>
  <c r="C995" i="2" s="1"/>
  <c r="B158" i="2"/>
  <c r="B302" i="2"/>
  <c r="C302" i="2" s="1"/>
  <c r="B618" i="2"/>
  <c r="C618" i="2" s="1"/>
  <c r="B538" i="2"/>
  <c r="B367" i="2"/>
  <c r="C367" i="2" s="1"/>
  <c r="B777" i="2"/>
  <c r="C777" i="2" s="1"/>
  <c r="B945" i="2"/>
  <c r="C945" i="2" s="1"/>
  <c r="B199" i="2"/>
  <c r="C199" i="2" s="1"/>
  <c r="B691" i="2"/>
  <c r="B560" i="2"/>
  <c r="B381" i="2"/>
  <c r="B433" i="2"/>
  <c r="B817" i="2"/>
  <c r="C817" i="2" s="1"/>
  <c r="B943" i="2"/>
  <c r="C943" i="2" s="1"/>
  <c r="B520" i="2"/>
  <c r="C520" i="2" s="1"/>
  <c r="B65" i="2"/>
  <c r="C65" i="2" s="1"/>
  <c r="B123" i="2"/>
  <c r="B477" i="2"/>
  <c r="C477" i="2" s="1"/>
  <c r="B142" i="2"/>
  <c r="C142" i="2" s="1"/>
  <c r="B406" i="2"/>
  <c r="B636" i="2"/>
  <c r="C636" i="2" s="1"/>
  <c r="B438" i="2"/>
  <c r="B686" i="2"/>
  <c r="B235" i="2"/>
  <c r="B233" i="2"/>
  <c r="B192" i="2"/>
  <c r="C192" i="2" s="1"/>
  <c r="B642" i="2"/>
  <c r="C642" i="2" s="1"/>
  <c r="B8" i="2"/>
  <c r="B60" i="2"/>
  <c r="C60" i="2" s="1"/>
  <c r="B513" i="2"/>
  <c r="C513" i="2" s="1"/>
  <c r="B507" i="2"/>
  <c r="C507" i="2" s="1"/>
  <c r="B701" i="2"/>
  <c r="C701" i="2" s="1"/>
  <c r="B424" i="2"/>
  <c r="B780" i="2"/>
  <c r="C780" i="2" s="1"/>
  <c r="B683" i="2"/>
  <c r="B965" i="2"/>
  <c r="B151" i="2"/>
  <c r="B634" i="2"/>
  <c r="B627" i="2"/>
  <c r="C627" i="2" s="1"/>
  <c r="B448" i="2"/>
  <c r="C448" i="2" s="1"/>
  <c r="B441" i="2"/>
  <c r="B709" i="2"/>
  <c r="C709" i="2" s="1"/>
  <c r="B957" i="2"/>
  <c r="C957" i="2" s="1"/>
  <c r="B128" i="2"/>
  <c r="B949" i="2"/>
  <c r="B287" i="2"/>
  <c r="B303" i="2"/>
  <c r="B973" i="2"/>
  <c r="C973" i="2" s="1"/>
  <c r="B552" i="2"/>
  <c r="B242" i="2"/>
  <c r="B733" i="2"/>
  <c r="C733" i="2" s="1"/>
  <c r="B61" i="2"/>
  <c r="C61" i="2" s="1"/>
  <c r="B288" i="2"/>
  <c r="C288" i="2" s="1"/>
  <c r="B357" i="2"/>
  <c r="B401" i="2"/>
  <c r="C401" i="2" s="1"/>
  <c r="B910" i="2"/>
  <c r="C910" i="2" s="1"/>
  <c r="B230" i="2"/>
  <c r="C230" i="2" s="1"/>
  <c r="B580" i="2"/>
  <c r="B398" i="2"/>
  <c r="C398" i="2" s="1"/>
  <c r="B304" i="2"/>
  <c r="B350" i="2"/>
  <c r="B206" i="2"/>
  <c r="B285" i="2"/>
  <c r="B599" i="2"/>
  <c r="C599" i="2" s="1"/>
  <c r="B250" i="2"/>
  <c r="C250" i="2" s="1"/>
  <c r="B232" i="2"/>
  <c r="C232" i="2" s="1"/>
  <c r="B474" i="2"/>
  <c r="C474" i="2" s="1"/>
  <c r="B337" i="2"/>
  <c r="C337" i="2" s="1"/>
  <c r="B64" i="2"/>
  <c r="C64" i="2" s="1"/>
  <c r="B461" i="2"/>
  <c r="B788" i="2"/>
  <c r="C788" i="2" s="1"/>
  <c r="B204" i="2"/>
  <c r="B503" i="2"/>
  <c r="C503" i="2" s="1"/>
  <c r="B991" i="2"/>
  <c r="B563" i="2"/>
  <c r="C563" i="2" s="1"/>
  <c r="B201" i="2"/>
  <c r="C201" i="2" s="1"/>
  <c r="B451" i="2"/>
  <c r="C451" i="2" s="1"/>
  <c r="B561" i="2"/>
  <c r="B525" i="2"/>
  <c r="C525" i="2" s="1"/>
  <c r="B546" i="2"/>
  <c r="C546" i="2" s="1"/>
  <c r="B256" i="2"/>
  <c r="C256" i="2" s="1"/>
  <c r="B326" i="2"/>
  <c r="B170" i="2"/>
  <c r="B747" i="2"/>
  <c r="B416" i="2"/>
  <c r="B478" i="2"/>
  <c r="C478" i="2" s="1"/>
  <c r="B907" i="2"/>
  <c r="C907" i="2" s="1"/>
  <c r="B761" i="2"/>
  <c r="B1002" i="2"/>
  <c r="B236" i="2"/>
  <c r="B68" i="2"/>
  <c r="B766" i="2"/>
  <c r="C766" i="2" s="1"/>
  <c r="B531" i="2"/>
  <c r="C531" i="2" s="1"/>
  <c r="B362" i="2"/>
  <c r="B183" i="2"/>
  <c r="B542" i="2"/>
  <c r="C542" i="2" s="1"/>
  <c r="B918" i="2"/>
  <c r="B911" i="2"/>
  <c r="B804" i="2"/>
  <c r="C804" i="2" s="1"/>
  <c r="B266" i="2"/>
  <c r="C266" i="2" s="1"/>
  <c r="B176" i="2"/>
  <c r="C176" i="2" s="1"/>
  <c r="B844" i="2"/>
  <c r="C844" i="2" s="1"/>
  <c r="B444" i="2"/>
  <c r="C444" i="2" s="1"/>
  <c r="B859" i="2"/>
  <c r="C859" i="2" s="1"/>
  <c r="B670" i="2"/>
  <c r="C670" i="2" s="1"/>
  <c r="B515" i="2"/>
  <c r="B961" i="2"/>
  <c r="C961" i="2" s="1"/>
  <c r="B811" i="2"/>
  <c r="C811" i="2" s="1"/>
  <c r="B536" i="2"/>
  <c r="B832" i="2"/>
  <c r="B195" i="2"/>
  <c r="B94" i="2"/>
  <c r="B900" i="2"/>
  <c r="C900" i="2" s="1"/>
  <c r="B359" i="2"/>
  <c r="C359" i="2" s="1"/>
  <c r="B228" i="2"/>
  <c r="C228" i="2" s="1"/>
  <c r="B933" i="2"/>
  <c r="B347" i="2"/>
  <c r="C347" i="2" s="1"/>
  <c r="B495" i="2"/>
  <c r="B386" i="2"/>
  <c r="C386" i="2" s="1"/>
  <c r="B846" i="2"/>
  <c r="C846" i="2" s="1"/>
  <c r="B19" i="2"/>
  <c r="C19" i="2" s="1"/>
  <c r="B971" i="2"/>
  <c r="B575" i="2"/>
  <c r="C575" i="2" s="1"/>
  <c r="B926" i="2"/>
  <c r="C926" i="2" s="1"/>
  <c r="B130" i="2"/>
  <c r="C130" i="2" s="1"/>
  <c r="B271" i="2"/>
  <c r="B87" i="2"/>
  <c r="C87" i="2" s="1"/>
  <c r="B429" i="2"/>
  <c r="C429" i="2" s="1"/>
  <c r="B851" i="2"/>
  <c r="B66" i="2"/>
  <c r="B189" i="2"/>
  <c r="C189" i="2" s="1"/>
  <c r="B219" i="2"/>
  <c r="B639" i="2"/>
  <c r="C639" i="2" s="1"/>
  <c r="B571" i="2"/>
  <c r="C571" i="2" s="1"/>
  <c r="B46" i="2"/>
  <c r="C46" i="2" s="1"/>
  <c r="B972" i="2"/>
  <c r="B210" i="2"/>
  <c r="C210" i="2" s="1"/>
  <c r="B756" i="2"/>
  <c r="C756" i="2" s="1"/>
  <c r="B5" i="2"/>
  <c r="C5" i="2" s="1"/>
  <c r="B593" i="2"/>
  <c r="C593" i="2" s="1"/>
  <c r="B942" i="2"/>
  <c r="C942" i="2" s="1"/>
  <c r="B784" i="2"/>
  <c r="C784" i="2" s="1"/>
  <c r="B908" i="2"/>
  <c r="B736" i="2"/>
  <c r="B886" i="2"/>
  <c r="B265" i="2"/>
  <c r="B616" i="2"/>
  <c r="B122" i="2"/>
  <c r="B857" i="2"/>
  <c r="C857" i="2" s="1"/>
  <c r="B609" i="2"/>
  <c r="C609" i="2" s="1"/>
  <c r="B813" i="2"/>
  <c r="C813" i="2" s="1"/>
  <c r="B239" i="2"/>
  <c r="C239" i="2" s="1"/>
  <c r="B664" i="2"/>
  <c r="B20" i="2"/>
  <c r="B648" i="2"/>
  <c r="B650" i="2"/>
  <c r="B449" i="2"/>
  <c r="C449" i="2" s="1"/>
  <c r="B594" i="2"/>
  <c r="C594" i="2" s="1"/>
  <c r="B939" i="2"/>
  <c r="C939" i="2" s="1"/>
  <c r="B283" i="2"/>
  <c r="B635" i="2"/>
  <c r="C635" i="2" s="1"/>
  <c r="B970" i="2"/>
  <c r="C970" i="2" s="1"/>
  <c r="B376" i="2"/>
  <c r="C376" i="2" s="1"/>
  <c r="B133" i="2"/>
  <c r="C133" i="2" s="1"/>
  <c r="B39" i="2"/>
  <c r="C39" i="2" s="1"/>
  <c r="B377" i="2"/>
  <c r="B23" i="2"/>
  <c r="B955" i="2"/>
  <c r="B830" i="2"/>
  <c r="B274" i="2"/>
  <c r="C274" i="2" s="1"/>
  <c r="B839" i="2"/>
  <c r="C839" i="2" s="1"/>
  <c r="B102" i="2"/>
  <c r="C102" i="2" s="1"/>
  <c r="B892" i="2"/>
  <c r="C892" i="2" s="1"/>
  <c r="B272" i="2"/>
  <c r="C272" i="2" s="1"/>
  <c r="B196" i="2"/>
  <c r="C196" i="2" s="1"/>
  <c r="B33" i="2"/>
  <c r="C33" i="2" s="1"/>
  <c r="B442" i="2"/>
  <c r="B724" i="2"/>
  <c r="C724" i="2" s="1"/>
  <c r="B816" i="2"/>
  <c r="B255" i="2"/>
  <c r="B566" i="2"/>
  <c r="B154" i="2"/>
  <c r="C154" i="2" s="1"/>
  <c r="B696" i="2"/>
  <c r="B543" i="2"/>
  <c r="B597" i="2"/>
  <c r="C597" i="2" s="1"/>
  <c r="B498" i="2"/>
  <c r="C498" i="2" s="1"/>
  <c r="B390" i="2"/>
  <c r="C390" i="2" s="1"/>
  <c r="B226" i="2"/>
  <c r="B591" i="2"/>
  <c r="B405" i="2"/>
  <c r="B815" i="2"/>
  <c r="B426" i="2"/>
  <c r="B261" i="2"/>
  <c r="B499" i="2"/>
  <c r="B273" i="2"/>
  <c r="C273" i="2" s="1"/>
  <c r="B855" i="2"/>
  <c r="B878" i="2"/>
  <c r="B951" i="2"/>
  <c r="C951" i="2" s="1"/>
  <c r="B694" i="2"/>
  <c r="C694" i="2" s="1"/>
  <c r="B617" i="2"/>
  <c r="C617" i="2" s="1"/>
  <c r="B643" i="2"/>
  <c r="C643" i="2" s="1"/>
  <c r="B459" i="2"/>
  <c r="B637" i="2"/>
  <c r="B434" i="2"/>
  <c r="C434" i="2" s="1"/>
  <c r="B698" i="2"/>
  <c r="C698" i="2" s="1"/>
  <c r="B872" i="2"/>
  <c r="B675" i="2"/>
  <c r="C675" i="2" s="1"/>
  <c r="B106" i="2"/>
  <c r="B21" i="2"/>
  <c r="C21" i="2" s="1"/>
  <c r="B790" i="2"/>
  <c r="C790" i="2" s="1"/>
  <c r="B666" i="2"/>
  <c r="C666" i="2" s="1"/>
  <c r="B638" i="2"/>
  <c r="C638" i="2" s="1"/>
  <c r="B867" i="2"/>
  <c r="C867" i="2" s="1"/>
  <c r="B257" i="2"/>
  <c r="B391" i="2"/>
  <c r="B300" i="2"/>
  <c r="B720" i="2"/>
  <c r="C720" i="2" s="1"/>
  <c r="B693" i="2"/>
  <c r="B656" i="2"/>
  <c r="C656" i="2" s="1"/>
  <c r="B679" i="2"/>
  <c r="B169" i="2"/>
  <c r="C169" i="2" s="1"/>
  <c r="B582" i="2"/>
  <c r="C582" i="2" s="1"/>
  <c r="B93" i="2"/>
  <c r="C93" i="2" s="1"/>
  <c r="B129" i="2"/>
  <c r="C129" i="2" s="1"/>
  <c r="B484" i="2"/>
  <c r="B34" i="2"/>
  <c r="B264" i="2"/>
  <c r="B711" i="2"/>
  <c r="C711" i="2" s="1"/>
  <c r="B117" i="2"/>
  <c r="C117" i="2" s="1"/>
  <c r="B159" i="2"/>
  <c r="C159" i="2" s="1"/>
  <c r="B604" i="2"/>
  <c r="C604" i="2" s="1"/>
  <c r="B904" i="2"/>
  <c r="C904" i="2" s="1"/>
  <c r="B660" i="2"/>
  <c r="C660" i="2" s="1"/>
  <c r="B301" i="2"/>
  <c r="C301" i="2" s="1"/>
  <c r="B744" i="2"/>
  <c r="C744" i="2" s="1"/>
  <c r="B140" i="2"/>
  <c r="B803" i="2"/>
  <c r="B258" i="2"/>
  <c r="B975" i="2"/>
  <c r="B743" i="2"/>
  <c r="B345" i="2"/>
  <c r="B392" i="2"/>
  <c r="C392" i="2" s="1"/>
  <c r="B58" i="2"/>
  <c r="B470" i="2"/>
  <c r="C470" i="2" s="1"/>
  <c r="B339" i="2"/>
  <c r="B340" i="2"/>
  <c r="B54" i="2"/>
  <c r="C54" i="2" s="1"/>
  <c r="B680" i="2"/>
  <c r="C680" i="2" s="1"/>
  <c r="B16" i="2"/>
  <c r="B633" i="2"/>
  <c r="B651" i="2"/>
  <c r="C651" i="2" s="1"/>
  <c r="B684" i="2"/>
  <c r="C684" i="2" s="1"/>
  <c r="B445" i="2"/>
  <c r="B992" i="2"/>
  <c r="C992" i="2" s="1"/>
  <c r="B324" i="2"/>
  <c r="C324" i="2" s="1"/>
  <c r="B661" i="2"/>
  <c r="B797" i="2"/>
  <c r="C797" i="2" s="1"/>
  <c r="B533" i="2"/>
  <c r="B837" i="2"/>
  <c r="C837" i="2" s="1"/>
  <c r="B573" i="2"/>
  <c r="B845" i="2"/>
  <c r="B545" i="2"/>
  <c r="B767" i="2"/>
  <c r="C767" i="2" s="1"/>
  <c r="B184" i="2"/>
  <c r="C184" i="2" s="1"/>
  <c r="B254" i="2"/>
  <c r="B585" i="2"/>
  <c r="B873" i="2"/>
  <c r="C873" i="2" s="1"/>
  <c r="B149" i="2"/>
  <c r="B137" i="2"/>
  <c r="C137" i="2" s="1"/>
  <c r="B425" i="2"/>
  <c r="C425" i="2" s="1"/>
  <c r="B697" i="2"/>
  <c r="C697" i="2" s="1"/>
  <c r="B469" i="2"/>
  <c r="C469" i="2" s="1"/>
  <c r="B769" i="2"/>
  <c r="B178" i="2"/>
  <c r="B864" i="2"/>
  <c r="C864" i="2" s="1"/>
  <c r="B681" i="2"/>
  <c r="C681" i="2" s="1"/>
  <c r="B131" i="2"/>
  <c r="B888" i="2"/>
  <c r="C888" i="2" s="1"/>
  <c r="B177" i="2"/>
  <c r="C177" i="2" s="1"/>
  <c r="B737" i="2"/>
  <c r="C737" i="2" s="1"/>
  <c r="B27" i="2"/>
  <c r="B126" i="2"/>
  <c r="C126" i="2" s="1"/>
  <c r="B692" i="2"/>
  <c r="C692" i="2" s="1"/>
  <c r="B328" i="2"/>
  <c r="C328" i="2" s="1"/>
  <c r="B631" i="2"/>
  <c r="B6" i="2"/>
  <c r="C6" i="2" s="1"/>
  <c r="B584" i="2"/>
  <c r="C583" i="2" s="1"/>
  <c r="B614" i="2"/>
  <c r="C614" i="2" s="1"/>
  <c r="B67" i="2"/>
  <c r="B86" i="2"/>
  <c r="B831" i="2"/>
  <c r="C831" i="2" s="1"/>
  <c r="B950" i="2"/>
  <c r="B641" i="2"/>
  <c r="C641" i="2" s="1"/>
  <c r="B114" i="2"/>
  <c r="C114" i="2" s="1"/>
  <c r="B243" i="2"/>
  <c r="C243" i="2" s="1"/>
  <c r="B539" i="2"/>
  <c r="C539" i="2" s="1"/>
  <c r="B968" i="2"/>
  <c r="B45" i="2"/>
  <c r="B674" i="2"/>
  <c r="B704" i="2"/>
  <c r="B801" i="2"/>
  <c r="C801" i="2" s="1"/>
  <c r="B924" i="2"/>
  <c r="C924" i="2" s="1"/>
  <c r="B619" i="2"/>
  <c r="B389" i="2"/>
  <c r="B964" i="2"/>
  <c r="C964" i="2" s="1"/>
  <c r="B592" i="2"/>
  <c r="C592" i="2" s="1"/>
  <c r="B608" i="2"/>
  <c r="C608" i="2" s="1"/>
  <c r="B69" i="2"/>
  <c r="C69" i="2" s="1"/>
  <c r="B322" i="2"/>
  <c r="B420" i="2"/>
  <c r="C420" i="2" s="1"/>
  <c r="B779" i="2"/>
  <c r="C779" i="2" s="1"/>
  <c r="B358" i="2"/>
  <c r="B732" i="2"/>
  <c r="B548" i="2"/>
  <c r="C548" i="2" s="1"/>
  <c r="B234" i="2"/>
  <c r="C68" i="2" l="1"/>
  <c r="C357" i="2"/>
  <c r="C356" i="2"/>
  <c r="C453" i="2"/>
  <c r="C452" i="2"/>
  <c r="C77" i="2"/>
  <c r="C76" i="2"/>
  <c r="C164" i="2"/>
  <c r="C163" i="2"/>
  <c r="C27" i="2"/>
  <c r="C26" i="2"/>
  <c r="C878" i="2"/>
  <c r="C877" i="2"/>
  <c r="C606" i="2"/>
  <c r="C605" i="2"/>
  <c r="C497" i="2"/>
  <c r="C389" i="2"/>
  <c r="C950" i="2"/>
  <c r="C149" i="2"/>
  <c r="C661" i="2"/>
  <c r="C450" i="2"/>
  <c r="C997" i="4"/>
  <c r="C107" i="4"/>
  <c r="C727" i="4"/>
  <c r="C297" i="4"/>
  <c r="C624" i="4"/>
  <c r="C623" i="4"/>
  <c r="C268" i="4"/>
  <c r="C267" i="4"/>
  <c r="C273" i="4"/>
  <c r="C996" i="4"/>
  <c r="C140" i="4"/>
  <c r="C550" i="4"/>
  <c r="C249" i="4"/>
  <c r="C887" i="4"/>
  <c r="C325" i="4"/>
  <c r="C628" i="4"/>
  <c r="C875" i="2"/>
  <c r="C874" i="2"/>
  <c r="C353" i="2"/>
  <c r="C352" i="2"/>
  <c r="C271" i="2"/>
  <c r="C111" i="2"/>
  <c r="C110" i="2"/>
  <c r="C956" i="2"/>
  <c r="C843" i="2"/>
  <c r="C740" i="2"/>
  <c r="C316" i="4"/>
  <c r="C616" i="2"/>
  <c r="C615" i="2"/>
  <c r="C120" i="3"/>
  <c r="C159" i="3"/>
  <c r="C688" i="3"/>
  <c r="C326" i="3"/>
  <c r="C868" i="3"/>
  <c r="C573" i="2"/>
  <c r="C572" i="2"/>
  <c r="C140" i="2"/>
  <c r="C139" i="2"/>
  <c r="C226" i="2"/>
  <c r="C225" i="2"/>
  <c r="C589" i="2"/>
  <c r="C588" i="2"/>
  <c r="C665" i="2"/>
  <c r="C361" i="2"/>
  <c r="C360" i="2"/>
  <c r="C343" i="2"/>
  <c r="C342" i="2"/>
  <c r="C473" i="2"/>
  <c r="C107" i="2"/>
  <c r="C533" i="2"/>
  <c r="C532" i="2"/>
  <c r="C340" i="2"/>
  <c r="C561" i="2"/>
  <c r="C506" i="2"/>
  <c r="C468" i="2"/>
  <c r="C894" i="2"/>
  <c r="C893" i="2"/>
  <c r="C754" i="2"/>
  <c r="C753" i="2"/>
  <c r="C382" i="2"/>
  <c r="C607" i="2"/>
  <c r="C125" i="2"/>
  <c r="C92" i="2"/>
  <c r="C811" i="3"/>
  <c r="C441" i="2"/>
  <c r="C440" i="2"/>
  <c r="C123" i="2"/>
  <c r="C75" i="2"/>
  <c r="C74" i="2"/>
  <c r="C249" i="2"/>
  <c r="C722" i="2"/>
  <c r="C318" i="2"/>
  <c r="C696" i="2"/>
  <c r="C195" i="2"/>
  <c r="C285" i="2"/>
  <c r="C443" i="2"/>
  <c r="C148" i="2"/>
  <c r="C585" i="2"/>
  <c r="C493" i="2"/>
  <c r="C315" i="4"/>
  <c r="C450" i="4"/>
  <c r="C746" i="4"/>
  <c r="C398" i="4"/>
  <c r="C397" i="4"/>
  <c r="C298" i="4"/>
  <c r="C228" i="4"/>
  <c r="C663" i="4"/>
  <c r="C449" i="4"/>
  <c r="C581" i="4"/>
  <c r="C439" i="4"/>
  <c r="C188" i="4"/>
  <c r="C716" i="4"/>
  <c r="C825" i="4"/>
  <c r="C541" i="4"/>
  <c r="C758" i="4"/>
  <c r="C702" i="4"/>
  <c r="C196" i="4"/>
  <c r="C119" i="4"/>
  <c r="C741" i="4"/>
  <c r="C904" i="4"/>
  <c r="C665" i="4"/>
  <c r="C674" i="4"/>
  <c r="C673" i="4"/>
  <c r="C695" i="4"/>
  <c r="C815" i="4"/>
  <c r="C567" i="4"/>
  <c r="C97" i="4"/>
  <c r="C236" i="2"/>
  <c r="C921" i="2"/>
  <c r="C505" i="2"/>
  <c r="C504" i="2"/>
  <c r="C985" i="2"/>
  <c r="C669" i="2"/>
  <c r="C668" i="2"/>
  <c r="C322" i="4"/>
  <c r="C699" i="4"/>
  <c r="C710" i="4"/>
  <c r="C902" i="4"/>
  <c r="C372" i="4"/>
  <c r="C771" i="2"/>
  <c r="C708" i="2"/>
  <c r="C272" i="4"/>
  <c r="C132" i="2"/>
  <c r="C215" i="2"/>
  <c r="C214" i="2"/>
  <c r="C625" i="2"/>
  <c r="C994" i="2"/>
  <c r="C993" i="2"/>
  <c r="C339" i="2"/>
  <c r="C799" i="2"/>
  <c r="C86" i="2"/>
  <c r="C484" i="2"/>
  <c r="C483" i="2"/>
  <c r="C591" i="2"/>
  <c r="C442" i="2"/>
  <c r="C664" i="2"/>
  <c r="C851" i="2"/>
  <c r="C850" i="2"/>
  <c r="C949" i="2"/>
  <c r="C424" i="2"/>
  <c r="C691" i="2"/>
  <c r="C690" i="2"/>
  <c r="C419" i="2"/>
  <c r="C418" i="2"/>
  <c r="C906" i="2"/>
  <c r="C91" i="2"/>
  <c r="C220" i="2"/>
  <c r="C375" i="2"/>
  <c r="C838" i="2"/>
  <c r="C856" i="2"/>
  <c r="C574" i="2"/>
  <c r="C828" i="2"/>
  <c r="C590" i="2"/>
  <c r="C59" i="2"/>
  <c r="C750" i="2"/>
  <c r="C749" i="2"/>
  <c r="C229" i="2"/>
  <c r="C198" i="2"/>
  <c r="C197" i="2"/>
  <c r="C933" i="2"/>
  <c r="C128" i="2"/>
  <c r="C406" i="2"/>
  <c r="C620" i="2"/>
  <c r="C290" i="2"/>
  <c r="C919" i="2"/>
  <c r="C313" i="2"/>
  <c r="C312" i="2"/>
  <c r="C836" i="2"/>
  <c r="C963" i="2"/>
  <c r="C962" i="2"/>
  <c r="C782" i="2"/>
  <c r="C981" i="2"/>
  <c r="C980" i="2"/>
  <c r="C809" i="2"/>
  <c r="C977" i="2"/>
  <c r="C432" i="2"/>
  <c r="C1000" i="2"/>
  <c r="C644" i="2"/>
  <c r="C553" i="2"/>
  <c r="C38" i="2"/>
  <c r="C37" i="2"/>
  <c r="C496" i="2"/>
  <c r="C518" i="2"/>
  <c r="C517" i="2"/>
  <c r="C765" i="2"/>
  <c r="C175" i="2"/>
  <c r="C808" i="2"/>
  <c r="C278" i="2"/>
  <c r="C598" i="4"/>
  <c r="C547" i="3"/>
  <c r="C903" i="3"/>
  <c r="C368" i="3"/>
  <c r="C961" i="3"/>
  <c r="C223" i="3"/>
  <c r="C452" i="3"/>
  <c r="C277" i="3"/>
  <c r="C339" i="3"/>
  <c r="C864" i="3"/>
  <c r="C955" i="3"/>
  <c r="C319" i="3"/>
  <c r="C694" i="3"/>
  <c r="C251" i="3"/>
  <c r="C567" i="3"/>
  <c r="C665" i="3"/>
  <c r="C660" i="3"/>
  <c r="C288" i="3"/>
  <c r="C397" i="3"/>
  <c r="C551" i="3"/>
  <c r="C806" i="3"/>
  <c r="C213" i="3"/>
  <c r="C187" i="3"/>
  <c r="C502" i="3"/>
  <c r="C607" i="3"/>
  <c r="C959" i="2"/>
  <c r="C958" i="2"/>
  <c r="C902" i="2"/>
  <c r="C1001" i="2"/>
  <c r="C881" i="2"/>
  <c r="C623" i="2"/>
  <c r="C361" i="4"/>
  <c r="C714" i="4"/>
  <c r="C191" i="4"/>
  <c r="C63" i="4"/>
  <c r="C805" i="4"/>
  <c r="C81" i="4"/>
  <c r="C324" i="4"/>
  <c r="C916" i="4"/>
  <c r="C384" i="4"/>
  <c r="C391" i="4"/>
  <c r="C254" i="4"/>
  <c r="C680" i="4"/>
  <c r="C721" i="4"/>
  <c r="C438" i="4"/>
  <c r="C677" i="4"/>
  <c r="C657" i="4"/>
  <c r="C536" i="4"/>
  <c r="C540" i="4"/>
  <c r="C59" i="4"/>
  <c r="C679" i="4"/>
  <c r="C145" i="4"/>
  <c r="C271" i="4"/>
  <c r="C183" i="3"/>
  <c r="C817" i="3"/>
  <c r="C45" i="3"/>
  <c r="C482" i="3"/>
  <c r="C687" i="3"/>
  <c r="C574" i="3"/>
  <c r="C389" i="3"/>
  <c r="C162" i="3"/>
  <c r="C106" i="3"/>
  <c r="C795" i="3"/>
  <c r="C719" i="3"/>
  <c r="C994" i="3"/>
  <c r="C18" i="3"/>
  <c r="C316" i="3"/>
  <c r="C782" i="3"/>
  <c r="C29" i="3"/>
  <c r="C735" i="3"/>
  <c r="C967" i="3"/>
  <c r="C847" i="3"/>
  <c r="C673" i="3"/>
  <c r="C933" i="3"/>
  <c r="C132" i="3"/>
  <c r="C86" i="3"/>
  <c r="C891" i="3"/>
  <c r="C999" i="3"/>
  <c r="C712" i="3"/>
  <c r="C35" i="3"/>
  <c r="C947" i="3"/>
  <c r="C293" i="3"/>
  <c r="C94" i="3"/>
  <c r="C342" i="3"/>
  <c r="C174" i="3"/>
  <c r="C451" i="3"/>
  <c r="C93" i="3"/>
  <c r="C563" i="3"/>
  <c r="C5" i="3"/>
  <c r="C701" i="4"/>
  <c r="C502" i="4"/>
  <c r="C651" i="4"/>
  <c r="C27" i="4"/>
  <c r="C730" i="4"/>
  <c r="C280" i="4"/>
  <c r="C634" i="4"/>
  <c r="C285" i="4"/>
  <c r="C766" i="4"/>
  <c r="C234" i="2"/>
  <c r="C619" i="2"/>
  <c r="C58" i="2"/>
  <c r="C679" i="2"/>
  <c r="C106" i="2"/>
  <c r="C855" i="2"/>
  <c r="C543" i="2"/>
  <c r="C283" i="2"/>
  <c r="C282" i="2"/>
  <c r="C122" i="2"/>
  <c r="C972" i="2"/>
  <c r="C94" i="2"/>
  <c r="C761" i="2"/>
  <c r="C8" i="2"/>
  <c r="C7" i="2"/>
  <c r="C538" i="2"/>
  <c r="C714" i="2"/>
  <c r="C338" i="2"/>
  <c r="C323" i="2"/>
  <c r="C428" i="2"/>
  <c r="C578" i="2"/>
  <c r="C757" i="2"/>
  <c r="C581" i="2"/>
  <c r="C861" i="2"/>
  <c r="C726" i="2"/>
  <c r="C990" i="2"/>
  <c r="C710" i="2"/>
  <c r="C947" i="2"/>
  <c r="C988" i="2"/>
  <c r="C547" i="2"/>
  <c r="C930" i="2"/>
  <c r="C314" i="2"/>
  <c r="C798" i="2"/>
  <c r="C332" i="2"/>
  <c r="C659" i="2"/>
  <c r="C887" i="2"/>
  <c r="C729" i="2"/>
  <c r="C40" i="2"/>
  <c r="C524" i="2"/>
  <c r="C523" i="2"/>
  <c r="C90" i="2"/>
  <c r="C925" i="2"/>
  <c r="C653" i="2"/>
  <c r="C775" i="4"/>
  <c r="C103" i="4"/>
  <c r="C321" i="4"/>
  <c r="C669" i="4"/>
  <c r="C569" i="4"/>
  <c r="C11" i="4"/>
  <c r="C675" i="4"/>
  <c r="C849" i="4"/>
  <c r="C238" i="4"/>
  <c r="C1000" i="4"/>
  <c r="C900" i="4"/>
  <c r="C187" i="4"/>
  <c r="C919" i="4"/>
  <c r="C886" i="4"/>
  <c r="C125" i="4"/>
  <c r="C817" i="4"/>
  <c r="C936" i="4"/>
  <c r="C848" i="4"/>
  <c r="C798" i="4"/>
  <c r="C745" i="4"/>
  <c r="C248" i="4"/>
  <c r="C93" i="4"/>
  <c r="C29" i="4"/>
  <c r="C796" i="4"/>
  <c r="C661" i="4"/>
  <c r="C929" i="4"/>
  <c r="C928" i="4"/>
  <c r="C199" i="4"/>
  <c r="C276" i="4"/>
  <c r="C346" i="2"/>
  <c r="C70" i="3"/>
  <c r="C888" i="3"/>
  <c r="C364" i="3"/>
  <c r="C41" i="3"/>
  <c r="C249" i="3"/>
  <c r="C732" i="2"/>
  <c r="C254" i="2"/>
  <c r="C693" i="2"/>
  <c r="C832" i="2"/>
  <c r="C206" i="2"/>
  <c r="C695" i="2"/>
  <c r="C880" i="2"/>
  <c r="C236" i="4"/>
  <c r="C813" i="4"/>
  <c r="C444" i="4"/>
  <c r="C840" i="4"/>
  <c r="C862" i="4"/>
  <c r="C909" i="4"/>
  <c r="C365" i="4"/>
  <c r="C479" i="4"/>
  <c r="C302" i="4"/>
  <c r="C301" i="4"/>
  <c r="C404" i="3"/>
  <c r="C136" i="3"/>
  <c r="C20" i="3"/>
  <c r="C312" i="3"/>
  <c r="C807" i="3"/>
  <c r="C756" i="3"/>
  <c r="C438" i="3"/>
  <c r="C220" i="3"/>
  <c r="C363" i="3"/>
  <c r="C701" i="3"/>
  <c r="C225" i="3"/>
  <c r="C359" i="3"/>
  <c r="C33" i="3"/>
  <c r="C664" i="3"/>
  <c r="C989" i="3"/>
  <c r="C901" i="3"/>
  <c r="C190" i="3"/>
  <c r="C871" i="3"/>
  <c r="C119" i="3"/>
  <c r="C523" i="3"/>
  <c r="C126" i="3"/>
  <c r="C992" i="3"/>
  <c r="C924" i="3"/>
  <c r="C700" i="3"/>
  <c r="C12" i="2"/>
  <c r="C792" i="2"/>
  <c r="C4" i="2"/>
  <c r="C526" i="2"/>
  <c r="C227" i="2"/>
  <c r="C136" i="2"/>
  <c r="C53" i="2"/>
  <c r="C70" i="2"/>
  <c r="C476" i="2"/>
  <c r="C223" i="2"/>
  <c r="C504" i="4"/>
  <c r="C453" i="3"/>
  <c r="C621" i="3"/>
  <c r="C75" i="3"/>
  <c r="C325" i="3"/>
  <c r="C155" i="3"/>
  <c r="C995" i="3"/>
  <c r="C74" i="3"/>
  <c r="C487" i="3"/>
  <c r="C357" i="3"/>
  <c r="C508" i="3"/>
  <c r="C872" i="3"/>
  <c r="C67" i="2"/>
  <c r="C131" i="2"/>
  <c r="C445" i="2"/>
  <c r="C345" i="2"/>
  <c r="C872" i="2"/>
  <c r="C871" i="2"/>
  <c r="C499" i="2"/>
  <c r="C265" i="2"/>
  <c r="C971" i="2"/>
  <c r="C911" i="2"/>
  <c r="C991" i="2"/>
  <c r="C242" i="2"/>
  <c r="C634" i="2"/>
  <c r="C649" i="2"/>
  <c r="C396" i="2"/>
  <c r="C901" i="2"/>
  <c r="C85" i="2"/>
  <c r="C824" i="2"/>
  <c r="C32" i="2"/>
  <c r="C778" i="2"/>
  <c r="C999" i="2"/>
  <c r="C521" i="2"/>
  <c r="C360" i="4"/>
  <c r="C860" i="4"/>
  <c r="C689" i="4"/>
  <c r="C688" i="4"/>
  <c r="C707" i="4"/>
  <c r="C952" i="4"/>
  <c r="C390" i="4"/>
  <c r="C400" i="4"/>
  <c r="C851" i="4"/>
  <c r="C546" i="4"/>
  <c r="C514" i="4"/>
  <c r="C419" i="4"/>
  <c r="C213" i="4"/>
  <c r="C331" i="4"/>
  <c r="C371" i="4"/>
  <c r="C53" i="4"/>
  <c r="C866" i="4"/>
  <c r="C117" i="4"/>
  <c r="C348" i="4"/>
  <c r="C881" i="4"/>
  <c r="C470" i="4"/>
  <c r="C3" i="4"/>
  <c r="C55" i="4"/>
  <c r="C901" i="4"/>
  <c r="C182" i="4"/>
  <c r="C46" i="4"/>
  <c r="C147" i="4"/>
  <c r="C1001" i="4"/>
  <c r="C902" i="3"/>
  <c r="C51" i="3"/>
  <c r="C358" i="2"/>
  <c r="C704" i="2"/>
  <c r="C743" i="2"/>
  <c r="C261" i="2"/>
  <c r="C566" i="2"/>
  <c r="C830" i="2"/>
  <c r="C886" i="2"/>
  <c r="C536" i="2"/>
  <c r="C918" i="2"/>
  <c r="C416" i="2"/>
  <c r="C350" i="2"/>
  <c r="C552" i="2"/>
  <c r="C151" i="2"/>
  <c r="C233" i="2"/>
  <c r="C158" i="2"/>
  <c r="C909" i="2"/>
  <c r="C240" i="2"/>
  <c r="C596" i="2"/>
  <c r="C42" i="2"/>
  <c r="C393" i="2"/>
  <c r="C916" i="2"/>
  <c r="C915" i="2"/>
  <c r="C834" i="2"/>
  <c r="C194" i="2"/>
  <c r="C253" i="2"/>
  <c r="C252" i="2"/>
  <c r="C472" i="2"/>
  <c r="C400" i="2"/>
  <c r="C35" i="2"/>
  <c r="C932" i="2"/>
  <c r="C121" i="2"/>
  <c r="C759" i="2"/>
  <c r="C987" i="2"/>
  <c r="C246" i="2"/>
  <c r="C369" i="2"/>
  <c r="C368" i="2"/>
  <c r="C270" i="2"/>
  <c r="C463" i="2"/>
  <c r="C430" i="2"/>
  <c r="C796" i="2"/>
  <c r="C795" i="2"/>
  <c r="C812" i="2"/>
  <c r="C866" i="2"/>
  <c r="C610" i="2"/>
  <c r="C307" i="2"/>
  <c r="C306" i="2"/>
  <c r="C462" i="2"/>
  <c r="C370" i="2"/>
  <c r="C519" i="2"/>
  <c r="C602" i="2"/>
  <c r="C678" i="2"/>
  <c r="C423" i="2"/>
  <c r="C415" i="2"/>
  <c r="C48" i="2"/>
  <c r="C819" i="2"/>
  <c r="C120" i="2"/>
  <c r="C950" i="4"/>
  <c r="C45" i="4"/>
  <c r="C668" i="4"/>
  <c r="C100" i="4"/>
  <c r="C314" i="4"/>
  <c r="C389" i="4"/>
  <c r="C662" i="4"/>
  <c r="C363" i="4"/>
  <c r="C507" i="4"/>
  <c r="C359" i="4"/>
  <c r="C383" i="4"/>
  <c r="C890" i="4"/>
  <c r="C821" i="4"/>
  <c r="C26" i="4"/>
  <c r="C897" i="4"/>
  <c r="C843" i="4"/>
  <c r="C405" i="4"/>
  <c r="C784" i="4"/>
  <c r="C614" i="4"/>
  <c r="C377" i="4"/>
  <c r="C577" i="4"/>
  <c r="C533" i="4"/>
  <c r="C896" i="4"/>
  <c r="C144" i="4"/>
  <c r="C116" i="4"/>
  <c r="C292" i="4"/>
  <c r="C417" i="4"/>
  <c r="C433" i="4"/>
  <c r="C525" i="4"/>
  <c r="C90" i="4"/>
  <c r="C211" i="4"/>
  <c r="C857" i="4"/>
  <c r="C411" i="4"/>
  <c r="C376" i="4"/>
  <c r="C579" i="4"/>
  <c r="C973" i="4"/>
  <c r="C210" i="4"/>
  <c r="C566" i="4"/>
  <c r="C388" i="4"/>
  <c r="C692" i="4"/>
  <c r="C253" i="4"/>
  <c r="C62" i="4"/>
  <c r="C812" i="4"/>
  <c r="C923" i="2"/>
  <c r="C978" i="2"/>
  <c r="C920" i="2"/>
  <c r="C674" i="2"/>
  <c r="C584" i="2"/>
  <c r="C975" i="2"/>
  <c r="C300" i="2"/>
  <c r="C426" i="2"/>
  <c r="C255" i="2"/>
  <c r="C955" i="2"/>
  <c r="C650" i="2"/>
  <c r="C736" i="2"/>
  <c r="C219" i="2"/>
  <c r="C747" i="2"/>
  <c r="C204" i="2"/>
  <c r="C203" i="2"/>
  <c r="C304" i="2"/>
  <c r="C965" i="2"/>
  <c r="C235" i="2"/>
  <c r="C433" i="2"/>
  <c r="C247" i="2"/>
  <c r="C501" i="2"/>
  <c r="C457" i="2"/>
  <c r="C238" i="2"/>
  <c r="C89" i="2"/>
  <c r="C88" i="2"/>
  <c r="C512" i="2"/>
  <c r="C511" i="2"/>
  <c r="C689" i="2"/>
  <c r="C688" i="2"/>
  <c r="C706" i="2"/>
  <c r="C500" i="2"/>
  <c r="C179" i="2"/>
  <c r="C431" i="2"/>
  <c r="C231" i="2"/>
  <c r="C557" i="2"/>
  <c r="C556" i="2"/>
  <c r="C186" i="2"/>
  <c r="C969" i="2"/>
  <c r="C98" i="2"/>
  <c r="C29" i="2"/>
  <c r="C763" i="2"/>
  <c r="C944" i="2"/>
  <c r="C863" i="2"/>
  <c r="C14" i="2"/>
  <c r="C395" i="2"/>
  <c r="C372" i="2"/>
  <c r="C309" i="2"/>
  <c r="C915" i="4"/>
  <c r="C466" i="3"/>
  <c r="C352" i="3"/>
  <c r="C252" i="3"/>
  <c r="C262" i="3"/>
  <c r="C503" i="3"/>
  <c r="C943" i="3"/>
  <c r="C248" i="3"/>
  <c r="C629" i="3"/>
  <c r="C142" i="3"/>
  <c r="C713" i="3"/>
  <c r="C803" i="3"/>
  <c r="C379" i="3"/>
  <c r="C514" i="3"/>
  <c r="C9" i="3"/>
  <c r="C905" i="3"/>
  <c r="C367" i="3"/>
  <c r="C243" i="3"/>
  <c r="C496" i="3"/>
  <c r="C286" i="3"/>
  <c r="C167" i="3"/>
  <c r="C491" i="3"/>
  <c r="C164" i="3"/>
  <c r="C546" i="3"/>
  <c r="C145" i="3"/>
  <c r="C758" i="3"/>
  <c r="C417" i="3"/>
  <c r="C414" i="3"/>
  <c r="C151" i="3"/>
  <c r="C154" i="3"/>
  <c r="C399" i="3"/>
  <c r="C425" i="3"/>
  <c r="C686" i="4"/>
  <c r="C496" i="4"/>
  <c r="C610" i="4"/>
  <c r="C150" i="4"/>
  <c r="C517" i="4"/>
  <c r="C868" i="4"/>
  <c r="C626" i="4"/>
  <c r="C282" i="4"/>
  <c r="C554" i="4"/>
  <c r="C969" i="4"/>
  <c r="C77" i="4"/>
  <c r="C89" i="4"/>
  <c r="C864" i="4"/>
  <c r="C978" i="4"/>
  <c r="C337" i="4"/>
  <c r="C630" i="4"/>
  <c r="C443" i="4"/>
  <c r="C42" i="4"/>
  <c r="C320" i="4"/>
  <c r="C472" i="4"/>
  <c r="C498" i="4"/>
  <c r="C486" i="4"/>
  <c r="C621" i="4"/>
  <c r="C394" i="4"/>
  <c r="C512" i="4"/>
  <c r="C492" i="4"/>
  <c r="C291" i="4"/>
  <c r="C612" i="4"/>
  <c r="C792" i="4"/>
  <c r="C158" i="4"/>
  <c r="C485" i="4"/>
  <c r="C141" i="3"/>
  <c r="C530" i="3"/>
  <c r="C139" i="3"/>
  <c r="C341" i="3"/>
  <c r="C953" i="3"/>
  <c r="C465" i="3"/>
  <c r="C587" i="3"/>
  <c r="C670" i="3"/>
  <c r="C628" i="3"/>
  <c r="C926" i="3"/>
  <c r="C222" i="3"/>
  <c r="C802" i="3"/>
  <c r="C423" i="3"/>
  <c r="C855" i="3"/>
  <c r="C894" i="3"/>
  <c r="C247" i="3"/>
  <c r="C32" i="3"/>
  <c r="C532" i="3"/>
  <c r="C117" i="3"/>
  <c r="C930" i="3"/>
  <c r="C114" i="3"/>
  <c r="C914" i="3"/>
  <c r="C746" i="3"/>
  <c r="C734" i="3"/>
  <c r="C26" i="3"/>
  <c r="C66" i="3"/>
  <c r="C658" i="3"/>
  <c r="C172" i="3"/>
  <c r="C205" i="3"/>
  <c r="C463" i="3"/>
  <c r="C693" i="3"/>
  <c r="C212" i="3"/>
  <c r="C375" i="3"/>
  <c r="C484" i="3"/>
  <c r="C997" i="3"/>
  <c r="C805" i="3"/>
  <c r="C22" i="3"/>
  <c r="C983" i="3"/>
  <c r="C332" i="3"/>
  <c r="C24" i="3"/>
  <c r="C627" i="3"/>
  <c r="C787" i="3"/>
  <c r="C557" i="3"/>
  <c r="C189" i="3"/>
  <c r="C242" i="3"/>
  <c r="C641" i="3"/>
  <c r="C270" i="3"/>
  <c r="C266" i="3"/>
  <c r="C845" i="3"/>
  <c r="C682" i="3"/>
  <c r="C388" i="3"/>
  <c r="C910" i="3"/>
  <c r="C651" i="3"/>
  <c r="C433" i="3"/>
  <c r="C174" i="2"/>
  <c r="C436" i="2"/>
  <c r="C411" i="2"/>
  <c r="C218" i="2"/>
  <c r="C62" i="2"/>
  <c r="C613" i="2"/>
  <c r="C721" i="2"/>
  <c r="C954" i="2"/>
  <c r="C905" i="2"/>
  <c r="C447" i="2"/>
  <c r="C329" i="2"/>
  <c r="C83" i="2"/>
  <c r="C374" i="2"/>
  <c r="C840" i="2"/>
  <c r="C410" i="2"/>
  <c r="C356" i="4"/>
  <c r="C441" i="4"/>
  <c r="C833" i="4"/>
  <c r="C633" i="4"/>
  <c r="C838" i="4"/>
  <c r="C106" i="4"/>
  <c r="C159" i="4"/>
  <c r="C874" i="4"/>
  <c r="C810" i="4"/>
  <c r="C343" i="4"/>
  <c r="C772" i="4"/>
  <c r="C115" i="4"/>
  <c r="C944" i="4"/>
  <c r="C143" i="4"/>
  <c r="C842" i="4"/>
  <c r="C40" i="4"/>
  <c r="C808" i="4"/>
  <c r="C35" i="4"/>
  <c r="C235" i="4"/>
  <c r="C232" i="4"/>
  <c r="C934" i="4"/>
  <c r="C724" i="4"/>
  <c r="C855" i="4"/>
  <c r="C895" i="4"/>
  <c r="C20" i="4"/>
  <c r="C871" i="4"/>
  <c r="C67" i="4"/>
  <c r="C181" i="4"/>
  <c r="C416" i="4"/>
  <c r="C835" i="4"/>
  <c r="C335" i="4"/>
  <c r="C877" i="4"/>
  <c r="C763" i="4"/>
  <c r="C138" i="4"/>
  <c r="C436" i="4"/>
  <c r="C458" i="4"/>
  <c r="C596" i="4"/>
  <c r="C522" i="4"/>
  <c r="C185" i="4"/>
  <c r="C831" i="4"/>
  <c r="C853" i="4"/>
  <c r="C683" i="4"/>
  <c r="C351" i="4"/>
  <c r="C488" i="4"/>
  <c r="C9" i="4"/>
  <c r="C859" i="4"/>
  <c r="C33" i="4"/>
  <c r="C454" i="4"/>
  <c r="C892" i="4"/>
  <c r="C642" i="4"/>
  <c r="C788" i="4"/>
  <c r="C354" i="4"/>
  <c r="C495" i="4"/>
  <c r="C122" i="4"/>
  <c r="C777" i="4"/>
  <c r="C557" i="4"/>
  <c r="C429" i="4"/>
  <c r="C171" i="4"/>
  <c r="C110" i="4"/>
  <c r="C753" i="4"/>
  <c r="C694" i="4"/>
  <c r="C58" i="4"/>
  <c r="C432" i="4"/>
  <c r="C801" i="4"/>
  <c r="C329" i="4"/>
  <c r="C163" i="4"/>
  <c r="C602" i="4"/>
  <c r="C595" i="4"/>
  <c r="C468" i="4"/>
  <c r="C403" i="3"/>
  <c r="C525" i="3"/>
  <c r="C178" i="3"/>
  <c r="C936" i="3"/>
  <c r="C459" i="3"/>
  <c r="C881" i="3"/>
  <c r="C743" i="3"/>
  <c r="C90" i="3"/>
  <c r="C40" i="3"/>
  <c r="C857" i="3"/>
  <c r="C348" i="3"/>
  <c r="C385" i="3"/>
  <c r="C541" i="3"/>
  <c r="C677" i="3"/>
  <c r="C481" i="3"/>
  <c r="C362" i="3"/>
  <c r="C128" i="3"/>
  <c r="C885" i="3"/>
  <c r="C577" i="3"/>
  <c r="C770" i="3"/>
  <c r="C745" i="3"/>
  <c r="C585" i="3"/>
  <c r="C292" i="3"/>
  <c r="C233" i="3"/>
  <c r="C538" i="3"/>
  <c r="C412" i="3"/>
  <c r="C69" i="3"/>
  <c r="C144" i="3"/>
  <c r="C77" i="3"/>
  <c r="C238" i="3"/>
  <c r="C810" i="3"/>
  <c r="C296" i="3"/>
  <c r="C750" i="3"/>
  <c r="C304" i="3"/>
  <c r="C643" i="3"/>
  <c r="C553" i="3"/>
  <c r="C716" i="3"/>
  <c r="C624" i="3"/>
  <c r="C192" i="3"/>
  <c r="C281" i="3"/>
  <c r="C920" i="3"/>
  <c r="C565" i="3"/>
  <c r="C617" i="3"/>
  <c r="C699" i="3"/>
  <c r="C47" i="3"/>
  <c r="C835" i="3"/>
  <c r="C863" i="3"/>
  <c r="C280" i="3"/>
  <c r="C932" i="3"/>
  <c r="C445" i="3"/>
  <c r="C648" i="3"/>
  <c r="C517" i="3"/>
  <c r="C867" i="3"/>
  <c r="C604" i="3"/>
  <c r="C794" i="3"/>
  <c r="C752" i="3"/>
  <c r="C315" i="3"/>
  <c r="C123" i="3"/>
  <c r="C456" i="3"/>
  <c r="C876" i="3"/>
  <c r="C306" i="3"/>
  <c r="C494" i="3"/>
  <c r="C942" i="3"/>
  <c r="C402" i="3"/>
  <c r="C486" i="3"/>
  <c r="C505" i="3"/>
  <c r="C597" i="3"/>
  <c r="C946" i="3"/>
  <c r="C579" i="3"/>
  <c r="C555" i="3"/>
  <c r="C210" i="3"/>
  <c r="C610" i="3"/>
  <c r="C640" i="3"/>
  <c r="C78" i="2"/>
  <c r="C161" i="2"/>
  <c r="C156" i="2"/>
  <c r="C135" i="2"/>
  <c r="C3" i="2"/>
  <c r="C166" i="2"/>
  <c r="C486" i="2"/>
  <c r="C320" i="2"/>
  <c r="C341" i="4"/>
  <c r="C726" i="4"/>
  <c r="C456" i="4"/>
  <c r="C968" i="4"/>
  <c r="C935" i="4"/>
  <c r="C617" i="4"/>
  <c r="C828" i="4"/>
  <c r="C402" i="4"/>
  <c r="C102" i="4"/>
  <c r="C462" i="4"/>
  <c r="C709" i="4"/>
  <c r="C576" i="4"/>
  <c r="C958" i="4"/>
  <c r="C613" i="4"/>
  <c r="C5" i="4"/>
  <c r="C251" i="4"/>
  <c r="C455" i="4"/>
  <c r="C421" i="4"/>
  <c r="C650" i="4"/>
  <c r="C510" i="4"/>
  <c r="C712" i="4"/>
  <c r="C985" i="4"/>
  <c r="C489" i="4"/>
  <c r="C223" i="4"/>
  <c r="C824" i="4"/>
  <c r="C949" i="4"/>
  <c r="C845" i="4"/>
  <c r="C698" i="4"/>
  <c r="C659" i="4"/>
  <c r="C583" i="4"/>
  <c r="C619" i="4"/>
  <c r="C154" i="4"/>
  <c r="C313" i="4"/>
  <c r="C75" i="4"/>
  <c r="C645" i="4"/>
  <c r="C656" i="4"/>
  <c r="C370" i="4"/>
  <c r="C528" i="4"/>
  <c r="C312" i="4"/>
  <c r="C987" i="4"/>
  <c r="C638" i="4"/>
  <c r="C963" i="4"/>
  <c r="C971" i="4"/>
  <c r="C720" i="4"/>
  <c r="C61" i="4"/>
  <c r="C346" i="4"/>
  <c r="C176" i="4"/>
  <c r="C506" i="4"/>
  <c r="C491" i="4"/>
  <c r="C18" i="4"/>
  <c r="C562" i="4"/>
  <c r="C475" i="4"/>
  <c r="C761" i="4"/>
  <c r="C641" i="4"/>
  <c r="C961" i="4"/>
  <c r="C309" i="4"/>
  <c r="C989" i="4"/>
  <c r="C921" i="4"/>
  <c r="C509" i="4"/>
  <c r="C415" i="4"/>
  <c r="C682" i="4"/>
  <c r="C691" i="3"/>
  <c r="C722" i="3"/>
  <c r="C632" i="3"/>
  <c r="C580" i="3"/>
  <c r="C613" i="3"/>
  <c r="C798" i="3"/>
  <c r="C618" i="3"/>
  <c r="C290" i="3"/>
  <c r="C822" i="3"/>
  <c r="C196" i="3"/>
  <c r="C940" i="3"/>
  <c r="C158" i="3"/>
  <c r="C473" i="3"/>
  <c r="C663" i="3"/>
  <c r="C356" i="3"/>
  <c r="C207" i="3"/>
  <c r="C195" i="3"/>
  <c r="C373" i="3"/>
  <c r="C650" i="3"/>
  <c r="C529" i="3"/>
  <c r="C725" i="3"/>
  <c r="C583" i="3"/>
  <c r="C246" i="3"/>
  <c r="C227" i="3"/>
  <c r="C853" i="3"/>
  <c r="C448" i="3"/>
  <c r="C913" i="3"/>
  <c r="C837" i="3"/>
  <c r="C447" i="3"/>
  <c r="C171" i="3"/>
  <c r="C952" i="3"/>
  <c r="C589" i="3"/>
  <c r="C573" i="3"/>
  <c r="C824" i="3"/>
  <c r="C15" i="3"/>
  <c r="C979" i="3"/>
  <c r="C731" i="3"/>
  <c r="C298" i="3"/>
  <c r="C569" i="3"/>
  <c r="C708" i="3"/>
  <c r="C760" i="3"/>
  <c r="C200" i="3"/>
  <c r="C762" i="3"/>
  <c r="C265" i="3"/>
  <c r="C268" i="3"/>
  <c r="C272" i="3"/>
  <c r="C991" i="3"/>
  <c r="C274" i="3"/>
  <c r="C204" i="3"/>
  <c r="C161" i="3"/>
  <c r="C974" i="3"/>
  <c r="C606" i="3"/>
  <c r="C260" i="3"/>
  <c r="C186" i="3"/>
  <c r="C657" i="3"/>
  <c r="C310" i="3"/>
  <c r="C276" i="3"/>
  <c r="C988" i="3"/>
  <c r="C511" i="3"/>
  <c r="C966" i="3"/>
  <c r="C833" i="3"/>
  <c r="C827" i="3"/>
  <c r="C3" i="3"/>
  <c r="C937" i="3"/>
  <c r="C652" i="3"/>
  <c r="C748" i="3"/>
  <c r="C231" i="3"/>
  <c r="C450" i="3"/>
  <c r="C73" i="3"/>
  <c r="C44" i="3"/>
  <c r="C611" i="3"/>
  <c r="C545" i="2"/>
  <c r="C391" i="2"/>
  <c r="C816" i="2"/>
  <c r="C908" i="2"/>
  <c r="C381" i="2"/>
  <c r="C852" i="2"/>
  <c r="C842" i="2"/>
  <c r="C364" i="2"/>
  <c r="C716" i="2"/>
  <c r="C190" i="2"/>
  <c r="C682" i="2"/>
  <c r="C217" i="2"/>
  <c r="C718" i="2"/>
  <c r="C653" i="4"/>
  <c r="C375" i="4"/>
  <c r="C231" i="4"/>
  <c r="C381" i="4"/>
  <c r="C879" i="4"/>
  <c r="C807" i="4"/>
  <c r="C340" i="4"/>
  <c r="C794" i="4"/>
  <c r="C133" i="4"/>
  <c r="C605" i="4"/>
  <c r="C538" i="4"/>
  <c r="C130" i="4"/>
  <c r="C288" i="4"/>
  <c r="C448" i="4"/>
  <c r="C906" i="4"/>
  <c r="C66" i="4"/>
  <c r="C947" i="4"/>
  <c r="C564" i="4"/>
  <c r="C310" i="4"/>
  <c r="C478" i="4"/>
  <c r="C172" i="4"/>
  <c r="C755" i="4"/>
  <c r="C152" i="4"/>
  <c r="C521" i="4"/>
  <c r="C407" i="4"/>
  <c r="C734" i="4"/>
  <c r="C413" i="4"/>
  <c r="C586" i="4"/>
  <c r="C740" i="4"/>
  <c r="C588" i="4"/>
  <c r="C482" i="4"/>
  <c r="C705" i="4"/>
  <c r="C704" i="4"/>
  <c r="C804" i="4"/>
  <c r="C926" i="4"/>
  <c r="C954" i="4"/>
  <c r="C638" i="3"/>
  <c r="C374" i="3"/>
  <c r="C561" i="3"/>
  <c r="C416" i="3"/>
  <c r="C57" i="3"/>
  <c r="C615" i="3"/>
  <c r="C354" i="3"/>
  <c r="C655" i="3"/>
  <c r="C17" i="3"/>
  <c r="C790" i="3"/>
  <c r="C371" i="3"/>
  <c r="C918" i="3"/>
  <c r="C48" i="3"/>
  <c r="C239" i="3"/>
  <c r="C13" i="3"/>
  <c r="C131" i="3"/>
  <c r="C543" i="3"/>
  <c r="C870" i="3"/>
  <c r="C860" i="3"/>
  <c r="C801" i="3"/>
  <c r="C410" i="3"/>
  <c r="C457" i="3"/>
  <c r="C732" i="3"/>
  <c r="C442" i="3"/>
  <c r="C88" i="3"/>
  <c r="C686" i="3"/>
  <c r="C149" i="3"/>
  <c r="C500" i="3"/>
  <c r="C778" i="3"/>
  <c r="C431" i="3"/>
  <c r="C345" i="3"/>
  <c r="C887" i="3"/>
  <c r="C61" i="3"/>
  <c r="C668" i="3"/>
  <c r="C324" i="3"/>
  <c r="C81" i="3"/>
  <c r="C977" i="3"/>
  <c r="C60" i="3"/>
  <c r="C764" i="3"/>
  <c r="C134" i="3"/>
  <c r="C672" i="3"/>
  <c r="C536" i="3"/>
  <c r="C323" i="3"/>
  <c r="C710" i="3"/>
  <c r="C476" i="3"/>
  <c r="C785" i="3"/>
  <c r="C64" i="3"/>
  <c r="C654" i="3"/>
  <c r="C11" i="3"/>
  <c r="C959" i="3"/>
  <c r="C706" i="3"/>
  <c r="C821" i="3"/>
  <c r="C56" i="3"/>
  <c r="C849" i="3"/>
  <c r="C985" i="3"/>
  <c r="C318" i="3"/>
  <c r="C256" i="3"/>
  <c r="C965" i="3"/>
  <c r="C169" i="3"/>
  <c r="C104" i="3"/>
  <c r="C534" i="3"/>
  <c r="C235" i="3"/>
  <c r="C54" i="3"/>
  <c r="C338" i="3"/>
  <c r="C499" i="3"/>
  <c r="C816" i="3"/>
  <c r="C755" i="3"/>
  <c r="C898" i="3"/>
  <c r="C879" i="3"/>
  <c r="C738" i="3"/>
  <c r="C975" i="3"/>
  <c r="C592" i="3"/>
  <c r="C781" i="3"/>
  <c r="C830" i="3"/>
  <c r="C907" i="3"/>
  <c r="C215" i="3"/>
  <c r="C97" i="3"/>
  <c r="C747" i="3"/>
  <c r="C839" i="3"/>
  <c r="C28" i="3"/>
  <c r="C100" i="3"/>
  <c r="C124" i="3"/>
  <c r="C526" i="3"/>
  <c r="C737" i="3"/>
  <c r="C960" i="3"/>
  <c r="C570" i="3"/>
  <c r="C180" i="3"/>
  <c r="C683" i="3"/>
  <c r="C590" i="3"/>
  <c r="C45" i="2"/>
  <c r="C178" i="2"/>
  <c r="C633" i="2"/>
  <c r="C258" i="2"/>
  <c r="C264" i="2"/>
  <c r="C637" i="2"/>
  <c r="C815" i="2"/>
  <c r="C23" i="2"/>
  <c r="C648" i="2"/>
  <c r="C183" i="2"/>
  <c r="C170" i="2"/>
  <c r="C303" i="2"/>
  <c r="C683" i="2"/>
  <c r="C686" i="2"/>
  <c r="C628" i="2"/>
  <c r="C245" i="2"/>
  <c r="C774" i="2"/>
  <c r="C209" i="2"/>
  <c r="C530" i="2"/>
  <c r="C11" i="2"/>
  <c r="C854" i="2"/>
  <c r="C456" i="2"/>
  <c r="C421" i="2"/>
  <c r="C952" i="2"/>
  <c r="C113" i="2"/>
  <c r="C336" i="2"/>
  <c r="C847" i="2"/>
  <c r="C51" i="2"/>
  <c r="C974" i="2"/>
  <c r="C213" i="2"/>
  <c r="C212" i="2"/>
  <c r="C348" i="2"/>
  <c r="C327" i="2"/>
  <c r="C823" i="2"/>
  <c r="C153" i="2"/>
  <c r="C789" i="2"/>
  <c r="C787" i="2"/>
  <c r="C938" i="2"/>
  <c r="C399" i="2"/>
  <c r="C155" i="2"/>
  <c r="C827" i="2"/>
  <c r="C739" i="2"/>
  <c r="C435" i="2"/>
  <c r="C127" i="2"/>
  <c r="C655" i="2"/>
  <c r="C929" i="2"/>
  <c r="C334" i="2"/>
  <c r="C355" i="4"/>
  <c r="C305" i="4"/>
  <c r="C768" i="4"/>
  <c r="C606" i="4"/>
  <c r="C983" i="4"/>
  <c r="C684" i="4"/>
  <c r="C86" i="4"/>
  <c r="C894" i="4"/>
  <c r="C823" i="4"/>
  <c r="C155" i="4"/>
  <c r="C279" i="4"/>
  <c r="C25" i="4"/>
  <c r="C124" i="4"/>
  <c r="C48" i="4"/>
  <c r="C256" i="4"/>
  <c r="C330" i="4"/>
  <c r="C885" i="4"/>
  <c r="C729" i="4"/>
  <c r="C206" i="4"/>
  <c r="C374" i="4"/>
  <c r="C423" i="4"/>
  <c r="C519" i="4"/>
  <c r="C174" i="4"/>
  <c r="C404" i="4"/>
  <c r="C246" i="4"/>
  <c r="C209" i="4"/>
  <c r="C322" i="2"/>
  <c r="C968" i="2"/>
  <c r="C631" i="2"/>
  <c r="C769" i="2"/>
  <c r="C845" i="2"/>
  <c r="C16" i="2"/>
  <c r="C803" i="2"/>
  <c r="C34" i="2"/>
  <c r="C257" i="2"/>
  <c r="C459" i="2"/>
  <c r="C405" i="2"/>
  <c r="C377" i="2"/>
  <c r="C20" i="2"/>
  <c r="C66" i="2"/>
  <c r="C495" i="2"/>
  <c r="C515" i="2"/>
  <c r="C362" i="2"/>
  <c r="C326" i="2"/>
  <c r="C461" i="2"/>
  <c r="C580" i="2"/>
  <c r="C287" i="2"/>
  <c r="C438" i="2"/>
  <c r="C560" i="2"/>
  <c r="C776" i="2"/>
  <c r="C168" i="2"/>
  <c r="C413" i="2"/>
  <c r="C598" i="2"/>
  <c r="C10" i="2"/>
  <c r="C755" i="2"/>
  <c r="C467" i="2"/>
  <c r="C889" i="2"/>
  <c r="C984" i="2"/>
  <c r="C558" i="2"/>
  <c r="C913" i="2"/>
  <c r="C296" i="2"/>
  <c r="C105" i="2"/>
  <c r="C677" i="2"/>
  <c r="C885" i="2"/>
  <c r="C821" i="2"/>
  <c r="C731" i="2"/>
  <c r="C672" i="2"/>
  <c r="C640" i="2"/>
  <c r="C276" i="2"/>
  <c r="C141" i="2"/>
  <c r="C388" i="2"/>
  <c r="C703" i="2"/>
  <c r="C791" i="2"/>
  <c r="C172" i="2"/>
  <c r="C891" i="2"/>
  <c r="C646" i="2"/>
  <c r="C200" i="2"/>
  <c r="C50" i="2"/>
  <c r="C366" i="2"/>
  <c r="C941" i="2"/>
  <c r="C31" i="2"/>
  <c r="C899" i="2"/>
  <c r="C898" i="2"/>
  <c r="C489" i="2"/>
  <c r="C725" i="2"/>
  <c r="C284" i="2"/>
  <c r="C917" i="2"/>
  <c r="C781" i="2"/>
  <c r="C550" i="2"/>
  <c r="C480" i="2"/>
  <c r="C97" i="2"/>
  <c r="C387" i="2"/>
  <c r="C466" i="2"/>
  <c r="C612" i="2"/>
  <c r="C911" i="4"/>
  <c r="C85" i="4"/>
  <c r="C167" i="4"/>
  <c r="C464" i="4"/>
  <c r="C501" i="4"/>
  <c r="C649" i="4"/>
  <c r="C524" i="4"/>
  <c r="C999" i="4"/>
  <c r="C80" i="4"/>
  <c r="C278" i="4"/>
  <c r="C593" i="4"/>
  <c r="C933" i="4"/>
  <c r="C738" i="4"/>
  <c r="C750" i="4"/>
  <c r="C265" i="4"/>
  <c r="C460" i="4"/>
  <c r="C399" i="4"/>
  <c r="C69" i="4"/>
  <c r="C548" i="4"/>
  <c r="C242" i="4"/>
  <c r="C17" i="4"/>
  <c r="C72" i="4"/>
  <c r="C262" i="4"/>
  <c r="C295" i="4"/>
  <c r="C899" i="4"/>
  <c r="C780" i="4"/>
  <c r="C127" i="4"/>
  <c r="C553" i="4"/>
  <c r="C425" i="4"/>
  <c r="C820" i="4"/>
  <c r="C765" i="4"/>
  <c r="C924" i="4"/>
  <c r="C38" i="4"/>
  <c r="C559" i="4"/>
  <c r="C24" i="4"/>
  <c r="C552" i="4"/>
  <c r="C467" i="4"/>
  <c r="C783" i="4"/>
  <c r="C446" i="4"/>
  <c r="C83" i="4"/>
  <c r="C965" i="4"/>
  <c r="C571" i="4"/>
  <c r="C217" i="4"/>
  <c r="C655" i="4"/>
  <c r="C744" i="4"/>
  <c r="C573" i="4"/>
  <c r="C284" i="4"/>
  <c r="C530" i="4"/>
  <c r="C736" i="4"/>
  <c r="C96" i="4"/>
  <c r="C166" i="4"/>
  <c r="C137" i="4"/>
  <c r="C732" i="4"/>
  <c r="C718" i="4"/>
  <c r="C245" i="4"/>
  <c r="C178" i="4"/>
  <c r="C667" i="4"/>
  <c r="C195" i="4"/>
  <c r="C609" i="4"/>
  <c r="C333" i="4"/>
  <c r="C982" i="4"/>
  <c r="C202" i="4"/>
  <c r="C208" i="4"/>
  <c r="C226" i="4"/>
  <c r="C544" i="4"/>
  <c r="C51" i="4"/>
  <c r="C240" i="4"/>
  <c r="C466" i="4"/>
  <c r="C992" i="4"/>
  <c r="C204" i="4"/>
  <c r="C386" i="4"/>
  <c r="C287" i="4"/>
  <c r="C113" i="4"/>
  <c r="C994" i="4"/>
  <c r="C219" i="4"/>
  <c r="C590" i="4"/>
  <c r="C601" i="4"/>
  <c r="C980" i="4"/>
  <c r="C260" i="4"/>
  <c r="C368" i="4"/>
  <c r="C776" i="3"/>
  <c r="C681" i="3"/>
  <c r="C350" i="3"/>
  <c r="C838" i="3"/>
  <c r="C334" i="3"/>
  <c r="C78" i="3"/>
  <c r="C307" i="3"/>
  <c r="C957" i="3"/>
  <c r="C916" i="3"/>
  <c r="C413" i="3"/>
  <c r="C301" i="3"/>
  <c r="C329" i="3"/>
  <c r="C7" i="3"/>
  <c r="C566" i="3"/>
  <c r="C105" i="3"/>
  <c r="C198" i="3"/>
  <c r="C495" i="3"/>
  <c r="C600" i="3"/>
  <c r="C37" i="3"/>
  <c r="C384" i="3"/>
  <c r="C85" i="3"/>
  <c r="C489" i="3"/>
  <c r="C703" i="3"/>
  <c r="C241" i="3"/>
  <c r="C471" i="3"/>
  <c r="C479" i="3"/>
  <c r="C419" i="3"/>
  <c r="C299" i="3"/>
  <c r="C396" i="3"/>
  <c r="C394" i="3"/>
  <c r="C408" i="3"/>
  <c r="C387" i="3"/>
  <c r="C361" i="3"/>
  <c r="C378" i="3"/>
  <c r="C110" i="3"/>
  <c r="C676" i="3"/>
  <c r="C877" i="3"/>
  <c r="C102" i="3"/>
  <c r="C166" i="3"/>
  <c r="C728" i="3"/>
  <c r="C602" i="3"/>
  <c r="C634" i="3"/>
  <c r="C741" i="3"/>
  <c r="C768" i="3"/>
  <c r="C620" i="3"/>
  <c r="C182" i="3"/>
  <c r="C951" i="3"/>
  <c r="C219" i="3"/>
  <c r="C679" i="3"/>
  <c r="C939" i="3"/>
  <c r="C321" i="3"/>
  <c r="C929" i="3"/>
  <c r="C730" i="3"/>
  <c r="C880" i="3"/>
  <c r="C893" i="3"/>
  <c r="C773" i="3"/>
  <c r="C436" i="3"/>
  <c r="C645" i="3"/>
  <c r="C521" i="3"/>
  <c r="C507" i="3"/>
  <c r="C427" i="3"/>
  <c r="C775" i="3"/>
  <c r="C842" i="3"/>
  <c r="C202" i="3"/>
  <c r="C185" i="3"/>
  <c r="C594" i="3"/>
  <c r="C285" i="3"/>
  <c r="C754" i="3"/>
  <c r="C883" i="3"/>
  <c r="C718" i="3"/>
  <c r="C519" i="3"/>
  <c r="C981" i="3"/>
  <c r="C970" i="3"/>
  <c r="C972" i="3"/>
  <c r="C814" i="3"/>
  <c r="D27" i="1" l="1"/>
  <c r="D28" i="1" s="1"/>
  <c r="E27" i="1"/>
  <c r="E28" i="1" s="1"/>
  <c r="C27" i="1"/>
  <c r="C28" i="1" s="1"/>
  <c r="C29" i="1" l="1"/>
  <c r="C30" i="1"/>
  <c r="C31" i="1" s="1"/>
  <c r="C32" i="1" s="1"/>
  <c r="E29" i="1"/>
  <c r="E30" i="1"/>
  <c r="E31" i="1" s="1"/>
  <c r="E32" i="1" s="1"/>
  <c r="D29" i="1"/>
  <c r="D30" i="1"/>
  <c r="D31" i="1" s="1"/>
  <c r="D32" i="1" s="1"/>
</calcChain>
</file>

<file path=xl/sharedStrings.xml><?xml version="1.0" encoding="utf-8"?>
<sst xmlns="http://schemas.openxmlformats.org/spreadsheetml/2006/main" count="100" uniqueCount="76">
  <si>
    <t>MODEL GENERAL DIFFUSER–AIRLIFT UNTUK SEMUA ID RISER</t>
  </si>
  <si>
    <t>No</t>
  </si>
  <si>
    <t>INPUT / PARAMETER</t>
  </si>
  <si>
    <t>PVC
1¼"</t>
  </si>
  <si>
    <t>PVC
2"</t>
  </si>
  <si>
    <t>PVC
2½"</t>
  </si>
  <si>
    <t>Satuan</t>
  </si>
  <si>
    <t>ID riser, D</t>
  </si>
  <si>
    <t>mm</t>
  </si>
  <si>
    <t>Jumlah bore, N</t>
  </si>
  <si>
    <t>bore</t>
  </si>
  <si>
    <t>Kedalaman injeksi, Hs</t>
  </si>
  <si>
    <t>m</t>
  </si>
  <si>
    <t>Panjang jalur campuran, L</t>
  </si>
  <si>
    <t>Diameter bore, dh</t>
  </si>
  <si>
    <t>Tebal PVC, t</t>
  </si>
  <si>
    <t>Koefisien discharge, Cd</t>
  </si>
  <si>
    <t>-</t>
  </si>
  <si>
    <t>Surface tension, σ</t>
  </si>
  <si>
    <t>N/m</t>
  </si>
  <si>
    <t>cos θ (basis ideal)</t>
  </si>
  <si>
    <t>Densitas udara lokal, ρg</t>
  </si>
  <si>
    <t>kg/m³</t>
  </si>
  <si>
    <t>Densitas air, ρl</t>
  </si>
  <si>
    <t>Viskositas air, μl</t>
  </si>
  <si>
    <t>Pa·s</t>
  </si>
  <si>
    <t>ΔP diffuser</t>
  </si>
  <si>
    <t>mmH₂O</t>
  </si>
  <si>
    <t>HASIL MODEL — SETIAP KOLOM MEMAKAI SOLVER SENDIRI</t>
  </si>
  <si>
    <t>Parameter</t>
  </si>
  <si>
    <t>Hasil</t>
  </si>
  <si>
    <t>Luas riser, Ar</t>
  </si>
  <si>
    <t>m²</t>
  </si>
  <si>
    <t>ΔP capillary</t>
  </si>
  <si>
    <t>ΔP aliran bore</t>
  </si>
  <si>
    <t>Luas satu bore, Ah</t>
  </si>
  <si>
    <t>Flow tiap bore (lokal)</t>
  </si>
  <si>
    <t>L/min</t>
  </si>
  <si>
    <t>Flow udara total (lokal)</t>
  </si>
  <si>
    <t>Jg (diagnostik, bukan dasar regime)</t>
  </si>
  <si>
    <t>m/s</t>
  </si>
  <si>
    <t>Index akar Jl</t>
  </si>
  <si>
    <t>Jl hasil model</t>
  </si>
  <si>
    <t>Qw hasil model</t>
  </si>
  <si>
    <t>Slip ratio, s</t>
  </si>
  <si>
    <t>Void fraction, α</t>
  </si>
  <si>
    <t>Rezim berdasarkan α</t>
  </si>
  <si>
    <t>Cara pakai: untuk setiap ukuran pipa, ubah ID riser dan jumlah bore pada kolomnya sendiri. Kolom C, D, dan E masing-masing menggunakan sheet Solver_C, Solver_D, dan Solver_E; sehingga nilai Jl, Qw, slip ratio, α, dan rezim tidak pernah disalin dari kolom lain.</t>
  </si>
  <si>
    <t>SOLVER NUMERIK Jl — PVC 1¼" / INPUT KOLOM C</t>
  </si>
  <si>
    <t>Kandidat Jl (m/s)</t>
  </si>
  <si>
    <t>Residual persamaan airlift</t>
  </si>
  <si>
    <t>Tanda perubahan akar</t>
  </si>
  <si>
    <t>SOLVER NUMERIK Jl — PVC 2" / INPUT KOLOM D</t>
  </si>
  <si>
    <t>SOLVER NUMERIK Jl — PVC 2½" / INPUT KOLOM E</t>
  </si>
  <si>
    <t>CATATAN MODEL DAN KOREKSI WORKBOOK</t>
  </si>
  <si>
    <t>Item</t>
  </si>
  <si>
    <t>Penjelasan</t>
  </si>
  <si>
    <t>Status</t>
  </si>
  <si>
    <t>Catatan</t>
  </si>
  <si>
    <t>Perbaikan utama</t>
  </si>
  <si>
    <t>Setiap kolom skenario memakai solver residual sendiri. Tidak ada referensi solver dari PVC 1¼″ yang dipakai oleh kolom PVC 2″ atau PVC 2½″.</t>
  </si>
  <si>
    <t>Diperbaiki</t>
  </si>
  <si>
    <t>Input yang boleh diubah</t>
  </si>
  <si>
    <t>ID riser, jumlah bore, Hs, L, diameter bore, t, Cd, surface tension, densitas, viskositas, dan ΔP diffuser.</t>
  </si>
  <si>
    <t>Pengguna</t>
  </si>
  <si>
    <t>Jika parameter diffuser berubah, nilai flow bore dan seluruh model ikut dihitung ulang.</t>
  </si>
  <si>
    <t>Output yang dihitung ulang</t>
  </si>
  <si>
    <t>Ar, ΔPcap, ΔP aliran bore, Qg, Jg, index akar, Jl, Qw, slip ratio, α dan rezim.</t>
  </si>
  <si>
    <t>Otomatis</t>
  </si>
  <si>
    <t>Batas rezim</t>
  </si>
  <si>
    <t>α &lt; 0.20 bubbly; 0.20–&lt;0.30 bubbly–slug; 0.30–&lt;0.52 slug/intermittent; 0.52–&lt;0.70 churn; α ≥ 0.70 churn tinggi.</t>
  </si>
  <si>
    <t>Klasifikasi kerja</t>
  </si>
  <si>
    <t>Batas slug–churn menggunakan α = 0.52.</t>
  </si>
  <si>
    <t>Akar tidak ditemukan</t>
  </si>
  <si>
    <t>Bila sebuah kolom menghasilkan 'Di luar domain model', model slug yang dipakai tidak menemukan akar fisik pada Jl = 0.001–1.000 m/s. Jangan memaksa hasil tersebut menjadi regime lain.</t>
  </si>
  <si>
    <t>Kontrol validitas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</si>
</sst>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000"/>
    <numFmt numFmtId="167" formatCode="0.000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11"/>
      <color rgb="FF2E7D32"/>
      <name val="Calibri"/>
      <family val="2"/>
      <scheme val="minor"/>
    </font>
    <font>
      <i/>
      <sz val="11"/>
      <color rgb="FF7F6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45B8E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6B8E23"/>
        <bgColor indexed="64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164" fontId="0" fillId="4" borderId="2" xfId="0" applyNumberFormat="1" applyFill="1" applyBorder="1"/>
    <xf numFmtId="1" fontId="0" fillId="4" borderId="2" xfId="0" applyNumberFormat="1" applyFill="1" applyBorder="1"/>
    <xf numFmtId="165" fontId="0" fillId="4" borderId="2" xfId="0" applyNumberFormat="1" applyFill="1" applyBorder="1"/>
    <xf numFmtId="166" fontId="0" fillId="6" borderId="2" xfId="0" applyNumberFormat="1" applyFill="1" applyBorder="1"/>
    <xf numFmtId="2" fontId="0" fillId="6" borderId="2" xfId="0" applyNumberFormat="1" applyFill="1" applyBorder="1"/>
    <xf numFmtId="167" fontId="0" fillId="6" borderId="2" xfId="0" applyNumberFormat="1" applyFill="1" applyBorder="1"/>
    <xf numFmtId="0" fontId="4" fillId="7" borderId="2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67" fontId="0" fillId="0" borderId="2" xfId="0" applyNumberFormat="1" applyBorder="1"/>
    <xf numFmtId="166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 wrapText="1"/>
    </xf>
  </cellXfs>
  <cellStyles count="1">
    <cellStyle name="Normal" xfId="0" builtinId="0"/>
  </cellStyles>
  <dxfs count="2">
    <dxf>
      <fill>
        <patternFill>
          <bgColor rgb="FFFCE4D6"/>
        </patternFill>
      </fill>
    </dxf>
    <dxf>
      <fill>
        <patternFill>
          <b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workbookViewId="0">
      <pane ySplit="3" topLeftCell="A4" activePane="bottomLeft" state="frozen"/>
      <selection pane="bottomLeft" activeCell="H14" sqref="H14"/>
    </sheetView>
  </sheetViews>
  <sheetFormatPr defaultRowHeight="15" x14ac:dyDescent="0.25"/>
  <cols>
    <col min="1" max="1" width="7.7109375" customWidth="1"/>
    <col min="2" max="2" width="33.42578125" customWidth="1"/>
    <col min="3" max="3" width="15.7109375" customWidth="1"/>
    <col min="4" max="4" width="11" customWidth="1"/>
    <col min="5" max="5" width="10.7109375" customWidth="1"/>
    <col min="6" max="6" width="13.7109375" customWidth="1"/>
  </cols>
  <sheetData>
    <row r="1" spans="1:6" ht="26.1" customHeight="1" x14ac:dyDescent="0.25">
      <c r="A1" s="15" t="s">
        <v>0</v>
      </c>
      <c r="B1" s="15"/>
      <c r="C1" s="15"/>
      <c r="D1" s="15"/>
      <c r="E1" s="15"/>
      <c r="F1" s="15"/>
    </row>
    <row r="3" spans="1:6" ht="3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2">
        <v>1</v>
      </c>
      <c r="B4" s="2" t="s">
        <v>7</v>
      </c>
      <c r="C4" s="3">
        <v>37.4</v>
      </c>
      <c r="D4" s="3">
        <v>55.4</v>
      </c>
      <c r="E4" s="3">
        <v>70.8</v>
      </c>
      <c r="F4" s="2" t="s">
        <v>8</v>
      </c>
    </row>
    <row r="5" spans="1:6" x14ac:dyDescent="0.25">
      <c r="A5" s="2">
        <v>2</v>
      </c>
      <c r="B5" s="2" t="s">
        <v>9</v>
      </c>
      <c r="C5" s="4">
        <f>ROUNDUP(40*(C4/37.4)^2.44,0)</f>
        <v>40</v>
      </c>
      <c r="D5" s="4">
        <f>ROUNDUP($C5*(D4/$C$4)^2.44,0)</f>
        <v>105</v>
      </c>
      <c r="E5" s="4">
        <f>ROUNDUP($C5*(E4/$C$4)^2.44,0)</f>
        <v>190</v>
      </c>
      <c r="F5" s="2" t="s">
        <v>10</v>
      </c>
    </row>
    <row r="6" spans="1:6" x14ac:dyDescent="0.25">
      <c r="A6" s="2">
        <v>3</v>
      </c>
      <c r="B6" s="2" t="s">
        <v>11</v>
      </c>
      <c r="C6" s="5">
        <v>0.6</v>
      </c>
      <c r="D6" s="5">
        <v>0.6</v>
      </c>
      <c r="E6" s="5">
        <v>0.6</v>
      </c>
      <c r="F6" s="2" t="s">
        <v>12</v>
      </c>
    </row>
    <row r="7" spans="1:6" x14ac:dyDescent="0.25">
      <c r="A7" s="2">
        <v>4</v>
      </c>
      <c r="B7" s="2" t="s">
        <v>13</v>
      </c>
      <c r="C7" s="5">
        <v>1</v>
      </c>
      <c r="D7" s="5">
        <v>1</v>
      </c>
      <c r="E7" s="5">
        <v>1</v>
      </c>
      <c r="F7" s="2" t="s">
        <v>12</v>
      </c>
    </row>
    <row r="8" spans="1:6" x14ac:dyDescent="0.25">
      <c r="A8" s="2">
        <v>5</v>
      </c>
      <c r="B8" s="2" t="s">
        <v>14</v>
      </c>
      <c r="C8" s="5">
        <v>1E-3</v>
      </c>
      <c r="D8" s="5">
        <v>1E-3</v>
      </c>
      <c r="E8" s="5">
        <v>1E-3</v>
      </c>
      <c r="F8" s="2" t="s">
        <v>12</v>
      </c>
    </row>
    <row r="9" spans="1:6" x14ac:dyDescent="0.25">
      <c r="A9" s="2">
        <v>6</v>
      </c>
      <c r="B9" s="2" t="s">
        <v>15</v>
      </c>
      <c r="C9" s="5">
        <v>2E-3</v>
      </c>
      <c r="D9" s="5">
        <v>2E-3</v>
      </c>
      <c r="E9" s="5">
        <v>2E-3</v>
      </c>
      <c r="F9" s="2" t="s">
        <v>12</v>
      </c>
    </row>
    <row r="10" spans="1:6" x14ac:dyDescent="0.25">
      <c r="A10" s="2">
        <v>7</v>
      </c>
      <c r="B10" s="2" t="s">
        <v>16</v>
      </c>
      <c r="C10" s="5">
        <v>0.75</v>
      </c>
      <c r="D10" s="5">
        <v>0.75</v>
      </c>
      <c r="E10" s="5">
        <v>0.75</v>
      </c>
      <c r="F10" s="2" t="s">
        <v>17</v>
      </c>
    </row>
    <row r="11" spans="1:6" x14ac:dyDescent="0.25">
      <c r="A11" s="2">
        <v>8</v>
      </c>
      <c r="B11" s="2" t="s">
        <v>18</v>
      </c>
      <c r="C11" s="5">
        <v>7.1999999999999995E-2</v>
      </c>
      <c r="D11" s="5">
        <v>7.1999999999999995E-2</v>
      </c>
      <c r="E11" s="5">
        <v>7.1999999999999995E-2</v>
      </c>
      <c r="F11" s="2" t="s">
        <v>19</v>
      </c>
    </row>
    <row r="12" spans="1:6" x14ac:dyDescent="0.25">
      <c r="A12" s="2">
        <v>9</v>
      </c>
      <c r="B12" s="2" t="s">
        <v>20</v>
      </c>
      <c r="C12" s="5">
        <v>1</v>
      </c>
      <c r="D12" s="5">
        <v>1</v>
      </c>
      <c r="E12" s="5">
        <v>1</v>
      </c>
      <c r="F12" s="2" t="s">
        <v>17</v>
      </c>
    </row>
    <row r="13" spans="1:6" x14ac:dyDescent="0.25">
      <c r="A13" s="2">
        <v>10</v>
      </c>
      <c r="B13" s="2" t="s">
        <v>21</v>
      </c>
      <c r="C13" s="5">
        <v>1.27</v>
      </c>
      <c r="D13" s="5">
        <v>1.27</v>
      </c>
      <c r="E13" s="5">
        <v>1.27</v>
      </c>
      <c r="F13" s="2" t="s">
        <v>22</v>
      </c>
    </row>
    <row r="14" spans="1:6" x14ac:dyDescent="0.25">
      <c r="A14" s="2">
        <v>11</v>
      </c>
      <c r="B14" s="2" t="s">
        <v>23</v>
      </c>
      <c r="C14" s="5">
        <v>997</v>
      </c>
      <c r="D14" s="5">
        <v>997</v>
      </c>
      <c r="E14" s="5">
        <v>997</v>
      </c>
      <c r="F14" s="2" t="s">
        <v>22</v>
      </c>
    </row>
    <row r="15" spans="1:6" x14ac:dyDescent="0.25">
      <c r="A15" s="2">
        <v>12</v>
      </c>
      <c r="B15" s="2" t="s">
        <v>24</v>
      </c>
      <c r="C15" s="5">
        <v>8.8999999999999995E-4</v>
      </c>
      <c r="D15" s="5">
        <v>8.8999999999999995E-4</v>
      </c>
      <c r="E15" s="5">
        <v>8.8999999999999995E-4</v>
      </c>
      <c r="F15" s="2" t="s">
        <v>25</v>
      </c>
    </row>
    <row r="16" spans="1:6" x14ac:dyDescent="0.25">
      <c r="A16" s="2">
        <v>13</v>
      </c>
      <c r="B16" s="2" t="s">
        <v>26</v>
      </c>
      <c r="C16" s="5">
        <v>60</v>
      </c>
      <c r="D16" s="5">
        <v>60</v>
      </c>
      <c r="E16" s="5">
        <v>60</v>
      </c>
      <c r="F16" s="2" t="s">
        <v>27</v>
      </c>
    </row>
    <row r="18" spans="1:6" x14ac:dyDescent="0.25">
      <c r="A18" s="16" t="s">
        <v>28</v>
      </c>
      <c r="B18" s="16"/>
      <c r="C18" s="16"/>
      <c r="D18" s="16"/>
      <c r="E18" s="16"/>
      <c r="F18" s="16"/>
    </row>
    <row r="19" spans="1:6" x14ac:dyDescent="0.25">
      <c r="A19" s="1" t="s">
        <v>1</v>
      </c>
      <c r="B19" s="1" t="s">
        <v>29</v>
      </c>
      <c r="C19" s="1" t="s">
        <v>30</v>
      </c>
      <c r="D19" s="1" t="s">
        <v>30</v>
      </c>
      <c r="E19" s="1" t="s">
        <v>30</v>
      </c>
      <c r="F19" s="1" t="s">
        <v>6</v>
      </c>
    </row>
    <row r="20" spans="1:6" x14ac:dyDescent="0.25">
      <c r="A20" s="2">
        <v>14</v>
      </c>
      <c r="B20" s="2" t="s">
        <v>31</v>
      </c>
      <c r="C20" s="6">
        <f>PI()*(C4/1000)^2/4</f>
        <v>1.0985835350338145E-3</v>
      </c>
      <c r="D20" s="6">
        <f>PI()*(D4/1000)^2/4</f>
        <v>2.4105126271729122E-3</v>
      </c>
      <c r="E20" s="6">
        <f>PI()*(E4/1000)^2/4</f>
        <v>3.9369182497725856E-3</v>
      </c>
      <c r="F20" s="2" t="s">
        <v>32</v>
      </c>
    </row>
    <row r="21" spans="1:6" x14ac:dyDescent="0.25">
      <c r="A21" s="2">
        <v>15</v>
      </c>
      <c r="B21" s="2" t="s">
        <v>33</v>
      </c>
      <c r="C21" s="7">
        <f>4*C11*C12/C8/9.80665</f>
        <v>29.367826933764334</v>
      </c>
      <c r="D21" s="7">
        <f>4*D11*D12/D8/9.80665</f>
        <v>29.367826933764334</v>
      </c>
      <c r="E21" s="7">
        <f>4*E11*E12/E8/9.80665</f>
        <v>29.367826933764334</v>
      </c>
      <c r="F21" s="2" t="s">
        <v>27</v>
      </c>
    </row>
    <row r="22" spans="1:6" x14ac:dyDescent="0.25">
      <c r="A22" s="2">
        <v>16</v>
      </c>
      <c r="B22" s="2" t="s">
        <v>34</v>
      </c>
      <c r="C22" s="7">
        <f>C16-C21</f>
        <v>30.632173066235666</v>
      </c>
      <c r="D22" s="7">
        <f>D16-D21</f>
        <v>30.632173066235666</v>
      </c>
      <c r="E22" s="7">
        <f>E16-E21</f>
        <v>30.632173066235666</v>
      </c>
      <c r="F22" s="2" t="s">
        <v>27</v>
      </c>
    </row>
    <row r="23" spans="1:6" x14ac:dyDescent="0.25">
      <c r="A23" s="2">
        <v>17</v>
      </c>
      <c r="B23" s="2" t="s">
        <v>35</v>
      </c>
      <c r="C23" s="6">
        <f>PI()*C8^2/4</f>
        <v>7.8539816339744823E-7</v>
      </c>
      <c r="D23" s="6">
        <f>PI()*D8^2/4</f>
        <v>7.8539816339744823E-7</v>
      </c>
      <c r="E23" s="6">
        <f>PI()*E8^2/4</f>
        <v>7.8539816339744823E-7</v>
      </c>
      <c r="F23" s="2" t="s">
        <v>32</v>
      </c>
    </row>
    <row r="24" spans="1:6" x14ac:dyDescent="0.25">
      <c r="A24" s="2">
        <v>18</v>
      </c>
      <c r="B24" s="2" t="s">
        <v>36</v>
      </c>
      <c r="C24" s="8">
        <f>C10*C23*SQRT(2*C22*9.80665/C13)*60000</f>
        <v>0.76871397023805221</v>
      </c>
      <c r="D24" s="8">
        <f>D10*D23*SQRT(2*D22*9.80665/D13)*60000</f>
        <v>0.76871397023805221</v>
      </c>
      <c r="E24" s="8">
        <f>E10*E23*SQRT(2*E22*9.80665/E13)*60000</f>
        <v>0.76871397023805221</v>
      </c>
      <c r="F24" s="2" t="s">
        <v>37</v>
      </c>
    </row>
    <row r="25" spans="1:6" x14ac:dyDescent="0.25">
      <c r="A25" s="2">
        <v>19</v>
      </c>
      <c r="B25" s="2" t="s">
        <v>38</v>
      </c>
      <c r="C25" s="8">
        <f>C5*C24</f>
        <v>30.748558809522088</v>
      </c>
      <c r="D25" s="8">
        <f>D5*D24</f>
        <v>80.714966874995483</v>
      </c>
      <c r="E25" s="8">
        <f>E5*E24</f>
        <v>146.05565434522993</v>
      </c>
      <c r="F25" s="2" t="s">
        <v>37</v>
      </c>
    </row>
    <row r="26" spans="1:6" x14ac:dyDescent="0.25">
      <c r="A26" s="2">
        <v>20</v>
      </c>
      <c r="B26" s="2" t="s">
        <v>39</v>
      </c>
      <c r="C26" s="8">
        <f>C25/60000/C20</f>
        <v>0.46648794908702812</v>
      </c>
      <c r="D26" s="8">
        <f>D25/60000/D20</f>
        <v>0.55807608421214594</v>
      </c>
      <c r="E26" s="8">
        <f>E25/60000/E20</f>
        <v>0.61831634575964234</v>
      </c>
      <c r="F26" s="2" t="s">
        <v>40</v>
      </c>
    </row>
    <row r="27" spans="1:6" x14ac:dyDescent="0.25">
      <c r="A27" s="2">
        <v>21</v>
      </c>
      <c r="B27" s="2" t="s">
        <v>41</v>
      </c>
      <c r="C27" s="8">
        <f>IFERROR(MATCH(1,Solver_C!$C$3:$C$1001,0),"")</f>
        <v>235</v>
      </c>
      <c r="D27" s="8">
        <f>IFERROR(MATCH(1,Solver_D!$C$3:$C$1001,0),"")</f>
        <v>276</v>
      </c>
      <c r="E27" s="8">
        <f>IFERROR(MATCH(1,Solver_E!$C$3:$C$1001,0),"")</f>
        <v>299</v>
      </c>
      <c r="F27" s="2" t="s">
        <v>17</v>
      </c>
    </row>
    <row r="28" spans="1:6" x14ac:dyDescent="0.25">
      <c r="A28" s="2">
        <v>22</v>
      </c>
      <c r="B28" s="2" t="s">
        <v>42</v>
      </c>
      <c r="C28" s="8">
        <f>IFERROR(INDEX(Solver_C!$A$3:$A$1001,C27)-INDEX(Solver_C!$B$3:$B$1001,C27)*(INDEX(Solver_C!$A$4:$A$1002,C27)-INDEX(Solver_C!$A$3:$A$1001,C27))/(INDEX(Solver_C!$B$4:$B$1002,C27)-INDEX(Solver_C!$B$3:$B$1001,C27)),"")</f>
        <v>0.23520607015936171</v>
      </c>
      <c r="D28" s="8">
        <f>IFERROR(INDEX(Solver_D!$A$3:$A$1001,D27)-INDEX(Solver_D!$B$3:$B$1001,D27)*(INDEX(Solver_D!$A$4:$A$1002,D27)-INDEX(Solver_D!$A$3:$A$1001,D27))/(INDEX(Solver_D!$B$4:$B$1002,D27)-INDEX(Solver_D!$B$3:$B$1001,D27)),"")</f>
        <v>0.27647867491443867</v>
      </c>
      <c r="E28" s="8">
        <f>IFERROR(INDEX(Solver_E!$A$3:$A$1001,E27)-INDEX(Solver_E!$B$3:$B$1001,E27)*(INDEX(Solver_E!$A$4:$A$1002,E27)-INDEX(Solver_E!$A$3:$A$1001,E27))/(INDEX(Solver_E!$B$4:$B$1002,E27)-INDEX(Solver_E!$B$3:$B$1001,E27)),"")</f>
        <v>0.29992035157869668</v>
      </c>
      <c r="F28" s="2" t="s">
        <v>40</v>
      </c>
    </row>
    <row r="29" spans="1:6" x14ac:dyDescent="0.25">
      <c r="A29" s="2">
        <v>23</v>
      </c>
      <c r="B29" s="2" t="s">
        <v>43</v>
      </c>
      <c r="C29" s="8">
        <f>IFERROR(C28*C20*60000,"")</f>
        <v>15.503610961024981</v>
      </c>
      <c r="D29" s="8">
        <f>IFERROR(D28*D20*60000,"")</f>
        <v>39.987320221517351</v>
      </c>
      <c r="E29" s="8">
        <f>IFERROR(E28*E20*60000,"")</f>
        <v>70.845714336502866</v>
      </c>
      <c r="F29" s="2" t="s">
        <v>37</v>
      </c>
    </row>
    <row r="30" spans="1:6" x14ac:dyDescent="0.25">
      <c r="A30" s="2">
        <v>24</v>
      </c>
      <c r="B30" s="2" t="s">
        <v>44</v>
      </c>
      <c r="C30" s="8">
        <f>IFERROR(1.2+0.2*(C26/C28)+0.35*SQRT(9.80665*(C4/1000))/C28,"")</f>
        <v>2.4978517228494033</v>
      </c>
      <c r="D30" s="8">
        <f>IFERROR(1.2+0.2*(D26/D28)+0.35*SQRT(9.80665*(D4/1000))/D28,"")</f>
        <v>2.5367887024120126</v>
      </c>
      <c r="E30" s="8">
        <f>IFERROR(1.2+0.2*(E26/E28)+0.35*SQRT(9.80665*(E4/1000))/E28,"")</f>
        <v>2.5847072102617381</v>
      </c>
      <c r="F30" s="2" t="s">
        <v>17</v>
      </c>
    </row>
    <row r="31" spans="1:6" x14ac:dyDescent="0.25">
      <c r="A31" s="2">
        <v>25</v>
      </c>
      <c r="B31" s="2" t="s">
        <v>45</v>
      </c>
      <c r="C31" s="8">
        <f>IFERROR(C26/(C26+C30*C28),"")</f>
        <v>0.44258909540613262</v>
      </c>
      <c r="D31" s="8">
        <f>IFERROR(D26/(D26+D30*D28),"")</f>
        <v>0.44311303734864871</v>
      </c>
      <c r="E31" s="8">
        <f>IFERROR(E26/(E26+E30*E28),"")</f>
        <v>0.44370742718659167</v>
      </c>
      <c r="F31" s="2" t="s">
        <v>17</v>
      </c>
    </row>
    <row r="32" spans="1:6" ht="30" x14ac:dyDescent="0.25">
      <c r="A32" s="2">
        <v>26</v>
      </c>
      <c r="B32" s="2" t="s">
        <v>46</v>
      </c>
      <c r="C32" s="9" t="str">
        <f>IF(C31="","Di luar domain model",IF(C31&lt;0.2,"Bubbly",IF(C31&lt;0.3,"Bubbly–slug",IF(C31&lt;0.52,"Slug / intermittent",IF(C31&lt;0.7,"Churn","Churn tinggi")))))</f>
        <v>Slug / intermittent</v>
      </c>
      <c r="D32" s="9" t="str">
        <f>IF(D31="","Di luar domain model",IF(D31&lt;0.2,"Bubbly",IF(D31&lt;0.3,"Bubbly–slug",IF(D31&lt;0.52,"Slug / intermittent",IF(D31&lt;0.7,"Churn","Churn tinggi")))))</f>
        <v>Slug / intermittent</v>
      </c>
      <c r="E32" s="9" t="str">
        <f>IF(E31="","Di luar domain model",IF(E31&lt;0.2,"Bubbly",IF(E31&lt;0.3,"Bubbly–slug",IF(E31&lt;0.52,"Slug / intermittent",IF(E31&lt;0.7,"Churn","Churn tinggi")))))</f>
        <v>Slug / intermittent</v>
      </c>
      <c r="F32" s="2"/>
    </row>
    <row r="34" spans="1:6" ht="33.950000000000003" customHeight="1" x14ac:dyDescent="0.25">
      <c r="A34" s="17" t="s">
        <v>47</v>
      </c>
      <c r="B34" s="17"/>
      <c r="C34" s="17"/>
      <c r="D34" s="17"/>
      <c r="E34" s="17"/>
      <c r="F34" s="17"/>
    </row>
    <row r="35" spans="1:6" ht="33.950000000000003" customHeight="1" x14ac:dyDescent="0.25">
      <c r="A35" s="17"/>
      <c r="B35" s="17"/>
      <c r="C35" s="17"/>
      <c r="D35" s="17"/>
      <c r="E35" s="17"/>
      <c r="F35" s="17"/>
    </row>
  </sheetData>
  <mergeCells count="3">
    <mergeCell ref="A1:F1"/>
    <mergeCell ref="A18:F18"/>
    <mergeCell ref="A34:F35"/>
  </mergeCells>
  <conditionalFormatting sqref="C31:E31">
    <cfRule type="cellIs" dxfId="1" priority="1" operator="lessThan">
      <formula>0.52</formula>
    </cfRule>
    <cfRule type="cellIs" dxfId="0" priority="2" operator="greaterThanOrEqual">
      <formula>0.52</formula>
    </cfRule>
  </conditionalFormatting>
  <dataValidations count="2">
    <dataValidation type="decimal" allowBlank="1" showInputMessage="1" showErrorMessage="1" sqref="C4:E4" xr:uid="{00000000-0002-0000-0000-000000000000}">
      <formula1>5</formula1>
      <formula2>300</formula2>
    </dataValidation>
    <dataValidation type="whole" allowBlank="1" showInputMessage="1" showErrorMessage="1" sqref="C5:E5" xr:uid="{00000000-0002-0000-0000-000001000000}">
      <formula1>1</formula1>
      <formula2>200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2"/>
  <sheetViews>
    <sheetView tabSelected="1" workbookViewId="0">
      <pane ySplit="2" topLeftCell="A959" activePane="bottomLeft" state="frozen"/>
      <selection pane="bottomLeft" activeCell="C3" sqref="C3"/>
    </sheetView>
  </sheetViews>
  <sheetFormatPr defaultRowHeight="15" x14ac:dyDescent="0.25"/>
  <cols>
    <col min="1" max="1" width="18.7109375" customWidth="1"/>
    <col min="2" max="2" width="27.7109375" customWidth="1"/>
    <col min="3" max="3" width="30.28515625" customWidth="1"/>
  </cols>
  <sheetData>
    <row r="1" spans="1:3" ht="18.75" x14ac:dyDescent="0.25">
      <c r="A1" s="15" t="s">
        <v>48</v>
      </c>
      <c r="B1" s="15"/>
      <c r="C1" s="15"/>
    </row>
    <row r="2" spans="1:3" x14ac:dyDescent="0.25">
      <c r="A2" s="10" t="s">
        <v>49</v>
      </c>
      <c r="B2" s="10" t="s">
        <v>50</v>
      </c>
      <c r="C2" s="10" t="s">
        <v>51</v>
      </c>
    </row>
    <row r="3" spans="1:3" x14ac:dyDescent="0.25">
      <c r="A3" s="11">
        <v>1E-3</v>
      </c>
      <c r="B3" s="12">
        <f>(General_Model!$C$6/General_Model!$C$7)-1/(1+General_Model!$C$26/((1.2+0.2*(General_Model!$C$26/A3)+0.35*SQRT(9.80665*(General_Model!$C$4/1000))/A3)*A3))-(A3^2/(2*9.80665*General_Model!$C$7))*((4*(0.3164/((General_Model!$C$14*A3*(General_Model!$C$4/1000)/General_Model!$C$15)^0.25))*General_Model!$C$7/(General_Model!$C$4/1000)+1)+(4*(0.3164/((General_Model!$C$14*A3*(General_Model!$C$4/1000)/General_Model!$C$15)^0.25))*General_Model!$C$7/(General_Model!$C$4/1000)+2)*(General_Model!$C$26/A3))</f>
        <v>0.20315125141694729</v>
      </c>
      <c r="C3" s="13">
        <f t="shared" ref="C3:C66" si="0">IF(B3*B4&lt;=0,1,0)</f>
        <v>0</v>
      </c>
    </row>
    <row r="4" spans="1:3" x14ac:dyDescent="0.25">
      <c r="A4" s="11">
        <v>2E-3</v>
      </c>
      <c r="B4" s="12">
        <f>(General_Model!$C$6/General_Model!$C$7)-1/(1+General_Model!$C$26/((1.2+0.2*(General_Model!$C$26/A4)+0.35*SQRT(9.80665*(General_Model!$C$4/1000))/A4)*A4))-(A4^2/(2*9.80665*General_Model!$C$7))*((4*(0.3164/((General_Model!$C$14*A4*(General_Model!$C$4/1000)/General_Model!$C$15)^0.25))*General_Model!$C$7/(General_Model!$C$4/1000)+1)+(4*(0.3164/((General_Model!$C$14*A4*(General_Model!$C$4/1000)/General_Model!$C$15)^0.25))*General_Model!$C$7/(General_Model!$C$4/1000)+2)*(General_Model!$C$26/A4))</f>
        <v>0.20195073899445035</v>
      </c>
      <c r="C4" s="13">
        <f t="shared" si="0"/>
        <v>0</v>
      </c>
    </row>
    <row r="5" spans="1:3" x14ac:dyDescent="0.25">
      <c r="A5" s="11">
        <v>3.0000000000000001E-3</v>
      </c>
      <c r="B5" s="12">
        <f>(General_Model!$C$6/General_Model!$C$7)-1/(1+General_Model!$C$26/((1.2+0.2*(General_Model!$C$26/A5)+0.35*SQRT(9.80665*(General_Model!$C$4/1000))/A5)*A5))-(A5^2/(2*9.80665*General_Model!$C$7))*((4*(0.3164/((General_Model!$C$14*A5*(General_Model!$C$4/1000)/General_Model!$C$15)^0.25))*General_Model!$C$7/(General_Model!$C$4/1000)+1)+(4*(0.3164/((General_Model!$C$14*A5*(General_Model!$C$4/1000)/General_Model!$C$15)^0.25))*General_Model!$C$7/(General_Model!$C$4/1000)+2)*(General_Model!$C$26/A5))</f>
        <v>0.20077886508377088</v>
      </c>
      <c r="C5" s="13">
        <f t="shared" si="0"/>
        <v>0</v>
      </c>
    </row>
    <row r="6" spans="1:3" x14ac:dyDescent="0.25">
      <c r="A6" s="11">
        <v>4.0000000000000001E-3</v>
      </c>
      <c r="B6" s="12">
        <f>(General_Model!$C$6/General_Model!$C$7)-1/(1+General_Model!$C$26/((1.2+0.2*(General_Model!$C$26/A6)+0.35*SQRT(9.80665*(General_Model!$C$4/1000))/A6)*A6))-(A6^2/(2*9.80665*General_Model!$C$7))*((4*(0.3164/((General_Model!$C$14*A6*(General_Model!$C$4/1000)/General_Model!$C$15)^0.25))*General_Model!$C$7/(General_Model!$C$4/1000)+1)+(4*(0.3164/((General_Model!$C$14*A6*(General_Model!$C$4/1000)/General_Model!$C$15)^0.25))*General_Model!$C$7/(General_Model!$C$4/1000)+2)*(General_Model!$C$26/A6))</f>
        <v>0.19962452930152511</v>
      </c>
      <c r="C6" s="13">
        <f t="shared" si="0"/>
        <v>0</v>
      </c>
    </row>
    <row r="7" spans="1:3" x14ac:dyDescent="0.25">
      <c r="A7" s="11">
        <v>5.0000000000000001E-3</v>
      </c>
      <c r="B7" s="12">
        <f>(General_Model!$C$6/General_Model!$C$7)-1/(1+General_Model!$C$26/((1.2+0.2*(General_Model!$C$26/A7)+0.35*SQRT(9.80665*(General_Model!$C$4/1000))/A7)*A7))-(A7^2/(2*9.80665*General_Model!$C$7))*((4*(0.3164/((General_Model!$C$14*A7*(General_Model!$C$4/1000)/General_Model!$C$15)^0.25))*General_Model!$C$7/(General_Model!$C$4/1000)+1)+(4*(0.3164/((General_Model!$C$14*A7*(General_Model!$C$4/1000)/General_Model!$C$15)^0.25))*General_Model!$C$7/(General_Model!$C$4/1000)+2)*(General_Model!$C$26/A7))</f>
        <v>0.19848297395754139</v>
      </c>
      <c r="C7" s="13">
        <f t="shared" si="0"/>
        <v>0</v>
      </c>
    </row>
    <row r="8" spans="1:3" x14ac:dyDescent="0.25">
      <c r="A8" s="11">
        <v>6.0000000000000001E-3</v>
      </c>
      <c r="B8" s="12">
        <f>(General_Model!$C$6/General_Model!$C$7)-1/(1+General_Model!$C$26/((1.2+0.2*(General_Model!$C$26/A8)+0.35*SQRT(9.80665*(General_Model!$C$4/1000))/A8)*A8))-(A8^2/(2*9.80665*General_Model!$C$7))*((4*(0.3164/((General_Model!$C$14*A8*(General_Model!$C$4/1000)/General_Model!$C$15)^0.25))*General_Model!$C$7/(General_Model!$C$4/1000)+1)+(4*(0.3164/((General_Model!$C$14*A8*(General_Model!$C$4/1000)/General_Model!$C$15)^0.25))*General_Model!$C$7/(General_Model!$C$4/1000)+2)*(General_Model!$C$26/A8))</f>
        <v>0.19735158566109473</v>
      </c>
      <c r="C8" s="13">
        <f t="shared" si="0"/>
        <v>0</v>
      </c>
    </row>
    <row r="9" spans="1:3" x14ac:dyDescent="0.25">
      <c r="A9" s="11">
        <v>7.0000000000000001E-3</v>
      </c>
      <c r="B9" s="12">
        <f>(General_Model!$C$6/General_Model!$C$7)-1/(1+General_Model!$C$26/((1.2+0.2*(General_Model!$C$26/A9)+0.35*SQRT(9.80665*(General_Model!$C$4/1000))/A9)*A9))-(A9^2/(2*9.80665*General_Model!$C$7))*((4*(0.3164/((General_Model!$C$14*A9*(General_Model!$C$4/1000)/General_Model!$C$15)^0.25))*General_Model!$C$7/(General_Model!$C$4/1000)+1)+(4*(0.3164/((General_Model!$C$14*A9*(General_Model!$C$4/1000)/General_Model!$C$15)^0.25))*General_Model!$C$7/(General_Model!$C$4/1000)+2)*(General_Model!$C$26/A9))</f>
        <v>0.19622872704050776</v>
      </c>
      <c r="C9" s="13">
        <f t="shared" si="0"/>
        <v>0</v>
      </c>
    </row>
    <row r="10" spans="1:3" x14ac:dyDescent="0.25">
      <c r="A10" s="11">
        <v>8.0000000000000002E-3</v>
      </c>
      <c r="B10" s="12">
        <f>(General_Model!$C$6/General_Model!$C$7)-1/(1+General_Model!$C$26/((1.2+0.2*(General_Model!$C$26/A10)+0.35*SQRT(9.80665*(General_Model!$C$4/1000))/A10)*A10))-(A10^2/(2*9.80665*General_Model!$C$7))*((4*(0.3164/((General_Model!$C$14*A10*(General_Model!$C$4/1000)/General_Model!$C$15)^0.25))*General_Model!$C$7/(General_Model!$C$4/1000)+1)+(4*(0.3164/((General_Model!$C$14*A10*(General_Model!$C$4/1000)/General_Model!$C$15)^0.25))*General_Model!$C$7/(General_Model!$C$4/1000)+2)*(General_Model!$C$26/A10))</f>
        <v>0.19511328306565293</v>
      </c>
      <c r="C10" s="13">
        <f t="shared" si="0"/>
        <v>0</v>
      </c>
    </row>
    <row r="11" spans="1:3" x14ac:dyDescent="0.25">
      <c r="A11" s="11">
        <v>9.0000000000000011E-3</v>
      </c>
      <c r="B11" s="12">
        <f>(General_Model!$C$6/General_Model!$C$7)-1/(1+General_Model!$C$26/((1.2+0.2*(General_Model!$C$26/A11)+0.35*SQRT(9.80665*(General_Model!$C$4/1000))/A11)*A11))-(A11^2/(2*9.80665*General_Model!$C$7))*((4*(0.3164/((General_Model!$C$14*A11*(General_Model!$C$4/1000)/General_Model!$C$15)^0.25))*General_Model!$C$7/(General_Model!$C$4/1000)+1)+(4*(0.3164/((General_Model!$C$14*A11*(General_Model!$C$4/1000)/General_Model!$C$15)^0.25))*General_Model!$C$7/(General_Model!$C$4/1000)+2)*(General_Model!$C$26/A11))</f>
        <v>0.19400444901868835</v>
      </c>
      <c r="C11" s="13">
        <f t="shared" si="0"/>
        <v>0</v>
      </c>
    </row>
    <row r="12" spans="1:3" x14ac:dyDescent="0.25">
      <c r="A12" s="11">
        <v>0.01</v>
      </c>
      <c r="B12" s="12">
        <f>(General_Model!$C$6/General_Model!$C$7)-1/(1+General_Model!$C$26/((1.2+0.2*(General_Model!$C$26/A12)+0.35*SQRT(9.80665*(General_Model!$C$4/1000))/A12)*A12))-(A12^2/(2*9.80665*General_Model!$C$7))*((4*(0.3164/((General_Model!$C$14*A12*(General_Model!$C$4/1000)/General_Model!$C$15)^0.25))*General_Model!$C$7/(General_Model!$C$4/1000)+1)+(4*(0.3164/((General_Model!$C$14*A12*(General_Model!$C$4/1000)/General_Model!$C$15)^0.25))*General_Model!$C$7/(General_Model!$C$4/1000)+2)*(General_Model!$C$26/A12))</f>
        <v>0.19290161861649385</v>
      </c>
      <c r="C12" s="13">
        <f t="shared" si="0"/>
        <v>0</v>
      </c>
    </row>
    <row r="13" spans="1:3" x14ac:dyDescent="0.25">
      <c r="A13" s="11">
        <v>1.0999999999999999E-2</v>
      </c>
      <c r="B13" s="12">
        <f>(General_Model!$C$6/General_Model!$C$7)-1/(1+General_Model!$C$26/((1.2+0.2*(General_Model!$C$26/A13)+0.35*SQRT(9.80665*(General_Model!$C$4/1000))/A13)*A13))-(A13^2/(2*9.80665*General_Model!$C$7))*((4*(0.3164/((General_Model!$C$14*A13*(General_Model!$C$4/1000)/General_Model!$C$15)^0.25))*General_Model!$C$7/(General_Model!$C$4/1000)+1)+(4*(0.3164/((General_Model!$C$14*A13*(General_Model!$C$4/1000)/General_Model!$C$15)^0.25))*General_Model!$C$7/(General_Model!$C$4/1000)+2)*(General_Model!$C$26/A13))</f>
        <v>0.19180431963731923</v>
      </c>
      <c r="C13" s="13">
        <f t="shared" si="0"/>
        <v>0</v>
      </c>
    </row>
    <row r="14" spans="1:3" x14ac:dyDescent="0.25">
      <c r="A14" s="11">
        <v>1.2E-2</v>
      </c>
      <c r="B14" s="12">
        <f>(General_Model!$C$6/General_Model!$C$7)-1/(1+General_Model!$C$26/((1.2+0.2*(General_Model!$C$26/A14)+0.35*SQRT(9.80665*(General_Model!$C$4/1000))/A14)*A14))-(A14^2/(2*9.80665*General_Model!$C$7))*((4*(0.3164/((General_Model!$C$14*A14*(General_Model!$C$4/1000)/General_Model!$C$15)^0.25))*General_Model!$C$7/(General_Model!$C$4/1000)+1)+(4*(0.3164/((General_Model!$C$14*A14*(General_Model!$C$4/1000)/General_Model!$C$15)^0.25))*General_Model!$C$7/(General_Model!$C$4/1000)+2)*(General_Model!$C$26/A14))</f>
        <v>0.19071217438191754</v>
      </c>
      <c r="C14" s="13">
        <f t="shared" si="0"/>
        <v>0</v>
      </c>
    </row>
    <row r="15" spans="1:3" x14ac:dyDescent="0.25">
      <c r="A15" s="11">
        <v>1.2999999999999999E-2</v>
      </c>
      <c r="B15" s="12">
        <f>(General_Model!$C$6/General_Model!$C$7)-1/(1+General_Model!$C$26/((1.2+0.2*(General_Model!$C$26/A15)+0.35*SQRT(9.80665*(General_Model!$C$4/1000))/A15)*A15))-(A15^2/(2*9.80665*General_Model!$C$7))*((4*(0.3164/((General_Model!$C$14*A15*(General_Model!$C$4/1000)/General_Model!$C$15)^0.25))*General_Model!$C$7/(General_Model!$C$4/1000)+1)+(4*(0.3164/((General_Model!$C$14*A15*(General_Model!$C$4/1000)/General_Model!$C$15)^0.25))*General_Model!$C$7/(General_Model!$C$4/1000)+2)*(General_Model!$C$26/A15))</f>
        <v>0.18962487411414433</v>
      </c>
      <c r="C15" s="13">
        <f t="shared" si="0"/>
        <v>0</v>
      </c>
    </row>
    <row r="16" spans="1:3" x14ac:dyDescent="0.25">
      <c r="A16" s="11">
        <v>1.4E-2</v>
      </c>
      <c r="B16" s="12">
        <f>(General_Model!$C$6/General_Model!$C$7)-1/(1+General_Model!$C$26/((1.2+0.2*(General_Model!$C$26/A16)+0.35*SQRT(9.80665*(General_Model!$C$4/1000))/A16)*A16))-(A16^2/(2*9.80665*General_Model!$C$7))*((4*(0.3164/((General_Model!$C$14*A16*(General_Model!$C$4/1000)/General_Model!$C$15)^0.25))*General_Model!$C$7/(General_Model!$C$4/1000)+1)+(4*(0.3164/((General_Model!$C$14*A16*(General_Model!$C$4/1000)/General_Model!$C$15)^0.25))*General_Model!$C$7/(General_Model!$C$4/1000)+2)*(General_Model!$C$26/A16))</f>
        <v>0.18854216184321859</v>
      </c>
      <c r="C16" s="13">
        <f t="shared" si="0"/>
        <v>0</v>
      </c>
    </row>
    <row r="17" spans="1:3" x14ac:dyDescent="0.25">
      <c r="A17" s="11">
        <v>1.4999999999999999E-2</v>
      </c>
      <c r="B17" s="12">
        <f>(General_Model!$C$6/General_Model!$C$7)-1/(1+General_Model!$C$26/((1.2+0.2*(General_Model!$C$26/A17)+0.35*SQRT(9.80665*(General_Model!$C$4/1000))/A17)*A17))-(A17^2/(2*9.80665*General_Model!$C$7))*((4*(0.3164/((General_Model!$C$14*A17*(General_Model!$C$4/1000)/General_Model!$C$15)^0.25))*General_Model!$C$7/(General_Model!$C$4/1000)+1)+(4*(0.3164/((General_Model!$C$14*A17*(General_Model!$C$4/1000)/General_Model!$C$15)^0.25))*General_Model!$C$7/(General_Model!$C$4/1000)+2)*(General_Model!$C$26/A17))</f>
        <v>0.18746382032450598</v>
      </c>
      <c r="C17" s="13">
        <f t="shared" si="0"/>
        <v>0</v>
      </c>
    </row>
    <row r="18" spans="1:3" x14ac:dyDescent="0.25">
      <c r="A18" s="11">
        <v>1.6E-2</v>
      </c>
      <c r="B18" s="12">
        <f>(General_Model!$C$6/General_Model!$C$7)-1/(1+General_Model!$C$26/((1.2+0.2*(General_Model!$C$26/A18)+0.35*SQRT(9.80665*(General_Model!$C$4/1000))/A18)*A18))-(A18^2/(2*9.80665*General_Model!$C$7))*((4*(0.3164/((General_Model!$C$14*A18*(General_Model!$C$4/1000)/General_Model!$C$15)^0.25))*General_Model!$C$7/(General_Model!$C$4/1000)+1)+(4*(0.3164/((General_Model!$C$14*A18*(General_Model!$C$4/1000)/General_Model!$C$15)^0.25))*General_Model!$C$7/(General_Model!$C$4/1000)+2)*(General_Model!$C$26/A18))</f>
        <v>0.18638966345538985</v>
      </c>
      <c r="C18" s="13">
        <f t="shared" si="0"/>
        <v>0</v>
      </c>
    </row>
    <row r="19" spans="1:3" x14ac:dyDescent="0.25">
      <c r="A19" s="11">
        <v>1.7000000000000001E-2</v>
      </c>
      <c r="B19" s="12">
        <f>(General_Model!$C$6/General_Model!$C$7)-1/(1+General_Model!$C$26/((1.2+0.2*(General_Model!$C$26/A19)+0.35*SQRT(9.80665*(General_Model!$C$4/1000))/A19)*A19))-(A19^2/(2*9.80665*General_Model!$C$7))*((4*(0.3164/((General_Model!$C$14*A19*(General_Model!$C$4/1000)/General_Model!$C$15)^0.25))*General_Model!$C$7/(General_Model!$C$4/1000)+1)+(4*(0.3164/((General_Model!$C$14*A19*(General_Model!$C$4/1000)/General_Model!$C$15)^0.25))*General_Model!$C$7/(General_Model!$C$4/1000)+2)*(General_Model!$C$26/A19))</f>
        <v>0.18531952995404846</v>
      </c>
      <c r="C19" s="13">
        <f t="shared" si="0"/>
        <v>0</v>
      </c>
    </row>
    <row r="20" spans="1:3" x14ac:dyDescent="0.25">
      <c r="A20" s="11">
        <v>1.7999999999999999E-2</v>
      </c>
      <c r="B20" s="12">
        <f>(General_Model!$C$6/General_Model!$C$7)-1/(1+General_Model!$C$26/((1.2+0.2*(General_Model!$C$26/A20)+0.35*SQRT(9.80665*(General_Model!$C$4/1000))/A20)*A20))-(A20^2/(2*9.80665*General_Model!$C$7))*((4*(0.3164/((General_Model!$C$14*A20*(General_Model!$C$4/1000)/General_Model!$C$15)^0.25))*General_Model!$C$7/(General_Model!$C$4/1000)+1)+(4*(0.3164/((General_Model!$C$14*A20*(General_Model!$C$4/1000)/General_Model!$C$15)^0.25))*General_Model!$C$7/(General_Model!$C$4/1000)+2)*(General_Model!$C$26/A20))</f>
        <v>0.1842532786172231</v>
      </c>
      <c r="C20" s="13">
        <f t="shared" si="0"/>
        <v>0</v>
      </c>
    </row>
    <row r="21" spans="1:3" x14ac:dyDescent="0.25">
      <c r="A21" s="11">
        <v>1.9E-2</v>
      </c>
      <c r="B21" s="12">
        <f>(General_Model!$C$6/General_Model!$C$7)-1/(1+General_Model!$C$26/((1.2+0.2*(General_Model!$C$26/A21)+0.35*SQRT(9.80665*(General_Model!$C$4/1000))/A21)*A21))-(A21^2/(2*9.80665*General_Model!$C$7))*((4*(0.3164/((General_Model!$C$14*A21*(General_Model!$C$4/1000)/General_Model!$C$15)^0.25))*General_Model!$C$7/(General_Model!$C$4/1000)+1)+(4*(0.3164/((General_Model!$C$14*A21*(General_Model!$C$4/1000)/General_Model!$C$15)^0.25))*General_Model!$C$7/(General_Model!$C$4/1000)+2)*(General_Model!$C$26/A21))</f>
        <v>0.18319078469709149</v>
      </c>
      <c r="C21" s="13">
        <f t="shared" si="0"/>
        <v>0</v>
      </c>
    </row>
    <row r="22" spans="1:3" x14ac:dyDescent="0.25">
      <c r="A22" s="11">
        <v>0.02</v>
      </c>
      <c r="B22" s="12">
        <f>(General_Model!$C$6/General_Model!$C$7)-1/(1+General_Model!$C$26/((1.2+0.2*(General_Model!$C$26/A22)+0.35*SQRT(9.80665*(General_Model!$C$4/1000))/A22)*A22))-(A22^2/(2*9.80665*General_Model!$C$7))*((4*(0.3164/((General_Model!$C$14*A22*(General_Model!$C$4/1000)/General_Model!$C$15)^0.25))*General_Model!$C$7/(General_Model!$C$4/1000)+1)+(4*(0.3164/((General_Model!$C$14*A22*(General_Model!$C$4/1000)/General_Model!$C$15)^0.25))*General_Model!$C$7/(General_Model!$C$4/1000)+2)*(General_Model!$C$26/A22))</f>
        <v>0.18213193708840913</v>
      </c>
      <c r="C22" s="13">
        <f t="shared" si="0"/>
        <v>0</v>
      </c>
    </row>
    <row r="23" spans="1:3" x14ac:dyDescent="0.25">
      <c r="A23" s="11">
        <v>2.1000000000000001E-2</v>
      </c>
      <c r="B23" s="12">
        <f>(General_Model!$C$6/General_Model!$C$7)-1/(1+General_Model!$C$26/((1.2+0.2*(General_Model!$C$26/A23)+0.35*SQRT(9.80665*(General_Model!$C$4/1000))/A23)*A23))-(A23^2/(2*9.80665*General_Model!$C$7))*((4*(0.3164/((General_Model!$C$14*A23*(General_Model!$C$4/1000)/General_Model!$C$15)^0.25))*General_Model!$C$7/(General_Model!$C$4/1000)+1)+(4*(0.3164/((General_Model!$C$14*A23*(General_Model!$C$4/1000)/General_Model!$C$15)^0.25))*General_Model!$C$7/(General_Model!$C$4/1000)+2)*(General_Model!$C$26/A23))</f>
        <v>0.18107663611345054</v>
      </c>
      <c r="C23" s="13">
        <f t="shared" si="0"/>
        <v>0</v>
      </c>
    </row>
    <row r="24" spans="1:3" x14ac:dyDescent="0.25">
      <c r="A24" s="11">
        <v>2.1999999999999999E-2</v>
      </c>
      <c r="B24" s="12">
        <f>(General_Model!$C$6/General_Model!$C$7)-1/(1+General_Model!$C$26/((1.2+0.2*(General_Model!$C$26/A24)+0.35*SQRT(9.80665*(General_Model!$C$4/1000))/A24)*A24))-(A24^2/(2*9.80665*General_Model!$C$7))*((4*(0.3164/((General_Model!$C$14*A24*(General_Model!$C$4/1000)/General_Model!$C$15)^0.25))*General_Model!$C$7/(General_Model!$C$4/1000)+1)+(4*(0.3164/((General_Model!$C$14*A24*(General_Model!$C$4/1000)/General_Model!$C$15)^0.25))*General_Model!$C$7/(General_Model!$C$4/1000)+2)*(General_Model!$C$26/A24))</f>
        <v>0.18002479175542985</v>
      </c>
      <c r="C24" s="13">
        <f t="shared" si="0"/>
        <v>0</v>
      </c>
    </row>
    <row r="25" spans="1:3" x14ac:dyDescent="0.25">
      <c r="A25" s="11">
        <v>2.3E-2</v>
      </c>
      <c r="B25" s="12">
        <f>(General_Model!$C$6/General_Model!$C$7)-1/(1+General_Model!$C$26/((1.2+0.2*(General_Model!$C$26/A25)+0.35*SQRT(9.80665*(General_Model!$C$4/1000))/A25)*A25))-(A25^2/(2*9.80665*General_Model!$C$7))*((4*(0.3164/((General_Model!$C$14*A25*(General_Model!$C$4/1000)/General_Model!$C$15)^0.25))*General_Model!$C$7/(General_Model!$C$4/1000)+1)+(4*(0.3164/((General_Model!$C$14*A25*(General_Model!$C$4/1000)/General_Model!$C$15)^0.25))*General_Model!$C$7/(General_Model!$C$4/1000)+2)*(General_Model!$C$26/A25))</f>
        <v>0.17897632223344601</v>
      </c>
      <c r="C25" s="13">
        <f t="shared" si="0"/>
        <v>0</v>
      </c>
    </row>
    <row r="26" spans="1:3" x14ac:dyDescent="0.25">
      <c r="A26" s="11">
        <v>2.4E-2</v>
      </c>
      <c r="B26" s="12">
        <f>(General_Model!$C$6/General_Model!$C$7)-1/(1+General_Model!$C$26/((1.2+0.2*(General_Model!$C$26/A26)+0.35*SQRT(9.80665*(General_Model!$C$4/1000))/A26)*A26))-(A26^2/(2*9.80665*General_Model!$C$7))*((4*(0.3164/((General_Model!$C$14*A26*(General_Model!$C$4/1000)/General_Model!$C$15)^0.25))*General_Model!$C$7/(General_Model!$C$4/1000)+1)+(4*(0.3164/((General_Model!$C$14*A26*(General_Model!$C$4/1000)/General_Model!$C$15)^0.25))*General_Model!$C$7/(General_Model!$C$4/1000)+2)*(General_Model!$C$26/A26))</f>
        <v>0.17793115284102937</v>
      </c>
      <c r="C26" s="13">
        <f t="shared" si="0"/>
        <v>0</v>
      </c>
    </row>
    <row r="27" spans="1:3" x14ac:dyDescent="0.25">
      <c r="A27" s="11">
        <v>2.5000000000000001E-2</v>
      </c>
      <c r="B27" s="12">
        <f>(General_Model!$C$6/General_Model!$C$7)-1/(1+General_Model!$C$26/((1.2+0.2*(General_Model!$C$26/A27)+0.35*SQRT(9.80665*(General_Model!$C$4/1000))/A27)*A27))-(A27^2/(2*9.80665*General_Model!$C$7))*((4*(0.3164/((General_Model!$C$14*A27*(General_Model!$C$4/1000)/General_Model!$C$15)^0.25))*General_Model!$C$7/(General_Model!$C$4/1000)+1)+(4*(0.3164/((General_Model!$C$14*A27*(General_Model!$C$4/1000)/General_Model!$C$15)^0.25))*General_Model!$C$7/(General_Model!$C$4/1000)+2)*(General_Model!$C$26/A27))</f>
        <v>0.17688921499064028</v>
      </c>
      <c r="C27" s="13">
        <f t="shared" si="0"/>
        <v>0</v>
      </c>
    </row>
    <row r="28" spans="1:3" x14ac:dyDescent="0.25">
      <c r="A28" s="11">
        <v>2.5999999999999999E-2</v>
      </c>
      <c r="B28" s="12">
        <f>(General_Model!$C$6/General_Model!$C$7)-1/(1+General_Model!$C$26/((1.2+0.2*(General_Model!$C$26/A28)+0.35*SQRT(9.80665*(General_Model!$C$4/1000))/A28)*A28))-(A28^2/(2*9.80665*General_Model!$C$7))*((4*(0.3164/((General_Model!$C$14*A28*(General_Model!$C$4/1000)/General_Model!$C$15)^0.25))*General_Model!$C$7/(General_Model!$C$4/1000)+1)+(4*(0.3164/((General_Model!$C$14*A28*(General_Model!$C$4/1000)/General_Model!$C$15)^0.25))*General_Model!$C$7/(General_Model!$C$4/1000)+2)*(General_Model!$C$26/A28))</f>
        <v>0.17585044542086531</v>
      </c>
      <c r="C28" s="13">
        <f t="shared" si="0"/>
        <v>0</v>
      </c>
    </row>
    <row r="29" spans="1:3" x14ac:dyDescent="0.25">
      <c r="A29" s="11">
        <v>2.7E-2</v>
      </c>
      <c r="B29" s="12">
        <f>(General_Model!$C$6/General_Model!$C$7)-1/(1+General_Model!$C$26/((1.2+0.2*(General_Model!$C$26/A29)+0.35*SQRT(9.80665*(General_Model!$C$4/1000))/A29)*A29))-(A29^2/(2*9.80665*General_Model!$C$7))*((4*(0.3164/((General_Model!$C$14*A29*(General_Model!$C$4/1000)/General_Model!$C$15)^0.25))*General_Model!$C$7/(General_Model!$C$4/1000)+1)+(4*(0.3164/((General_Model!$C$14*A29*(General_Model!$C$4/1000)/General_Model!$C$15)^0.25))*General_Model!$C$7/(General_Model!$C$4/1000)+2)*(General_Model!$C$26/A29))</f>
        <v>0.17481478553345367</v>
      </c>
      <c r="C29" s="13">
        <f t="shared" si="0"/>
        <v>0</v>
      </c>
    </row>
    <row r="30" spans="1:3" x14ac:dyDescent="0.25">
      <c r="A30" s="11">
        <v>2.8000000000000001E-2</v>
      </c>
      <c r="B30" s="12">
        <f>(General_Model!$C$6/General_Model!$C$7)-1/(1+General_Model!$C$26/((1.2+0.2*(General_Model!$C$26/A30)+0.35*SQRT(9.80665*(General_Model!$C$4/1000))/A30)*A30))-(A30^2/(2*9.80665*General_Model!$C$7))*((4*(0.3164/((General_Model!$C$14*A30*(General_Model!$C$4/1000)/General_Model!$C$15)^0.25))*General_Model!$C$7/(General_Model!$C$4/1000)+1)+(4*(0.3164/((General_Model!$C$14*A30*(General_Model!$C$4/1000)/General_Model!$C$15)^0.25))*General_Model!$C$7/(General_Model!$C$4/1000)+2)*(General_Model!$C$26/A30))</f>
        <v>0.17378218083493283</v>
      </c>
      <c r="C30" s="13">
        <f t="shared" si="0"/>
        <v>0</v>
      </c>
    </row>
    <row r="31" spans="1:3" x14ac:dyDescent="0.25">
      <c r="A31" s="11">
        <v>2.9000000000000001E-2</v>
      </c>
      <c r="B31" s="12">
        <f>(General_Model!$C$6/General_Model!$C$7)-1/(1+General_Model!$C$26/((1.2+0.2*(General_Model!$C$26/A31)+0.35*SQRT(9.80665*(General_Model!$C$4/1000))/A31)*A31))-(A31^2/(2*9.80665*General_Model!$C$7))*((4*(0.3164/((General_Model!$C$14*A31*(General_Model!$C$4/1000)/General_Model!$C$15)^0.25))*General_Model!$C$7/(General_Model!$C$4/1000)+1)+(4*(0.3164/((General_Model!$C$14*A31*(General_Model!$C$4/1000)/General_Model!$C$15)^0.25))*General_Model!$C$7/(General_Model!$C$4/1000)+2)*(General_Model!$C$26/A31))</f>
        <v>0.17275258046318079</v>
      </c>
      <c r="C31" s="13">
        <f t="shared" si="0"/>
        <v>0</v>
      </c>
    </row>
    <row r="32" spans="1:3" x14ac:dyDescent="0.25">
      <c r="A32" s="11">
        <v>0.03</v>
      </c>
      <c r="B32" s="12">
        <f>(General_Model!$C$6/General_Model!$C$7)-1/(1+General_Model!$C$26/((1.2+0.2*(General_Model!$C$26/A32)+0.35*SQRT(9.80665*(General_Model!$C$4/1000))/A32)*A32))-(A32^2/(2*9.80665*General_Model!$C$7))*((4*(0.3164/((General_Model!$C$14*A32*(General_Model!$C$4/1000)/General_Model!$C$15)^0.25))*General_Model!$C$7/(General_Model!$C$4/1000)+1)+(4*(0.3164/((General_Model!$C$14*A32*(General_Model!$C$4/1000)/General_Model!$C$15)^0.25))*General_Model!$C$7/(General_Model!$C$4/1000)+2)*(General_Model!$C$26/A32))</f>
        <v>0.17172593678356127</v>
      </c>
      <c r="C32" s="13">
        <f t="shared" si="0"/>
        <v>0</v>
      </c>
    </row>
    <row r="33" spans="1:3" x14ac:dyDescent="0.25">
      <c r="A33" s="11">
        <v>3.1E-2</v>
      </c>
      <c r="B33" s="12">
        <f>(General_Model!$C$6/General_Model!$C$7)-1/(1+General_Model!$C$26/((1.2+0.2*(General_Model!$C$26/A33)+0.35*SQRT(9.80665*(General_Model!$C$4/1000))/A33)*A33))-(A33^2/(2*9.80665*General_Model!$C$7))*((4*(0.3164/((General_Model!$C$14*A33*(General_Model!$C$4/1000)/General_Model!$C$15)^0.25))*General_Model!$C$7/(General_Model!$C$4/1000)+1)+(4*(0.3164/((General_Model!$C$14*A33*(General_Model!$C$4/1000)/General_Model!$C$15)^0.25))*General_Model!$C$7/(General_Model!$C$4/1000)+2)*(General_Model!$C$26/A33))</f>
        <v>0.17070220504243336</v>
      </c>
      <c r="C33" s="13">
        <f t="shared" si="0"/>
        <v>0</v>
      </c>
    </row>
    <row r="34" spans="1:3" x14ac:dyDescent="0.25">
      <c r="A34" s="11">
        <v>3.2000000000000001E-2</v>
      </c>
      <c r="B34" s="12">
        <f>(General_Model!$C$6/General_Model!$C$7)-1/(1+General_Model!$C$26/((1.2+0.2*(General_Model!$C$26/A34)+0.35*SQRT(9.80665*(General_Model!$C$4/1000))/A34)*A34))-(A34^2/(2*9.80665*General_Model!$C$7))*((4*(0.3164/((General_Model!$C$14*A34*(General_Model!$C$4/1000)/General_Model!$C$15)^0.25))*General_Model!$C$7/(General_Model!$C$4/1000)+1)+(4*(0.3164/((General_Model!$C$14*A34*(General_Model!$C$4/1000)/General_Model!$C$15)^0.25))*General_Model!$C$7/(General_Model!$C$4/1000)+2)*(General_Model!$C$26/A34))</f>
        <v>0.16968134306830626</v>
      </c>
      <c r="C34" s="13">
        <f t="shared" si="0"/>
        <v>0</v>
      </c>
    </row>
    <row r="35" spans="1:3" x14ac:dyDescent="0.25">
      <c r="A35" s="11">
        <v>3.3000000000000002E-2</v>
      </c>
      <c r="B35" s="12">
        <f>(General_Model!$C$6/General_Model!$C$7)-1/(1+General_Model!$C$26/((1.2+0.2*(General_Model!$C$26/A35)+0.35*SQRT(9.80665*(General_Model!$C$4/1000))/A35)*A35))-(A35^2/(2*9.80665*General_Model!$C$7))*((4*(0.3164/((General_Model!$C$14*A35*(General_Model!$C$4/1000)/General_Model!$C$15)^0.25))*General_Model!$C$7/(General_Model!$C$4/1000)+1)+(4*(0.3164/((General_Model!$C$14*A35*(General_Model!$C$4/1000)/General_Model!$C$15)^0.25))*General_Model!$C$7/(General_Model!$C$4/1000)+2)*(General_Model!$C$26/A35))</f>
        <v>0.16866331101280807</v>
      </c>
      <c r="C35" s="13">
        <f t="shared" si="0"/>
        <v>0</v>
      </c>
    </row>
    <row r="36" spans="1:3" x14ac:dyDescent="0.25">
      <c r="A36" s="11">
        <v>3.4000000000000002E-2</v>
      </c>
      <c r="B36" s="12">
        <f>(General_Model!$C$6/General_Model!$C$7)-1/(1+General_Model!$C$26/((1.2+0.2*(General_Model!$C$26/A36)+0.35*SQRT(9.80665*(General_Model!$C$4/1000))/A36)*A36))-(A36^2/(2*9.80665*General_Model!$C$7))*((4*(0.3164/((General_Model!$C$14*A36*(General_Model!$C$4/1000)/General_Model!$C$15)^0.25))*General_Model!$C$7/(General_Model!$C$4/1000)+1)+(4*(0.3164/((General_Model!$C$14*A36*(General_Model!$C$4/1000)/General_Model!$C$15)^0.25))*General_Model!$C$7/(General_Model!$C$4/1000)+2)*(General_Model!$C$26/A36))</f>
        <v>0.16764807112512511</v>
      </c>
      <c r="C36" s="13">
        <f t="shared" si="0"/>
        <v>0</v>
      </c>
    </row>
    <row r="37" spans="1:3" x14ac:dyDescent="0.25">
      <c r="A37" s="11">
        <v>3.5000000000000003E-2</v>
      </c>
      <c r="B37" s="12">
        <f>(General_Model!$C$6/General_Model!$C$7)-1/(1+General_Model!$C$26/((1.2+0.2*(General_Model!$C$26/A37)+0.35*SQRT(9.80665*(General_Model!$C$4/1000))/A37)*A37))-(A37^2/(2*9.80665*General_Model!$C$7))*((4*(0.3164/((General_Model!$C$14*A37*(General_Model!$C$4/1000)/General_Model!$C$15)^0.25))*General_Model!$C$7/(General_Model!$C$4/1000)+1)+(4*(0.3164/((General_Model!$C$14*A37*(General_Model!$C$4/1000)/General_Model!$C$15)^0.25))*General_Model!$C$7/(General_Model!$C$4/1000)+2)*(General_Model!$C$26/A37))</f>
        <v>0.16663558755473132</v>
      </c>
      <c r="C37" s="13">
        <f t="shared" si="0"/>
        <v>0</v>
      </c>
    </row>
    <row r="38" spans="1:3" x14ac:dyDescent="0.25">
      <c r="A38" s="11">
        <v>3.5999999999999997E-2</v>
      </c>
      <c r="B38" s="12">
        <f>(General_Model!$C$6/General_Model!$C$7)-1/(1+General_Model!$C$26/((1.2+0.2*(General_Model!$C$26/A38)+0.35*SQRT(9.80665*(General_Model!$C$4/1000))/A38)*A38))-(A38^2/(2*9.80665*General_Model!$C$7))*((4*(0.3164/((General_Model!$C$14*A38*(General_Model!$C$4/1000)/General_Model!$C$15)^0.25))*General_Model!$C$7/(General_Model!$C$4/1000)+1)+(4*(0.3164/((General_Model!$C$14*A38*(General_Model!$C$4/1000)/General_Model!$C$15)^0.25))*General_Model!$C$7/(General_Model!$C$4/1000)+2)*(General_Model!$C$26/A38))</f>
        <v>0.16562582617815502</v>
      </c>
      <c r="C38" s="13">
        <f t="shared" si="0"/>
        <v>0</v>
      </c>
    </row>
    <row r="39" spans="1:3" x14ac:dyDescent="0.25">
      <c r="A39" s="11">
        <v>3.7000000000000012E-2</v>
      </c>
      <c r="B39" s="12">
        <f>(General_Model!$C$6/General_Model!$C$7)-1/(1+General_Model!$C$26/((1.2+0.2*(General_Model!$C$26/A39)+0.35*SQRT(9.80665*(General_Model!$C$4/1000))/A39)*A39))-(A39^2/(2*9.80665*General_Model!$C$7))*((4*(0.3164/((General_Model!$C$14*A39*(General_Model!$C$4/1000)/General_Model!$C$15)^0.25))*General_Model!$C$7/(General_Model!$C$4/1000)+1)+(4*(0.3164/((General_Model!$C$14*A39*(General_Model!$C$4/1000)/General_Model!$C$15)^0.25))*General_Model!$C$7/(General_Model!$C$4/1000)+2)*(General_Model!$C$26/A39))</f>
        <v>0.16461875444626992</v>
      </c>
      <c r="C39" s="13">
        <f t="shared" si="0"/>
        <v>0</v>
      </c>
    </row>
    <row r="40" spans="1:3" x14ac:dyDescent="0.25">
      <c r="A40" s="11">
        <v>3.7999999999999999E-2</v>
      </c>
      <c r="B40" s="12">
        <f>(General_Model!$C$6/General_Model!$C$7)-1/(1+General_Model!$C$26/((1.2+0.2*(General_Model!$C$26/A40)+0.35*SQRT(9.80665*(General_Model!$C$4/1000))/A40)*A40))-(A40^2/(2*9.80665*General_Model!$C$7))*((4*(0.3164/((General_Model!$C$14*A40*(General_Model!$C$4/1000)/General_Model!$C$15)^0.25))*General_Model!$C$7/(General_Model!$C$4/1000)+1)+(4*(0.3164/((General_Model!$C$14*A40*(General_Model!$C$4/1000)/General_Model!$C$15)^0.25))*General_Model!$C$7/(General_Model!$C$4/1000)+2)*(General_Model!$C$26/A40))</f>
        <v>0.16361434124918883</v>
      </c>
      <c r="C40" s="13">
        <f t="shared" si="0"/>
        <v>0</v>
      </c>
    </row>
    <row r="41" spans="1:3" x14ac:dyDescent="0.25">
      <c r="A41" s="11">
        <v>3.9E-2</v>
      </c>
      <c r="B41" s="12">
        <f>(General_Model!$C$6/General_Model!$C$7)-1/(1+General_Model!$C$26/((1.2+0.2*(General_Model!$C$26/A41)+0.35*SQRT(9.80665*(General_Model!$C$4/1000))/A41)*A41))-(A41^2/(2*9.80665*General_Model!$C$7))*((4*(0.3164/((General_Model!$C$14*A41*(General_Model!$C$4/1000)/General_Model!$C$15)^0.25))*General_Model!$C$7/(General_Model!$C$4/1000)+1)+(4*(0.3164/((General_Model!$C$14*A41*(General_Model!$C$4/1000)/General_Model!$C$15)^0.25))*General_Model!$C$7/(General_Model!$C$4/1000)+2)*(General_Model!$C$26/A41))</f>
        <v>0.16261255679632219</v>
      </c>
      <c r="C41" s="13">
        <f t="shared" si="0"/>
        <v>0</v>
      </c>
    </row>
    <row r="42" spans="1:3" x14ac:dyDescent="0.25">
      <c r="A42" s="11">
        <v>0.04</v>
      </c>
      <c r="B42" s="12">
        <f>(General_Model!$C$6/General_Model!$C$7)-1/(1+General_Model!$C$26/((1.2+0.2*(General_Model!$C$26/A42)+0.35*SQRT(9.80665*(General_Model!$C$4/1000))/A42)*A42))-(A42^2/(2*9.80665*General_Model!$C$7))*((4*(0.3164/((General_Model!$C$14*A42*(General_Model!$C$4/1000)/General_Model!$C$15)^0.25))*General_Model!$C$7/(General_Model!$C$4/1000)+1)+(4*(0.3164/((General_Model!$C$14*A42*(General_Model!$C$4/1000)/General_Model!$C$15)^0.25))*General_Model!$C$7/(General_Model!$C$4/1000)+2)*(General_Model!$C$26/A42))</f>
        <v>0.16161337250955346</v>
      </c>
      <c r="C42" s="13">
        <f t="shared" si="0"/>
        <v>0</v>
      </c>
    </row>
    <row r="43" spans="1:3" x14ac:dyDescent="0.25">
      <c r="A43" s="11">
        <v>4.1000000000000002E-2</v>
      </c>
      <c r="B43" s="12">
        <f>(General_Model!$C$6/General_Model!$C$7)-1/(1+General_Model!$C$26/((1.2+0.2*(General_Model!$C$26/A43)+0.35*SQRT(9.80665*(General_Model!$C$4/1000))/A43)*A43))-(A43^2/(2*9.80665*General_Model!$C$7))*((4*(0.3164/((General_Model!$C$14*A43*(General_Model!$C$4/1000)/General_Model!$C$15)^0.25))*General_Model!$C$7/(General_Model!$C$4/1000)+1)+(4*(0.3164/((General_Model!$C$14*A43*(General_Model!$C$4/1000)/General_Model!$C$15)^0.25))*General_Model!$C$7/(General_Model!$C$4/1000)+2)*(General_Model!$C$26/A43))</f>
        <v>0.16061676092780447</v>
      </c>
      <c r="C43" s="13">
        <f t="shared" si="0"/>
        <v>0</v>
      </c>
    </row>
    <row r="44" spans="1:3" x14ac:dyDescent="0.25">
      <c r="A44" s="11">
        <v>4.2000000000000003E-2</v>
      </c>
      <c r="B44" s="12">
        <f>(General_Model!$C$6/General_Model!$C$7)-1/(1+General_Model!$C$26/((1.2+0.2*(General_Model!$C$26/A44)+0.35*SQRT(9.80665*(General_Model!$C$4/1000))/A44)*A44))-(A44^2/(2*9.80665*General_Model!$C$7))*((4*(0.3164/((General_Model!$C$14*A44*(General_Model!$C$4/1000)/General_Model!$C$15)^0.25))*General_Model!$C$7/(General_Model!$C$4/1000)+1)+(4*(0.3164/((General_Model!$C$14*A44*(General_Model!$C$4/1000)/General_Model!$C$15)^0.25))*General_Model!$C$7/(General_Model!$C$4/1000)+2)*(General_Model!$C$26/A44))</f>
        <v>0.15962269562152639</v>
      </c>
      <c r="C44" s="13">
        <f t="shared" si="0"/>
        <v>0</v>
      </c>
    </row>
    <row r="45" spans="1:3" x14ac:dyDescent="0.25">
      <c r="A45" s="11">
        <v>4.2999999999999997E-2</v>
      </c>
      <c r="B45" s="12">
        <f>(General_Model!$C$6/General_Model!$C$7)-1/(1+General_Model!$C$26/((1.2+0.2*(General_Model!$C$26/A45)+0.35*SQRT(9.80665*(General_Model!$C$4/1000))/A45)*A45))-(A45^2/(2*9.80665*General_Model!$C$7))*((4*(0.3164/((General_Model!$C$14*A45*(General_Model!$C$4/1000)/General_Model!$C$15)^0.25))*General_Model!$C$7/(General_Model!$C$4/1000)+1)+(4*(0.3164/((General_Model!$C$14*A45*(General_Model!$C$4/1000)/General_Model!$C$15)^0.25))*General_Model!$C$7/(General_Model!$C$4/1000)+2)*(General_Model!$C$26/A45))</f>
        <v>0.1586311511158725</v>
      </c>
      <c r="C45" s="13">
        <f t="shared" si="0"/>
        <v>0</v>
      </c>
    </row>
    <row r="46" spans="1:3" x14ac:dyDescent="0.25">
      <c r="A46" s="11">
        <v>4.3999999999999997E-2</v>
      </c>
      <c r="B46" s="12">
        <f>(General_Model!$C$6/General_Model!$C$7)-1/(1+General_Model!$C$26/((1.2+0.2*(General_Model!$C$26/A46)+0.35*SQRT(9.80665*(General_Model!$C$4/1000))/A46)*A46))-(A46^2/(2*9.80665*General_Model!$C$7))*((4*(0.3164/((General_Model!$C$14*A46*(General_Model!$C$4/1000)/General_Model!$C$15)^0.25))*General_Model!$C$7/(General_Model!$C$4/1000)+1)+(4*(0.3164/((General_Model!$C$14*A46*(General_Model!$C$4/1000)/General_Model!$C$15)^0.25))*General_Model!$C$7/(General_Model!$C$4/1000)+2)*(General_Model!$C$26/A46))</f>
        <v>0.15764210282148705</v>
      </c>
      <c r="C46" s="13">
        <f t="shared" si="0"/>
        <v>0</v>
      </c>
    </row>
    <row r="47" spans="1:3" x14ac:dyDescent="0.25">
      <c r="A47" s="11">
        <v>4.4999999999999998E-2</v>
      </c>
      <c r="B47" s="12">
        <f>(General_Model!$C$6/General_Model!$C$7)-1/(1+General_Model!$C$26/((1.2+0.2*(General_Model!$C$26/A47)+0.35*SQRT(9.80665*(General_Model!$C$4/1000))/A47)*A47))-(A47^2/(2*9.80665*General_Model!$C$7))*((4*(0.3164/((General_Model!$C$14*A47*(General_Model!$C$4/1000)/General_Model!$C$15)^0.25))*General_Model!$C$7/(General_Model!$C$4/1000)+1)+(4*(0.3164/((General_Model!$C$14*A47*(General_Model!$C$4/1000)/General_Model!$C$15)^0.25))*General_Model!$C$7/(General_Model!$C$4/1000)+2)*(General_Model!$C$26/A47))</f>
        <v>0.15665552697199966</v>
      </c>
      <c r="C47" s="13">
        <f t="shared" si="0"/>
        <v>0</v>
      </c>
    </row>
    <row r="48" spans="1:3" x14ac:dyDescent="0.25">
      <c r="A48" s="11">
        <v>4.5999999999999999E-2</v>
      </c>
      <c r="B48" s="12">
        <f>(General_Model!$C$6/General_Model!$C$7)-1/(1+General_Model!$C$26/((1.2+0.2*(General_Model!$C$26/A48)+0.35*SQRT(9.80665*(General_Model!$C$4/1000))/A48)*A48))-(A48^2/(2*9.80665*General_Model!$C$7))*((4*(0.3164/((General_Model!$C$14*A48*(General_Model!$C$4/1000)/General_Model!$C$15)^0.25))*General_Model!$C$7/(General_Model!$C$4/1000)+1)+(4*(0.3164/((General_Model!$C$14*A48*(General_Model!$C$4/1000)/General_Model!$C$15)^0.25))*General_Model!$C$7/(General_Model!$C$4/1000)+2)*(General_Model!$C$26/A48))</f>
        <v>0.15567140056743867</v>
      </c>
      <c r="C48" s="13">
        <f t="shared" si="0"/>
        <v>0</v>
      </c>
    </row>
    <row r="49" spans="1:3" x14ac:dyDescent="0.25">
      <c r="A49" s="11">
        <v>4.7E-2</v>
      </c>
      <c r="B49" s="12">
        <f>(General_Model!$C$6/General_Model!$C$7)-1/(1+General_Model!$C$26/((1.2+0.2*(General_Model!$C$26/A49)+0.35*SQRT(9.80665*(General_Model!$C$4/1000))/A49)*A49))-(A49^2/(2*9.80665*General_Model!$C$7))*((4*(0.3164/((General_Model!$C$14*A49*(General_Model!$C$4/1000)/General_Model!$C$15)^0.25))*General_Model!$C$7/(General_Model!$C$4/1000)+1)+(4*(0.3164/((General_Model!$C$14*A49*(General_Model!$C$4/1000)/General_Model!$C$15)^0.25))*General_Model!$C$7/(General_Model!$C$4/1000)+2)*(General_Model!$C$26/A49))</f>
        <v>0.15468970132288473</v>
      </c>
      <c r="C49" s="13">
        <f t="shared" si="0"/>
        <v>0</v>
      </c>
    </row>
    <row r="50" spans="1:3" x14ac:dyDescent="0.25">
      <c r="A50" s="11">
        <v>4.8000000000000001E-2</v>
      </c>
      <c r="B50" s="12">
        <f>(General_Model!$C$6/General_Model!$C$7)-1/(1+General_Model!$C$26/((1.2+0.2*(General_Model!$C$26/A50)+0.35*SQRT(9.80665*(General_Model!$C$4/1000))/A50)*A50))-(A50^2/(2*9.80665*General_Model!$C$7))*((4*(0.3164/((General_Model!$C$14*A50*(General_Model!$C$4/1000)/General_Model!$C$15)^0.25))*General_Model!$C$7/(General_Model!$C$4/1000)+1)+(4*(0.3164/((General_Model!$C$14*A50*(General_Model!$C$4/1000)/General_Model!$C$15)^0.25))*General_Model!$C$7/(General_Model!$C$4/1000)+2)*(General_Model!$C$26/A50))</f>
        <v>0.15371040762177793</v>
      </c>
      <c r="C50" s="13">
        <f t="shared" si="0"/>
        <v>0</v>
      </c>
    </row>
    <row r="51" spans="1:3" x14ac:dyDescent="0.25">
      <c r="A51" s="11">
        <v>4.9000000000000002E-2</v>
      </c>
      <c r="B51" s="12">
        <f>(General_Model!$C$6/General_Model!$C$7)-1/(1+General_Model!$C$26/((1.2+0.2*(General_Model!$C$26/A51)+0.35*SQRT(9.80665*(General_Model!$C$4/1000))/A51)*A51))-(A51^2/(2*9.80665*General_Model!$C$7))*((4*(0.3164/((General_Model!$C$14*A51*(General_Model!$C$4/1000)/General_Model!$C$15)^0.25))*General_Model!$C$7/(General_Model!$C$4/1000)+1)+(4*(0.3164/((General_Model!$C$14*A51*(General_Model!$C$4/1000)/General_Model!$C$15)^0.25))*General_Model!$C$7/(General_Model!$C$4/1000)+2)*(General_Model!$C$26/A51))</f>
        <v>0.15273349847336598</v>
      </c>
      <c r="C51" s="13">
        <f t="shared" si="0"/>
        <v>0</v>
      </c>
    </row>
    <row r="52" spans="1:3" x14ac:dyDescent="0.25">
      <c r="A52" s="11">
        <v>0.05</v>
      </c>
      <c r="B52" s="12">
        <f>(General_Model!$C$6/General_Model!$C$7)-1/(1+General_Model!$C$26/((1.2+0.2*(General_Model!$C$26/A52)+0.35*SQRT(9.80665*(General_Model!$C$4/1000))/A52)*A52))-(A52^2/(2*9.80665*General_Model!$C$7))*((4*(0.3164/((General_Model!$C$14*A52*(General_Model!$C$4/1000)/General_Model!$C$15)^0.25))*General_Model!$C$7/(General_Model!$C$4/1000)+1)+(4*(0.3164/((General_Model!$C$14*A52*(General_Model!$C$4/1000)/General_Model!$C$15)^0.25))*General_Model!$C$7/(General_Model!$C$4/1000)+2)*(General_Model!$C$26/A52))</f>
        <v>0.15175895347384813</v>
      </c>
      <c r="C52" s="13">
        <f t="shared" si="0"/>
        <v>0</v>
      </c>
    </row>
    <row r="53" spans="1:3" x14ac:dyDescent="0.25">
      <c r="A53" s="11">
        <v>5.0999999999999997E-2</v>
      </c>
      <c r="B53" s="12">
        <f>(General_Model!$C$6/General_Model!$C$7)-1/(1+General_Model!$C$26/((1.2+0.2*(General_Model!$C$26/A53)+0.35*SQRT(9.80665*(General_Model!$C$4/1000))/A53)*A53))-(A53^2/(2*9.80665*General_Model!$C$7))*((4*(0.3164/((General_Model!$C$14*A53*(General_Model!$C$4/1000)/General_Model!$C$15)^0.25))*General_Model!$C$7/(General_Model!$C$4/1000)+1)+(4*(0.3164/((General_Model!$C$14*A53*(General_Model!$C$4/1000)/General_Model!$C$15)^0.25))*General_Model!$C$7/(General_Model!$C$4/1000)+2)*(General_Model!$C$26/A53))</f>
        <v>0.15078675277082529</v>
      </c>
      <c r="C53" s="13">
        <f t="shared" si="0"/>
        <v>0</v>
      </c>
    </row>
    <row r="54" spans="1:3" x14ac:dyDescent="0.25">
      <c r="A54" s="11">
        <v>5.1999999999999998E-2</v>
      </c>
      <c r="B54" s="12">
        <f>(General_Model!$C$6/General_Model!$C$7)-1/(1+General_Model!$C$26/((1.2+0.2*(General_Model!$C$26/A54)+0.35*SQRT(9.80665*(General_Model!$C$4/1000))/A54)*A54))-(A54^2/(2*9.80665*General_Model!$C$7))*((4*(0.3164/((General_Model!$C$14*A54*(General_Model!$C$4/1000)/General_Model!$C$15)^0.25))*General_Model!$C$7/(General_Model!$C$4/1000)+1)+(4*(0.3164/((General_Model!$C$14*A54*(General_Model!$C$4/1000)/General_Model!$C$15)^0.25))*General_Model!$C$7/(General_Model!$C$4/1000)+2)*(General_Model!$C$26/A54))</f>
        <v>0.14981687703071322</v>
      </c>
      <c r="C54" s="13">
        <f t="shared" si="0"/>
        <v>0</v>
      </c>
    </row>
    <row r="55" spans="1:3" x14ac:dyDescent="0.25">
      <c r="A55" s="11">
        <v>5.3000000000000012E-2</v>
      </c>
      <c r="B55" s="12">
        <f>(General_Model!$C$6/General_Model!$C$7)-1/(1+General_Model!$C$26/((1.2+0.2*(General_Model!$C$26/A55)+0.35*SQRT(9.80665*(General_Model!$C$4/1000))/A55)*A55))-(A55^2/(2*9.80665*General_Model!$C$7))*((4*(0.3164/((General_Model!$C$14*A55*(General_Model!$C$4/1000)/General_Model!$C$15)^0.25))*General_Model!$C$7/(General_Model!$C$4/1000)+1)+(4*(0.3164/((General_Model!$C$14*A55*(General_Model!$C$4/1000)/General_Model!$C$15)^0.25))*General_Model!$C$7/(General_Model!$C$4/1000)+2)*(General_Model!$C$26/A55))</f>
        <v>0.14884930740881999</v>
      </c>
      <c r="C55" s="13">
        <f t="shared" si="0"/>
        <v>0</v>
      </c>
    </row>
    <row r="56" spans="1:3" x14ac:dyDescent="0.25">
      <c r="A56" s="11">
        <v>5.3999999999999999E-2</v>
      </c>
      <c r="B56" s="12">
        <f>(General_Model!$C$6/General_Model!$C$7)-1/(1+General_Model!$C$26/((1.2+0.2*(General_Model!$C$26/A56)+0.35*SQRT(9.80665*(General_Model!$C$4/1000))/A56)*A56))-(A56^2/(2*9.80665*General_Model!$C$7))*((4*(0.3164/((General_Model!$C$14*A56*(General_Model!$C$4/1000)/General_Model!$C$15)^0.25))*General_Model!$C$7/(General_Model!$C$4/1000)+1)+(4*(0.3164/((General_Model!$C$14*A56*(General_Model!$C$4/1000)/General_Model!$C$15)^0.25))*General_Model!$C$7/(General_Model!$C$4/1000)+2)*(General_Model!$C$26/A56))</f>
        <v>0.14788402552181973</v>
      </c>
      <c r="C56" s="13">
        <f t="shared" si="0"/>
        <v>0</v>
      </c>
    </row>
    <row r="57" spans="1:3" x14ac:dyDescent="0.25">
      <c r="A57" s="11">
        <v>5.5E-2</v>
      </c>
      <c r="B57" s="12">
        <f>(General_Model!$C$6/General_Model!$C$7)-1/(1+General_Model!$C$26/((1.2+0.2*(General_Model!$C$26/A57)+0.35*SQRT(9.80665*(General_Model!$C$4/1000))/A57)*A57))-(A57^2/(2*9.80665*General_Model!$C$7))*((4*(0.3164/((General_Model!$C$14*A57*(General_Model!$C$4/1000)/General_Model!$C$15)^0.25))*General_Model!$C$7/(General_Model!$C$4/1000)+1)+(4*(0.3164/((General_Model!$C$14*A57*(General_Model!$C$4/1000)/General_Model!$C$15)^0.25))*General_Model!$C$7/(General_Model!$C$4/1000)+2)*(General_Model!$C$26/A57))</f>
        <v>0.14692101342239139</v>
      </c>
      <c r="C57" s="13">
        <f t="shared" si="0"/>
        <v>0</v>
      </c>
    </row>
    <row r="58" spans="1:3" x14ac:dyDescent="0.25">
      <c r="A58" s="11">
        <v>5.6000000000000001E-2</v>
      </c>
      <c r="B58" s="12">
        <f>(General_Model!$C$6/General_Model!$C$7)-1/(1+General_Model!$C$26/((1.2+0.2*(General_Model!$C$26/A58)+0.35*SQRT(9.80665*(General_Model!$C$4/1000))/A58)*A58))-(A58^2/(2*9.80665*General_Model!$C$7))*((4*(0.3164/((General_Model!$C$14*A58*(General_Model!$C$4/1000)/General_Model!$C$15)^0.25))*General_Model!$C$7/(General_Model!$C$4/1000)+1)+(4*(0.3164/((General_Model!$C$14*A58*(General_Model!$C$4/1000)/General_Model!$C$15)^0.25))*General_Model!$C$7/(General_Model!$C$4/1000)+2)*(General_Model!$C$26/A58))</f>
        <v>0.14596025357581291</v>
      </c>
      <c r="C58" s="13">
        <f t="shared" si="0"/>
        <v>0</v>
      </c>
    </row>
    <row r="59" spans="1:3" x14ac:dyDescent="0.25">
      <c r="A59" s="11">
        <v>5.7000000000000002E-2</v>
      </c>
      <c r="B59" s="12">
        <f>(General_Model!$C$6/General_Model!$C$7)-1/(1+General_Model!$C$26/((1.2+0.2*(General_Model!$C$26/A59)+0.35*SQRT(9.80665*(General_Model!$C$4/1000))/A59)*A59))-(A59^2/(2*9.80665*General_Model!$C$7))*((4*(0.3164/((General_Model!$C$14*A59*(General_Model!$C$4/1000)/General_Model!$C$15)^0.25))*General_Model!$C$7/(General_Model!$C$4/1000)+1)+(4*(0.3164/((General_Model!$C$14*A59*(General_Model!$C$4/1000)/General_Model!$C$15)^0.25))*General_Model!$C$7/(General_Model!$C$4/1000)+2)*(General_Model!$C$26/A59))</f>
        <v>0.14500172883832677</v>
      </c>
      <c r="C59" s="13">
        <f t="shared" si="0"/>
        <v>0</v>
      </c>
    </row>
    <row r="60" spans="1:3" x14ac:dyDescent="0.25">
      <c r="A60" s="11">
        <v>5.8000000000000003E-2</v>
      </c>
      <c r="B60" s="12">
        <f>(General_Model!$C$6/General_Model!$C$7)-1/(1+General_Model!$C$26/((1.2+0.2*(General_Model!$C$26/A60)+0.35*SQRT(9.80665*(General_Model!$C$4/1000))/A60)*A60))-(A60^2/(2*9.80665*General_Model!$C$7))*((4*(0.3164/((General_Model!$C$14*A60*(General_Model!$C$4/1000)/General_Model!$C$15)^0.25))*General_Model!$C$7/(General_Model!$C$4/1000)+1)+(4*(0.3164/((General_Model!$C$14*A60*(General_Model!$C$4/1000)/General_Model!$C$15)^0.25))*General_Model!$C$7/(General_Model!$C$4/1000)+2)*(General_Model!$C$26/A60))</f>
        <v>0.14404542243711305</v>
      </c>
      <c r="C60" s="13">
        <f t="shared" si="0"/>
        <v>0</v>
      </c>
    </row>
    <row r="61" spans="1:3" x14ac:dyDescent="0.25">
      <c r="A61" s="11">
        <v>5.8999999999999997E-2</v>
      </c>
      <c r="B61" s="12">
        <f>(General_Model!$C$6/General_Model!$C$7)-1/(1+General_Model!$C$26/((1.2+0.2*(General_Model!$C$26/A61)+0.35*SQRT(9.80665*(General_Model!$C$4/1000))/A61)*A61))-(A61^2/(2*9.80665*General_Model!$C$7))*((4*(0.3164/((General_Model!$C$14*A61*(General_Model!$C$4/1000)/General_Model!$C$15)^0.25))*General_Model!$C$7/(General_Model!$C$4/1000)+1)+(4*(0.3164/((General_Model!$C$14*A61*(General_Model!$C$4/1000)/General_Model!$C$15)^0.25))*General_Model!$C$7/(General_Model!$C$4/1000)+2)*(General_Model!$C$26/A61))</f>
        <v>0.14309131795172408</v>
      </c>
      <c r="C61" s="13">
        <f t="shared" si="0"/>
        <v>0</v>
      </c>
    </row>
    <row r="62" spans="1:3" x14ac:dyDescent="0.25">
      <c r="A62" s="11">
        <v>0.06</v>
      </c>
      <c r="B62" s="12">
        <f>(General_Model!$C$6/General_Model!$C$7)-1/(1+General_Model!$C$26/((1.2+0.2*(General_Model!$C$26/A62)+0.35*SQRT(9.80665*(General_Model!$C$4/1000))/A62)*A62))-(A62^2/(2*9.80665*General_Model!$C$7))*((4*(0.3164/((General_Model!$C$14*A62*(General_Model!$C$4/1000)/General_Model!$C$15)^0.25))*General_Model!$C$7/(General_Model!$C$4/1000)+1)+(4*(0.3164/((General_Model!$C$14*A62*(General_Model!$C$4/1000)/General_Model!$C$15)^0.25))*General_Model!$C$7/(General_Model!$C$4/1000)+2)*(General_Model!$C$26/A62))</f>
        <v>0.14213939929684941</v>
      </c>
      <c r="C62" s="13">
        <f t="shared" si="0"/>
        <v>0</v>
      </c>
    </row>
    <row r="63" spans="1:3" x14ac:dyDescent="0.25">
      <c r="A63" s="11">
        <v>6.0999999999999999E-2</v>
      </c>
      <c r="B63" s="12">
        <f>(General_Model!$C$6/General_Model!$C$7)-1/(1+General_Model!$C$26/((1.2+0.2*(General_Model!$C$26/A63)+0.35*SQRT(9.80665*(General_Model!$C$4/1000))/A63)*A63))-(A63^2/(2*9.80665*General_Model!$C$7))*((4*(0.3164/((General_Model!$C$14*A63*(General_Model!$C$4/1000)/General_Model!$C$15)^0.25))*General_Model!$C$7/(General_Model!$C$4/1000)+1)+(4*(0.3164/((General_Model!$C$14*A63*(General_Model!$C$4/1000)/General_Model!$C$15)^0.25))*General_Model!$C$7/(General_Model!$C$4/1000)+2)*(General_Model!$C$26/A63))</f>
        <v>0.14118965070629375</v>
      </c>
      <c r="C63" s="13">
        <f t="shared" si="0"/>
        <v>0</v>
      </c>
    </row>
    <row r="64" spans="1:3" x14ac:dyDescent="0.25">
      <c r="A64" s="11">
        <v>6.2E-2</v>
      </c>
      <c r="B64" s="12">
        <f>(General_Model!$C$6/General_Model!$C$7)-1/(1+General_Model!$C$26/((1.2+0.2*(General_Model!$C$26/A64)+0.35*SQRT(9.80665*(General_Model!$C$4/1000))/A64)*A64))-(A64^2/(2*9.80665*General_Model!$C$7))*((4*(0.3164/((General_Model!$C$14*A64*(General_Model!$C$4/1000)/General_Model!$C$15)^0.25))*General_Model!$C$7/(General_Model!$C$4/1000)+1)+(4*(0.3164/((General_Model!$C$14*A64*(General_Model!$C$4/1000)/General_Model!$C$15)^0.25))*General_Model!$C$7/(General_Model!$C$4/1000)+2)*(General_Model!$C$26/A64))</f>
        <v>0.14024205671806381</v>
      </c>
      <c r="C64" s="13">
        <f t="shared" si="0"/>
        <v>0</v>
      </c>
    </row>
    <row r="65" spans="1:3" x14ac:dyDescent="0.25">
      <c r="A65" s="11">
        <v>6.3E-2</v>
      </c>
      <c r="B65" s="12">
        <f>(General_Model!$C$6/General_Model!$C$7)-1/(1+General_Model!$C$26/((1.2+0.2*(General_Model!$C$26/A65)+0.35*SQRT(9.80665*(General_Model!$C$4/1000))/A65)*A65))-(A65^2/(2*9.80665*General_Model!$C$7))*((4*(0.3164/((General_Model!$C$14*A65*(General_Model!$C$4/1000)/General_Model!$C$15)^0.25))*General_Model!$C$7/(General_Model!$C$4/1000)+1)+(4*(0.3164/((General_Model!$C$14*A65*(General_Model!$C$4/1000)/General_Model!$C$15)^0.25))*General_Model!$C$7/(General_Model!$C$4/1000)+2)*(General_Model!$C$26/A65))</f>
        <v>0.13929660216046919</v>
      </c>
      <c r="C65" s="13">
        <f t="shared" si="0"/>
        <v>0</v>
      </c>
    </row>
    <row r="66" spans="1:3" x14ac:dyDescent="0.25">
      <c r="A66" s="11">
        <v>6.4000000000000001E-2</v>
      </c>
      <c r="B66" s="12">
        <f>(General_Model!$C$6/General_Model!$C$7)-1/(1+General_Model!$C$26/((1.2+0.2*(General_Model!$C$26/A66)+0.35*SQRT(9.80665*(General_Model!$C$4/1000))/A66)*A66))-(A66^2/(2*9.80665*General_Model!$C$7))*((4*(0.3164/((General_Model!$C$14*A66*(General_Model!$C$4/1000)/General_Model!$C$15)^0.25))*General_Model!$C$7/(General_Model!$C$4/1000)+1)+(4*(0.3164/((General_Model!$C$14*A66*(General_Model!$C$4/1000)/General_Model!$C$15)^0.25))*General_Model!$C$7/(General_Model!$C$4/1000)+2)*(General_Model!$C$26/A66))</f>
        <v>0.13835327213915122</v>
      </c>
      <c r="C66" s="13">
        <f t="shared" si="0"/>
        <v>0</v>
      </c>
    </row>
    <row r="67" spans="1:3" x14ac:dyDescent="0.25">
      <c r="A67" s="11">
        <v>6.5000000000000002E-2</v>
      </c>
      <c r="B67" s="12">
        <f>(General_Model!$C$6/General_Model!$C$7)-1/(1+General_Model!$C$26/((1.2+0.2*(General_Model!$C$26/A67)+0.35*SQRT(9.80665*(General_Model!$C$4/1000))/A67)*A67))-(A67^2/(2*9.80665*General_Model!$C$7))*((4*(0.3164/((General_Model!$C$14*A67*(General_Model!$C$4/1000)/General_Model!$C$15)^0.25))*General_Model!$C$7/(General_Model!$C$4/1000)+1)+(4*(0.3164/((General_Model!$C$14*A67*(General_Model!$C$4/1000)/General_Model!$C$15)^0.25))*General_Model!$C$7/(General_Model!$C$4/1000)+2)*(General_Model!$C$26/A67))</f>
        <v>0.1374120520249657</v>
      </c>
      <c r="C67" s="13">
        <f t="shared" ref="C67:C130" si="1">IF(B67*B68&lt;=0,1,0)</f>
        <v>0</v>
      </c>
    </row>
    <row r="68" spans="1:3" x14ac:dyDescent="0.25">
      <c r="A68" s="11">
        <v>6.6000000000000003E-2</v>
      </c>
      <c r="B68" s="12">
        <f>(General_Model!$C$6/General_Model!$C$7)-1/(1+General_Model!$C$26/((1.2+0.2*(General_Model!$C$26/A68)+0.35*SQRT(9.80665*(General_Model!$C$4/1000))/A68)*A68))-(A68^2/(2*9.80665*General_Model!$C$7))*((4*(0.3164/((General_Model!$C$14*A68*(General_Model!$C$4/1000)/General_Model!$C$15)^0.25))*General_Model!$C$7/(General_Model!$C$4/1000)+1)+(4*(0.3164/((General_Model!$C$14*A68*(General_Model!$C$4/1000)/General_Model!$C$15)^0.25))*General_Model!$C$7/(General_Model!$C$4/1000)+2)*(General_Model!$C$26/A68))</f>
        <v>0.13647292744264783</v>
      </c>
      <c r="C68" s="13">
        <f t="shared" si="1"/>
        <v>0</v>
      </c>
    </row>
    <row r="69" spans="1:3" x14ac:dyDescent="0.25">
      <c r="A69" s="11">
        <v>6.7000000000000004E-2</v>
      </c>
      <c r="B69" s="12">
        <f>(General_Model!$C$6/General_Model!$C$7)-1/(1+General_Model!$C$26/((1.2+0.2*(General_Model!$C$26/A69)+0.35*SQRT(9.80665*(General_Model!$C$4/1000))/A69)*A69))-(A69^2/(2*9.80665*General_Model!$C$7))*((4*(0.3164/((General_Model!$C$14*A69*(General_Model!$C$4/1000)/General_Model!$C$15)^0.25))*General_Model!$C$7/(General_Model!$C$4/1000)+1)+(4*(0.3164/((General_Model!$C$14*A69*(General_Model!$C$4/1000)/General_Model!$C$15)^0.25))*General_Model!$C$7/(General_Model!$C$4/1000)+2)*(General_Model!$C$26/A69))</f>
        <v>0.13553588426019764</v>
      </c>
      <c r="C69" s="13">
        <f t="shared" si="1"/>
        <v>0</v>
      </c>
    </row>
    <row r="70" spans="1:3" x14ac:dyDescent="0.25">
      <c r="A70" s="11">
        <v>6.8000000000000005E-2</v>
      </c>
      <c r="B70" s="12">
        <f>(General_Model!$C$6/General_Model!$C$7)-1/(1+General_Model!$C$26/((1.2+0.2*(General_Model!$C$26/A70)+0.35*SQRT(9.80665*(General_Model!$C$4/1000))/A70)*A70))-(A70^2/(2*9.80665*General_Model!$C$7))*((4*(0.3164/((General_Model!$C$14*A70*(General_Model!$C$4/1000)/General_Model!$C$15)^0.25))*General_Model!$C$7/(General_Model!$C$4/1000)+1)+(4*(0.3164/((General_Model!$C$14*A70*(General_Model!$C$4/1000)/General_Model!$C$15)^0.25))*General_Model!$C$7/(General_Model!$C$4/1000)+2)*(General_Model!$C$26/A70))</f>
        <v>0.1346009085789297</v>
      </c>
      <c r="C70" s="13">
        <f t="shared" si="1"/>
        <v>0</v>
      </c>
    </row>
    <row r="71" spans="1:3" x14ac:dyDescent="0.25">
      <c r="A71" s="11">
        <v>6.9000000000000006E-2</v>
      </c>
      <c r="B71" s="12">
        <f>(General_Model!$C$6/General_Model!$C$7)-1/(1+General_Model!$C$26/((1.2+0.2*(General_Model!$C$26/A71)+0.35*SQRT(9.80665*(General_Model!$C$4/1000))/A71)*A71))-(A71^2/(2*9.80665*General_Model!$C$7))*((4*(0.3164/((General_Model!$C$14*A71*(General_Model!$C$4/1000)/General_Model!$C$15)^0.25))*General_Model!$C$7/(General_Model!$C$4/1000)+1)+(4*(0.3164/((General_Model!$C$14*A71*(General_Model!$C$4/1000)/General_Model!$C$15)^0.25))*General_Model!$C$7/(General_Model!$C$4/1000)+2)*(General_Model!$C$26/A71))</f>
        <v>0.13366798672413466</v>
      </c>
      <c r="C71" s="13">
        <f t="shared" si="1"/>
        <v>0</v>
      </c>
    </row>
    <row r="72" spans="1:3" x14ac:dyDescent="0.25">
      <c r="A72" s="11">
        <v>7.0000000000000007E-2</v>
      </c>
      <c r="B72" s="12">
        <f>(General_Model!$C$6/General_Model!$C$7)-1/(1+General_Model!$C$26/((1.2+0.2*(General_Model!$C$26/A72)+0.35*SQRT(9.80665*(General_Model!$C$4/1000))/A72)*A72))-(A72^2/(2*9.80665*General_Model!$C$7))*((4*(0.3164/((General_Model!$C$14*A72*(General_Model!$C$4/1000)/General_Model!$C$15)^0.25))*General_Model!$C$7/(General_Model!$C$4/1000)+1)+(4*(0.3164/((General_Model!$C$14*A72*(General_Model!$C$4/1000)/General_Model!$C$15)^0.25))*General_Model!$C$7/(General_Model!$C$4/1000)+2)*(General_Model!$C$26/A72))</f>
        <v>0.13273710523630575</v>
      </c>
      <c r="C72" s="13">
        <f t="shared" si="1"/>
        <v>0</v>
      </c>
    </row>
    <row r="73" spans="1:3" x14ac:dyDescent="0.25">
      <c r="A73" s="11">
        <v>7.1000000000000008E-2</v>
      </c>
      <c r="B73" s="12">
        <f>(General_Model!$C$6/General_Model!$C$7)-1/(1+General_Model!$C$26/((1.2+0.2*(General_Model!$C$26/A73)+0.35*SQRT(9.80665*(General_Model!$C$4/1000))/A73)*A73))-(A73^2/(2*9.80665*General_Model!$C$7))*((4*(0.3164/((General_Model!$C$14*A73*(General_Model!$C$4/1000)/General_Model!$C$15)^0.25))*General_Model!$C$7/(General_Model!$C$4/1000)+1)+(4*(0.3164/((General_Model!$C$14*A73*(General_Model!$C$4/1000)/General_Model!$C$15)^0.25))*General_Model!$C$7/(General_Model!$C$4/1000)+2)*(General_Model!$C$26/A73))</f>
        <v>0.13180825086288939</v>
      </c>
      <c r="C73" s="13">
        <f t="shared" si="1"/>
        <v>0</v>
      </c>
    </row>
    <row r="74" spans="1:3" x14ac:dyDescent="0.25">
      <c r="A74" s="11">
        <v>7.2000000000000008E-2</v>
      </c>
      <c r="B74" s="12">
        <f>(General_Model!$C$6/General_Model!$C$7)-1/(1+General_Model!$C$26/((1.2+0.2*(General_Model!$C$26/A74)+0.35*SQRT(9.80665*(General_Model!$C$4/1000))/A74)*A74))-(A74^2/(2*9.80665*General_Model!$C$7))*((4*(0.3164/((General_Model!$C$14*A74*(General_Model!$C$4/1000)/General_Model!$C$15)^0.25))*General_Model!$C$7/(General_Model!$C$4/1000)+1)+(4*(0.3164/((General_Model!$C$14*A74*(General_Model!$C$4/1000)/General_Model!$C$15)^0.25))*General_Model!$C$7/(General_Model!$C$4/1000)+2)*(General_Model!$C$26/A74))</f>
        <v>0.13088141055051833</v>
      </c>
      <c r="C74" s="13">
        <f t="shared" si="1"/>
        <v>0</v>
      </c>
    </row>
    <row r="75" spans="1:3" x14ac:dyDescent="0.25">
      <c r="A75" s="11">
        <v>7.3000000000000009E-2</v>
      </c>
      <c r="B75" s="12">
        <f>(General_Model!$C$6/General_Model!$C$7)-1/(1+General_Model!$C$26/((1.2+0.2*(General_Model!$C$26/A75)+0.35*SQRT(9.80665*(General_Model!$C$4/1000))/A75)*A75))-(A75^2/(2*9.80665*General_Model!$C$7))*((4*(0.3164/((General_Model!$C$14*A75*(General_Model!$C$4/1000)/General_Model!$C$15)^0.25))*General_Model!$C$7/(General_Model!$C$4/1000)+1)+(4*(0.3164/((General_Model!$C$14*A75*(General_Model!$C$4/1000)/General_Model!$C$15)^0.25))*General_Model!$C$7/(General_Model!$C$4/1000)+2)*(General_Model!$C$26/A75))</f>
        <v>0.12995657143769374</v>
      </c>
      <c r="C75" s="13">
        <f t="shared" si="1"/>
        <v>0</v>
      </c>
    </row>
    <row r="76" spans="1:3" x14ac:dyDescent="0.25">
      <c r="A76" s="11">
        <v>7.3999999999999996E-2</v>
      </c>
      <c r="B76" s="12">
        <f>(General_Model!$C$6/General_Model!$C$7)-1/(1+General_Model!$C$26/((1.2+0.2*(General_Model!$C$26/A76)+0.35*SQRT(9.80665*(General_Model!$C$4/1000))/A76)*A76))-(A76^2/(2*9.80665*General_Model!$C$7))*((4*(0.3164/((General_Model!$C$14*A76*(General_Model!$C$4/1000)/General_Model!$C$15)^0.25))*General_Model!$C$7/(General_Model!$C$4/1000)+1)+(4*(0.3164/((General_Model!$C$14*A76*(General_Model!$C$4/1000)/General_Model!$C$15)^0.25))*General_Model!$C$7/(General_Model!$C$4/1000)+2)*(General_Model!$C$26/A76))</f>
        <v>0.12903372084788339</v>
      </c>
      <c r="C76" s="13">
        <f t="shared" si="1"/>
        <v>0</v>
      </c>
    </row>
    <row r="77" spans="1:3" x14ac:dyDescent="0.25">
      <c r="A77" s="11">
        <v>7.4999999999999997E-2</v>
      </c>
      <c r="B77" s="12">
        <f>(General_Model!$C$6/General_Model!$C$7)-1/(1+General_Model!$C$26/((1.2+0.2*(General_Model!$C$26/A77)+0.35*SQRT(9.80665*(General_Model!$C$4/1000))/A77)*A77))-(A77^2/(2*9.80665*General_Model!$C$7))*((4*(0.3164/((General_Model!$C$14*A77*(General_Model!$C$4/1000)/General_Model!$C$15)^0.25))*General_Model!$C$7/(General_Model!$C$4/1000)+1)+(4*(0.3164/((General_Model!$C$14*A77*(General_Model!$C$4/1000)/General_Model!$C$15)^0.25))*General_Model!$C$7/(General_Model!$C$4/1000)+2)*(General_Model!$C$26/A77))</f>
        <v>0.12811284628300651</v>
      </c>
      <c r="C77" s="13">
        <f t="shared" si="1"/>
        <v>0</v>
      </c>
    </row>
    <row r="78" spans="1:3" x14ac:dyDescent="0.25">
      <c r="A78" s="11">
        <v>7.5999999999999998E-2</v>
      </c>
      <c r="B78" s="12">
        <f>(General_Model!$C$6/General_Model!$C$7)-1/(1+General_Model!$C$26/((1.2+0.2*(General_Model!$C$26/A78)+0.35*SQRT(9.80665*(General_Model!$C$4/1000))/A78)*A78))-(A78^2/(2*9.80665*General_Model!$C$7))*((4*(0.3164/((General_Model!$C$14*A78*(General_Model!$C$4/1000)/General_Model!$C$15)^0.25))*General_Model!$C$7/(General_Model!$C$4/1000)+1)+(4*(0.3164/((General_Model!$C$14*A78*(General_Model!$C$4/1000)/General_Model!$C$15)^0.25))*General_Model!$C$7/(General_Model!$C$4/1000)+2)*(General_Model!$C$26/A78))</f>
        <v>0.12719393541727725</v>
      </c>
      <c r="C78" s="13">
        <f t="shared" si="1"/>
        <v>0</v>
      </c>
    </row>
    <row r="79" spans="1:3" x14ac:dyDescent="0.25">
      <c r="A79" s="11">
        <v>7.6999999999999999E-2</v>
      </c>
      <c r="B79" s="12">
        <f>(General_Model!$C$6/General_Model!$C$7)-1/(1+General_Model!$C$26/((1.2+0.2*(General_Model!$C$26/A79)+0.35*SQRT(9.80665*(General_Model!$C$4/1000))/A79)*A79))-(A79^2/(2*9.80665*General_Model!$C$7))*((4*(0.3164/((General_Model!$C$14*A79*(General_Model!$C$4/1000)/General_Model!$C$15)^0.25))*General_Model!$C$7/(General_Model!$C$4/1000)+1)+(4*(0.3164/((General_Model!$C$14*A79*(General_Model!$C$4/1000)/General_Model!$C$15)^0.25))*General_Model!$C$7/(General_Model!$C$4/1000)+2)*(General_Model!$C$26/A79))</f>
        <v>0.12627697609138291</v>
      </c>
      <c r="C79" s="13">
        <f t="shared" si="1"/>
        <v>0</v>
      </c>
    </row>
    <row r="80" spans="1:3" x14ac:dyDescent="0.25">
      <c r="A80" s="11">
        <v>7.8E-2</v>
      </c>
      <c r="B80" s="12">
        <f>(General_Model!$C$6/General_Model!$C$7)-1/(1+General_Model!$C$26/((1.2+0.2*(General_Model!$C$26/A80)+0.35*SQRT(9.80665*(General_Model!$C$4/1000))/A80)*A80))-(A80^2/(2*9.80665*General_Model!$C$7))*((4*(0.3164/((General_Model!$C$14*A80*(General_Model!$C$4/1000)/General_Model!$C$15)^0.25))*General_Model!$C$7/(General_Model!$C$4/1000)+1)+(4*(0.3164/((General_Model!$C$14*A80*(General_Model!$C$4/1000)/General_Model!$C$15)^0.25))*General_Model!$C$7/(General_Model!$C$4/1000)+2)*(General_Model!$C$26/A80))</f>
        <v>0.12536195630697333</v>
      </c>
      <c r="C80" s="13">
        <f t="shared" si="1"/>
        <v>0</v>
      </c>
    </row>
    <row r="81" spans="1:3" x14ac:dyDescent="0.25">
      <c r="A81" s="11">
        <v>7.9000000000000001E-2</v>
      </c>
      <c r="B81" s="12">
        <f>(General_Model!$C$6/General_Model!$C$7)-1/(1+General_Model!$C$26/((1.2+0.2*(General_Model!$C$26/A81)+0.35*SQRT(9.80665*(General_Model!$C$4/1000))/A81)*A81))-(A81^2/(2*9.80665*General_Model!$C$7))*((4*(0.3164/((General_Model!$C$14*A81*(General_Model!$C$4/1000)/General_Model!$C$15)^0.25))*General_Model!$C$7/(General_Model!$C$4/1000)+1)+(4*(0.3164/((General_Model!$C$14*A81*(General_Model!$C$4/1000)/General_Model!$C$15)^0.25))*General_Model!$C$7/(General_Model!$C$4/1000)+2)*(General_Model!$C$26/A81))</f>
        <v>0.12444886422144102</v>
      </c>
      <c r="C81" s="13">
        <f t="shared" si="1"/>
        <v>0</v>
      </c>
    </row>
    <row r="82" spans="1:3" x14ac:dyDescent="0.25">
      <c r="A82" s="11">
        <v>0.08</v>
      </c>
      <c r="B82" s="12">
        <f>(General_Model!$C$6/General_Model!$C$7)-1/(1+General_Model!$C$26/((1.2+0.2*(General_Model!$C$26/A82)+0.35*SQRT(9.80665*(General_Model!$C$4/1000))/A82)*A82))-(A82^2/(2*9.80665*General_Model!$C$7))*((4*(0.3164/((General_Model!$C$14*A82*(General_Model!$C$4/1000)/General_Model!$C$15)^0.25))*General_Model!$C$7/(General_Model!$C$4/1000)+1)+(4*(0.3164/((General_Model!$C$14*A82*(General_Model!$C$4/1000)/General_Model!$C$15)^0.25))*General_Model!$C$7/(General_Model!$C$4/1000)+2)*(General_Model!$C$26/A82))</f>
        <v>0.1235376881429716</v>
      </c>
      <c r="C82" s="13">
        <f t="shared" si="1"/>
        <v>0</v>
      </c>
    </row>
    <row r="83" spans="1:3" x14ac:dyDescent="0.25">
      <c r="A83" s="11">
        <v>8.1000000000000003E-2</v>
      </c>
      <c r="B83" s="12">
        <f>(General_Model!$C$6/General_Model!$C$7)-1/(1+General_Model!$C$26/((1.2+0.2*(General_Model!$C$26/A83)+0.35*SQRT(9.80665*(General_Model!$C$4/1000))/A83)*A83))-(A83^2/(2*9.80665*General_Model!$C$7))*((4*(0.3164/((General_Model!$C$14*A83*(General_Model!$C$4/1000)/General_Model!$C$15)^0.25))*General_Model!$C$7/(General_Model!$C$4/1000)+1)+(4*(0.3164/((General_Model!$C$14*A83*(General_Model!$C$4/1000)/General_Model!$C$15)^0.25))*General_Model!$C$7/(General_Model!$C$4/1000)+2)*(General_Model!$C$26/A83))</f>
        <v>0.12262841652584844</v>
      </c>
      <c r="C83" s="13">
        <f t="shared" si="1"/>
        <v>0</v>
      </c>
    </row>
    <row r="84" spans="1:3" x14ac:dyDescent="0.25">
      <c r="A84" s="11">
        <v>8.2000000000000003E-2</v>
      </c>
      <c r="B84" s="12">
        <f>(General_Model!$C$6/General_Model!$C$7)-1/(1+General_Model!$C$26/((1.2+0.2*(General_Model!$C$26/A84)+0.35*SQRT(9.80665*(General_Model!$C$4/1000))/A84)*A84))-(A84^2/(2*9.80665*General_Model!$C$7))*((4*(0.3164/((General_Model!$C$14*A84*(General_Model!$C$4/1000)/General_Model!$C$15)^0.25))*General_Model!$C$7/(General_Model!$C$4/1000)+1)+(4*(0.3164/((General_Model!$C$14*A84*(General_Model!$C$4/1000)/General_Model!$C$15)^0.25))*General_Model!$C$7/(General_Model!$C$4/1000)+2)*(General_Model!$C$26/A84))</f>
        <v>0.12172103796599305</v>
      </c>
      <c r="C84" s="13">
        <f t="shared" si="1"/>
        <v>0</v>
      </c>
    </row>
    <row r="85" spans="1:3" x14ac:dyDescent="0.25">
      <c r="A85" s="11">
        <v>8.3000000000000004E-2</v>
      </c>
      <c r="B85" s="12">
        <f>(General_Model!$C$6/General_Model!$C$7)-1/(1+General_Model!$C$26/((1.2+0.2*(General_Model!$C$26/A85)+0.35*SQRT(9.80665*(General_Model!$C$4/1000))/A85)*A85))-(A85^2/(2*9.80665*General_Model!$C$7))*((4*(0.3164/((General_Model!$C$14*A85*(General_Model!$C$4/1000)/General_Model!$C$15)^0.25))*General_Model!$C$7/(General_Model!$C$4/1000)+1)+(4*(0.3164/((General_Model!$C$14*A85*(General_Model!$C$4/1000)/General_Model!$C$15)^0.25))*General_Model!$C$7/(General_Model!$C$4/1000)+2)*(General_Model!$C$26/A85))</f>
        <v>0.12081554119672772</v>
      </c>
      <c r="C85" s="13">
        <f t="shared" si="1"/>
        <v>0</v>
      </c>
    </row>
    <row r="86" spans="1:3" x14ac:dyDescent="0.25">
      <c r="A86" s="11">
        <v>8.4000000000000005E-2</v>
      </c>
      <c r="B86" s="12">
        <f>(General_Model!$C$6/General_Model!$C$7)-1/(1+General_Model!$C$26/((1.2+0.2*(General_Model!$C$26/A86)+0.35*SQRT(9.80665*(General_Model!$C$4/1000))/A86)*A86))-(A86^2/(2*9.80665*General_Model!$C$7))*((4*(0.3164/((General_Model!$C$14*A86*(General_Model!$C$4/1000)/General_Model!$C$15)^0.25))*General_Model!$C$7/(General_Model!$C$4/1000)+1)+(4*(0.3164/((General_Model!$C$14*A86*(General_Model!$C$4/1000)/General_Model!$C$15)^0.25))*General_Model!$C$7/(General_Model!$C$4/1000)+2)*(General_Model!$C$26/A86))</f>
        <v>0.11991191508474469</v>
      </c>
      <c r="C86" s="13">
        <f t="shared" si="1"/>
        <v>0</v>
      </c>
    </row>
    <row r="87" spans="1:3" x14ac:dyDescent="0.25">
      <c r="A87" s="11">
        <v>8.5000000000000006E-2</v>
      </c>
      <c r="B87" s="12">
        <f>(General_Model!$C$6/General_Model!$C$7)-1/(1+General_Model!$C$26/((1.2+0.2*(General_Model!$C$26/A87)+0.35*SQRT(9.80665*(General_Model!$C$4/1000))/A87)*A87))-(A87^2/(2*9.80665*General_Model!$C$7))*((4*(0.3164/((General_Model!$C$14*A87*(General_Model!$C$4/1000)/General_Model!$C$15)^0.25))*General_Model!$C$7/(General_Model!$C$4/1000)+1)+(4*(0.3164/((General_Model!$C$14*A87*(General_Model!$C$4/1000)/General_Model!$C$15)^0.25))*General_Model!$C$7/(General_Model!$C$4/1000)+2)*(General_Model!$C$26/A87))</f>
        <v>0.11901014862627154</v>
      </c>
      <c r="C87" s="13">
        <f t="shared" si="1"/>
        <v>0</v>
      </c>
    </row>
    <row r="88" spans="1:3" x14ac:dyDescent="0.25">
      <c r="A88" s="11">
        <v>8.6000000000000007E-2</v>
      </c>
      <c r="B88" s="12">
        <f>(General_Model!$C$6/General_Model!$C$7)-1/(1+General_Model!$C$26/((1.2+0.2*(General_Model!$C$26/A88)+0.35*SQRT(9.80665*(General_Model!$C$4/1000))/A88)*A88))-(A88^2/(2*9.80665*General_Model!$C$7))*((4*(0.3164/((General_Model!$C$14*A88*(General_Model!$C$4/1000)/General_Model!$C$15)^0.25))*General_Model!$C$7/(General_Model!$C$4/1000)+1)+(4*(0.3164/((General_Model!$C$14*A88*(General_Model!$C$4/1000)/General_Model!$C$15)^0.25))*General_Model!$C$7/(General_Model!$C$4/1000)+2)*(General_Model!$C$26/A88))</f>
        <v>0.11811023094341649</v>
      </c>
      <c r="C88" s="13">
        <f t="shared" si="1"/>
        <v>0</v>
      </c>
    </row>
    <row r="89" spans="1:3" x14ac:dyDescent="0.25">
      <c r="A89" s="11">
        <v>8.7000000000000008E-2</v>
      </c>
      <c r="B89" s="12">
        <f>(General_Model!$C$6/General_Model!$C$7)-1/(1+General_Model!$C$26/((1.2+0.2*(General_Model!$C$26/A89)+0.35*SQRT(9.80665*(General_Model!$C$4/1000))/A89)*A89))-(A89^2/(2*9.80665*General_Model!$C$7))*((4*(0.3164/((General_Model!$C$14*A89*(General_Model!$C$4/1000)/General_Model!$C$15)^0.25))*General_Model!$C$7/(General_Model!$C$4/1000)+1)+(4*(0.3164/((General_Model!$C$14*A89*(General_Model!$C$4/1000)/General_Model!$C$15)^0.25))*General_Model!$C$7/(General_Model!$C$4/1000)+2)*(General_Model!$C$26/A89))</f>
        <v>0.1172121512806881</v>
      </c>
      <c r="C89" s="13">
        <f t="shared" si="1"/>
        <v>0</v>
      </c>
    </row>
    <row r="90" spans="1:3" x14ac:dyDescent="0.25">
      <c r="A90" s="11">
        <v>8.8000000000000009E-2</v>
      </c>
      <c r="B90" s="12">
        <f>(General_Model!$C$6/General_Model!$C$7)-1/(1+General_Model!$C$26/((1.2+0.2*(General_Model!$C$26/A90)+0.35*SQRT(9.80665*(General_Model!$C$4/1000))/A90)*A90))-(A90^2/(2*9.80665*General_Model!$C$7))*((4*(0.3164/((General_Model!$C$14*A90*(General_Model!$C$4/1000)/General_Model!$C$15)^0.25))*General_Model!$C$7/(General_Model!$C$4/1000)+1)+(4*(0.3164/((General_Model!$C$14*A90*(General_Model!$C$4/1000)/General_Model!$C$15)^0.25))*General_Model!$C$7/(General_Model!$C$4/1000)+2)*(General_Model!$C$26/A90))</f>
        <v>0.1163158990016727</v>
      </c>
      <c r="C90" s="13">
        <f t="shared" si="1"/>
        <v>0</v>
      </c>
    </row>
    <row r="91" spans="1:3" x14ac:dyDescent="0.25">
      <c r="A91" s="11">
        <v>8.8999999999999996E-2</v>
      </c>
      <c r="B91" s="12">
        <f>(General_Model!$C$6/General_Model!$C$7)-1/(1+General_Model!$C$26/((1.2+0.2*(General_Model!$C$26/A91)+0.35*SQRT(9.80665*(General_Model!$C$4/1000))/A91)*A91))-(A91^2/(2*9.80665*General_Model!$C$7))*((4*(0.3164/((General_Model!$C$14*A91*(General_Model!$C$4/1000)/General_Model!$C$15)^0.25))*General_Model!$C$7/(General_Model!$C$4/1000)+1)+(4*(0.3164/((General_Model!$C$14*A91*(General_Model!$C$4/1000)/General_Model!$C$15)^0.25))*General_Model!$C$7/(General_Model!$C$4/1000)+2)*(General_Model!$C$26/A91))</f>
        <v>0.115421463585866</v>
      </c>
      <c r="C91" s="13">
        <f t="shared" si="1"/>
        <v>0</v>
      </c>
    </row>
    <row r="92" spans="1:3" x14ac:dyDescent="0.25">
      <c r="A92" s="11">
        <v>0.09</v>
      </c>
      <c r="B92" s="12">
        <f>(General_Model!$C$6/General_Model!$C$7)-1/(1+General_Model!$C$26/((1.2+0.2*(General_Model!$C$26/A92)+0.35*SQRT(9.80665*(General_Model!$C$4/1000))/A92)*A92))-(A92^2/(2*9.80665*General_Model!$C$7))*((4*(0.3164/((General_Model!$C$14*A92*(General_Model!$C$4/1000)/General_Model!$C$15)^0.25))*General_Model!$C$7/(General_Model!$C$4/1000)+1)+(4*(0.3164/((General_Model!$C$14*A92*(General_Model!$C$4/1000)/General_Model!$C$15)^0.25))*General_Model!$C$7/(General_Model!$C$4/1000)+2)*(General_Model!$C$26/A92))</f>
        <v>0.11452883462564513</v>
      </c>
      <c r="C92" s="13">
        <f t="shared" si="1"/>
        <v>0</v>
      </c>
    </row>
    <row r="93" spans="1:3" x14ac:dyDescent="0.25">
      <c r="A93" s="11">
        <v>9.0999999999999998E-2</v>
      </c>
      <c r="B93" s="12">
        <f>(General_Model!$C$6/General_Model!$C$7)-1/(1+General_Model!$C$26/((1.2+0.2*(General_Model!$C$26/A93)+0.35*SQRT(9.80665*(General_Model!$C$4/1000))/A93)*A93))-(A93^2/(2*9.80665*General_Model!$C$7))*((4*(0.3164/((General_Model!$C$14*A93*(General_Model!$C$4/1000)/General_Model!$C$15)^0.25))*General_Model!$C$7/(General_Model!$C$4/1000)+1)+(4*(0.3164/((General_Model!$C$14*A93*(General_Model!$C$4/1000)/General_Model!$C$15)^0.25))*General_Model!$C$7/(General_Model!$C$4/1000)+2)*(General_Model!$C$26/A93))</f>
        <v>0.11363800182337626</v>
      </c>
      <c r="C93" s="13">
        <f t="shared" si="1"/>
        <v>0</v>
      </c>
    </row>
    <row r="94" spans="1:3" x14ac:dyDescent="0.25">
      <c r="A94" s="11">
        <v>9.1999999999999998E-2</v>
      </c>
      <c r="B94" s="12">
        <f>(General_Model!$C$6/General_Model!$C$7)-1/(1+General_Model!$C$26/((1.2+0.2*(General_Model!$C$26/A94)+0.35*SQRT(9.80665*(General_Model!$C$4/1000))/A94)*A94))-(A94^2/(2*9.80665*General_Model!$C$7))*((4*(0.3164/((General_Model!$C$14*A94*(General_Model!$C$4/1000)/General_Model!$C$15)^0.25))*General_Model!$C$7/(General_Model!$C$4/1000)+1)+(4*(0.3164/((General_Model!$C$14*A94*(General_Model!$C$4/1000)/General_Model!$C$15)^0.25))*General_Model!$C$7/(General_Model!$C$4/1000)+2)*(General_Model!$C$26/A94))</f>
        <v>0.11274895498864738</v>
      </c>
      <c r="C94" s="13">
        <f t="shared" si="1"/>
        <v>0</v>
      </c>
    </row>
    <row r="95" spans="1:3" x14ac:dyDescent="0.25">
      <c r="A95" s="11">
        <v>9.2999999999999999E-2</v>
      </c>
      <c r="B95" s="12">
        <f>(General_Model!$C$6/General_Model!$C$7)-1/(1+General_Model!$C$26/((1.2+0.2*(General_Model!$C$26/A95)+0.35*SQRT(9.80665*(General_Model!$C$4/1000))/A95)*A95))-(A95^2/(2*9.80665*General_Model!$C$7))*((4*(0.3164/((General_Model!$C$14*A95*(General_Model!$C$4/1000)/General_Model!$C$15)^0.25))*General_Model!$C$7/(General_Model!$C$4/1000)+1)+(4*(0.3164/((General_Model!$C$14*A95*(General_Model!$C$4/1000)/General_Model!$C$15)^0.25))*General_Model!$C$7/(General_Model!$C$4/1000)+2)*(General_Model!$C$26/A95))</f>
        <v>0.11186168403562116</v>
      </c>
      <c r="C95" s="13">
        <f t="shared" si="1"/>
        <v>0</v>
      </c>
    </row>
    <row r="96" spans="1:3" x14ac:dyDescent="0.25">
      <c r="A96" s="11">
        <v>9.4E-2</v>
      </c>
      <c r="B96" s="12">
        <f>(General_Model!$C$6/General_Model!$C$7)-1/(1+General_Model!$C$26/((1.2+0.2*(General_Model!$C$26/A96)+0.35*SQRT(9.80665*(General_Model!$C$4/1000))/A96)*A96))-(A96^2/(2*9.80665*General_Model!$C$7))*((4*(0.3164/((General_Model!$C$14*A96*(General_Model!$C$4/1000)/General_Model!$C$15)^0.25))*General_Model!$C$7/(General_Model!$C$4/1000)+1)+(4*(0.3164/((General_Model!$C$14*A96*(General_Model!$C$4/1000)/General_Model!$C$15)^0.25))*General_Model!$C$7/(General_Model!$C$4/1000)+2)*(General_Model!$C$26/A96))</f>
        <v>0.11097617898050025</v>
      </c>
      <c r="C96" s="13">
        <f t="shared" si="1"/>
        <v>0</v>
      </c>
    </row>
    <row r="97" spans="1:3" x14ac:dyDescent="0.25">
      <c r="A97" s="11">
        <v>9.5000000000000001E-2</v>
      </c>
      <c r="B97" s="12">
        <f>(General_Model!$C$6/General_Model!$C$7)-1/(1+General_Model!$C$26/((1.2+0.2*(General_Model!$C$26/A97)+0.35*SQRT(9.80665*(General_Model!$C$4/1000))/A97)*A97))-(A97^2/(2*9.80665*General_Model!$C$7))*((4*(0.3164/((General_Model!$C$14*A97*(General_Model!$C$4/1000)/General_Model!$C$15)^0.25))*General_Model!$C$7/(General_Model!$C$4/1000)+1)+(4*(0.3164/((General_Model!$C$14*A97*(General_Model!$C$4/1000)/General_Model!$C$15)^0.25))*General_Model!$C$7/(General_Model!$C$4/1000)+2)*(General_Model!$C$26/A97))</f>
        <v>0.11009242993909807</v>
      </c>
      <c r="C97" s="13">
        <f t="shared" si="1"/>
        <v>0</v>
      </c>
    </row>
    <row r="98" spans="1:3" x14ac:dyDescent="0.25">
      <c r="A98" s="11">
        <v>9.6000000000000002E-2</v>
      </c>
      <c r="B98" s="12">
        <f>(General_Model!$C$6/General_Model!$C$7)-1/(1+General_Model!$C$26/((1.2+0.2*(General_Model!$C$26/A98)+0.35*SQRT(9.80665*(General_Model!$C$4/1000))/A98)*A98))-(A98^2/(2*9.80665*General_Model!$C$7))*((4*(0.3164/((General_Model!$C$14*A98*(General_Model!$C$4/1000)/General_Model!$C$15)^0.25))*General_Model!$C$7/(General_Model!$C$4/1000)+1)+(4*(0.3164/((General_Model!$C$14*A98*(General_Model!$C$4/1000)/General_Model!$C$15)^0.25))*General_Model!$C$7/(General_Model!$C$4/1000)+2)*(General_Model!$C$26/A98))</f>
        <v>0.10921042712451103</v>
      </c>
      <c r="C98" s="13">
        <f t="shared" si="1"/>
        <v>0</v>
      </c>
    </row>
    <row r="99" spans="1:3" x14ac:dyDescent="0.25">
      <c r="A99" s="11">
        <v>9.7000000000000003E-2</v>
      </c>
      <c r="B99" s="12">
        <f>(General_Model!$C$6/General_Model!$C$7)-1/(1+General_Model!$C$26/((1.2+0.2*(General_Model!$C$26/A99)+0.35*SQRT(9.80665*(General_Model!$C$4/1000))/A99)*A99))-(A99^2/(2*9.80665*General_Model!$C$7))*((4*(0.3164/((General_Model!$C$14*A99*(General_Model!$C$4/1000)/General_Model!$C$15)^0.25))*General_Model!$C$7/(General_Model!$C$4/1000)+1)+(4*(0.3164/((General_Model!$C$14*A99*(General_Model!$C$4/1000)/General_Model!$C$15)^0.25))*General_Model!$C$7/(General_Model!$C$4/1000)+2)*(General_Model!$C$26/A99))</f>
        <v>0.10833016084488516</v>
      </c>
      <c r="C99" s="13">
        <f t="shared" si="1"/>
        <v>0</v>
      </c>
    </row>
    <row r="100" spans="1:3" x14ac:dyDescent="0.25">
      <c r="A100" s="11">
        <v>9.8000000000000004E-2</v>
      </c>
      <c r="B100" s="12">
        <f>(General_Model!$C$6/General_Model!$C$7)-1/(1+General_Model!$C$26/((1.2+0.2*(General_Model!$C$26/A100)+0.35*SQRT(9.80665*(General_Model!$C$4/1000))/A100)*A100))-(A100^2/(2*9.80665*General_Model!$C$7))*((4*(0.3164/((General_Model!$C$14*A100*(General_Model!$C$4/1000)/General_Model!$C$15)^0.25))*General_Model!$C$7/(General_Model!$C$4/1000)+1)+(4*(0.3164/((General_Model!$C$14*A100*(General_Model!$C$4/1000)/General_Model!$C$15)^0.25))*General_Model!$C$7/(General_Model!$C$4/1000)+2)*(General_Model!$C$26/A100))</f>
        <v>0.10745162150127183</v>
      </c>
      <c r="C100" s="13">
        <f t="shared" si="1"/>
        <v>0</v>
      </c>
    </row>
    <row r="101" spans="1:3" x14ac:dyDescent="0.25">
      <c r="A101" s="11">
        <v>9.9000000000000005E-2</v>
      </c>
      <c r="B101" s="12">
        <f>(General_Model!$C$6/General_Model!$C$7)-1/(1+General_Model!$C$26/((1.2+0.2*(General_Model!$C$26/A101)+0.35*SQRT(9.80665*(General_Model!$C$4/1000))/A101)*A101))-(A101^2/(2*9.80665*General_Model!$C$7))*((4*(0.3164/((General_Model!$C$14*A101*(General_Model!$C$4/1000)/General_Model!$C$15)^0.25))*General_Model!$C$7/(General_Model!$C$4/1000)+1)+(4*(0.3164/((General_Model!$C$14*A101*(General_Model!$C$4/1000)/General_Model!$C$15)^0.25))*General_Model!$C$7/(General_Model!$C$4/1000)+2)*(General_Model!$C$26/A101))</f>
        <v>0.10657479958557046</v>
      </c>
      <c r="C101" s="13">
        <f t="shared" si="1"/>
        <v>0</v>
      </c>
    </row>
    <row r="102" spans="1:3" x14ac:dyDescent="0.25">
      <c r="A102" s="11">
        <v>0.1</v>
      </c>
      <c r="B102" s="12">
        <f>(General_Model!$C$6/General_Model!$C$7)-1/(1+General_Model!$C$26/((1.2+0.2*(General_Model!$C$26/A102)+0.35*SQRT(9.80665*(General_Model!$C$4/1000))/A102)*A102))-(A102^2/(2*9.80665*General_Model!$C$7))*((4*(0.3164/((General_Model!$C$14*A102*(General_Model!$C$4/1000)/General_Model!$C$15)^0.25))*General_Model!$C$7/(General_Model!$C$4/1000)+1)+(4*(0.3164/((General_Model!$C$14*A102*(General_Model!$C$4/1000)/General_Model!$C$15)^0.25))*General_Model!$C$7/(General_Model!$C$4/1000)+2)*(General_Model!$C$26/A102))</f>
        <v>0.1056996856785494</v>
      </c>
      <c r="C102" s="13">
        <f t="shared" si="1"/>
        <v>0</v>
      </c>
    </row>
    <row r="103" spans="1:3" x14ac:dyDescent="0.25">
      <c r="A103" s="11">
        <v>0.10100000000000001</v>
      </c>
      <c r="B103" s="12">
        <f>(General_Model!$C$6/General_Model!$C$7)-1/(1+General_Model!$C$26/((1.2+0.2*(General_Model!$C$26/A103)+0.35*SQRT(9.80665*(General_Model!$C$4/1000))/A103)*A103))-(A103^2/(2*9.80665*General_Model!$C$7))*((4*(0.3164/((General_Model!$C$14*A103*(General_Model!$C$4/1000)/General_Model!$C$15)^0.25))*General_Model!$C$7/(General_Model!$C$4/1000)+1)+(4*(0.3164/((General_Model!$C$14*A103*(General_Model!$C$4/1000)/General_Model!$C$15)^0.25))*General_Model!$C$7/(General_Model!$C$4/1000)+2)*(General_Model!$C$26/A103))</f>
        <v>0.10482627044794497</v>
      </c>
      <c r="C103" s="13">
        <f t="shared" si="1"/>
        <v>0</v>
      </c>
    </row>
    <row r="104" spans="1:3" x14ac:dyDescent="0.25">
      <c r="A104" s="11">
        <v>0.10199999999999999</v>
      </c>
      <c r="B104" s="12">
        <f>(General_Model!$C$6/General_Model!$C$7)-1/(1+General_Model!$C$26/((1.2+0.2*(General_Model!$C$26/A104)+0.35*SQRT(9.80665*(General_Model!$C$4/1000))/A104)*A104))-(A104^2/(2*9.80665*General_Model!$C$7))*((4*(0.3164/((General_Model!$C$14*A104*(General_Model!$C$4/1000)/General_Model!$C$15)^0.25))*General_Model!$C$7/(General_Model!$C$4/1000)+1)+(4*(0.3164/((General_Model!$C$14*A104*(General_Model!$C$4/1000)/General_Model!$C$15)^0.25))*General_Model!$C$7/(General_Model!$C$4/1000)+2)*(General_Model!$C$26/A104))</f>
        <v>0.10395454464663219</v>
      </c>
      <c r="C104" s="13">
        <f t="shared" si="1"/>
        <v>0</v>
      </c>
    </row>
    <row r="105" spans="1:3" x14ac:dyDescent="0.25">
      <c r="A105" s="11">
        <v>0.10299999999999999</v>
      </c>
      <c r="B105" s="12">
        <f>(General_Model!$C$6/General_Model!$C$7)-1/(1+General_Model!$C$26/((1.2+0.2*(General_Model!$C$26/A105)+0.35*SQRT(9.80665*(General_Model!$C$4/1000))/A105)*A105))-(A105^2/(2*9.80665*General_Model!$C$7))*((4*(0.3164/((General_Model!$C$14*A105*(General_Model!$C$4/1000)/General_Model!$C$15)^0.25))*General_Model!$C$7/(General_Model!$C$4/1000)+1)+(4*(0.3164/((General_Model!$C$14*A105*(General_Model!$C$4/1000)/General_Model!$C$15)^0.25))*General_Model!$C$7/(General_Model!$C$4/1000)+2)*(General_Model!$C$26/A105))</f>
        <v>0.10308449911086422</v>
      </c>
      <c r="C105" s="13">
        <f t="shared" si="1"/>
        <v>0</v>
      </c>
    </row>
    <row r="106" spans="1:3" x14ac:dyDescent="0.25">
      <c r="A106" s="11">
        <v>0.104</v>
      </c>
      <c r="B106" s="12">
        <f>(General_Model!$C$6/General_Model!$C$7)-1/(1+General_Model!$C$26/((1.2+0.2*(General_Model!$C$26/A106)+0.35*SQRT(9.80665*(General_Model!$C$4/1000))/A106)*A106))-(A106^2/(2*9.80665*General_Model!$C$7))*((4*(0.3164/((General_Model!$C$14*A106*(General_Model!$C$4/1000)/General_Model!$C$15)^0.25))*General_Model!$C$7/(General_Model!$C$4/1000)+1)+(4*(0.3164/((General_Model!$C$14*A106*(General_Model!$C$4/1000)/General_Model!$C$15)^0.25))*General_Model!$C$7/(General_Model!$C$4/1000)+2)*(General_Model!$C$26/A106))</f>
        <v>0.10221612475857701</v>
      </c>
      <c r="C106" s="13">
        <f t="shared" si="1"/>
        <v>0</v>
      </c>
    </row>
    <row r="107" spans="1:3" x14ac:dyDescent="0.25">
      <c r="A107" s="11">
        <v>0.105</v>
      </c>
      <c r="B107" s="12">
        <f>(General_Model!$C$6/General_Model!$C$7)-1/(1+General_Model!$C$26/((1.2+0.2*(General_Model!$C$26/A107)+0.35*SQRT(9.80665*(General_Model!$C$4/1000))/A107)*A107))-(A107^2/(2*9.80665*General_Model!$C$7))*((4*(0.3164/((General_Model!$C$14*A107*(General_Model!$C$4/1000)/General_Model!$C$15)^0.25))*General_Model!$C$7/(General_Model!$C$4/1000)+1)+(4*(0.3164/((General_Model!$C$14*A107*(General_Model!$C$4/1000)/General_Model!$C$15)^0.25))*General_Model!$C$7/(General_Model!$C$4/1000)+2)*(General_Model!$C$26/A107))</f>
        <v>0.10134941258775682</v>
      </c>
      <c r="C107" s="13">
        <f t="shared" si="1"/>
        <v>0</v>
      </c>
    </row>
    <row r="108" spans="1:3" x14ac:dyDescent="0.25">
      <c r="A108" s="11">
        <v>0.106</v>
      </c>
      <c r="B108" s="12">
        <f>(General_Model!$C$6/General_Model!$C$7)-1/(1+General_Model!$C$26/((1.2+0.2*(General_Model!$C$26/A108)+0.35*SQRT(9.80665*(General_Model!$C$4/1000))/A108)*A108))-(A108^2/(2*9.80665*General_Model!$C$7))*((4*(0.3164/((General_Model!$C$14*A108*(General_Model!$C$4/1000)/General_Model!$C$15)^0.25))*General_Model!$C$7/(General_Model!$C$4/1000)+1)+(4*(0.3164/((General_Model!$C$14*A108*(General_Model!$C$4/1000)/General_Model!$C$15)^0.25))*General_Model!$C$7/(General_Model!$C$4/1000)+2)*(General_Model!$C$26/A108))</f>
        <v>0.10048435367486504</v>
      </c>
      <c r="C108" s="13">
        <f t="shared" si="1"/>
        <v>0</v>
      </c>
    </row>
    <row r="109" spans="1:3" x14ac:dyDescent="0.25">
      <c r="A109" s="11">
        <v>0.107</v>
      </c>
      <c r="B109" s="12">
        <f>(General_Model!$C$6/General_Model!$C$7)-1/(1+General_Model!$C$26/((1.2+0.2*(General_Model!$C$26/A109)+0.35*SQRT(9.80665*(General_Model!$C$4/1000))/A109)*A109))-(A109^2/(2*9.80665*General_Model!$C$7))*((4*(0.3164/((General_Model!$C$14*A109*(General_Model!$C$4/1000)/General_Model!$C$15)^0.25))*General_Model!$C$7/(General_Model!$C$4/1000)+1)+(4*(0.3164/((General_Model!$C$14*A109*(General_Model!$C$4/1000)/General_Model!$C$15)^0.25))*General_Model!$C$7/(General_Model!$C$4/1000)+2)*(General_Model!$C$26/A109))</f>
        <v>9.9620939173320378E-2</v>
      </c>
      <c r="C109" s="13">
        <f t="shared" si="1"/>
        <v>0</v>
      </c>
    </row>
    <row r="110" spans="1:3" x14ac:dyDescent="0.25">
      <c r="A110" s="11">
        <v>0.108</v>
      </c>
      <c r="B110" s="12">
        <f>(General_Model!$C$6/General_Model!$C$7)-1/(1+General_Model!$C$26/((1.2+0.2*(General_Model!$C$26/A110)+0.35*SQRT(9.80665*(General_Model!$C$4/1000))/A110)*A110))-(A110^2/(2*9.80665*General_Model!$C$7))*((4*(0.3164/((General_Model!$C$14*A110*(General_Model!$C$4/1000)/General_Model!$C$15)^0.25))*General_Model!$C$7/(General_Model!$C$4/1000)+1)+(4*(0.3164/((General_Model!$C$14*A110*(General_Model!$C$4/1000)/General_Model!$C$15)^0.25))*General_Model!$C$7/(General_Model!$C$4/1000)+2)*(General_Model!$C$26/A110))</f>
        <v>9.8759160312034341E-2</v>
      </c>
      <c r="C110" s="13">
        <f t="shared" si="1"/>
        <v>0</v>
      </c>
    </row>
    <row r="111" spans="1:3" x14ac:dyDescent="0.25">
      <c r="A111" s="11">
        <v>0.109</v>
      </c>
      <c r="B111" s="12">
        <f>(General_Model!$C$6/General_Model!$C$7)-1/(1+General_Model!$C$26/((1.2+0.2*(General_Model!$C$26/A111)+0.35*SQRT(9.80665*(General_Model!$C$4/1000))/A111)*A111))-(A111^2/(2*9.80665*General_Model!$C$7))*((4*(0.3164/((General_Model!$C$14*A111*(General_Model!$C$4/1000)/General_Model!$C$15)^0.25))*General_Model!$C$7/(General_Model!$C$4/1000)+1)+(4*(0.3164/((General_Model!$C$14*A111*(General_Model!$C$4/1000)/General_Model!$C$15)^0.25))*General_Model!$C$7/(General_Model!$C$4/1000)+2)*(General_Model!$C$26/A111))</f>
        <v>9.7899008393997039E-2</v>
      </c>
      <c r="C111" s="13">
        <f t="shared" si="1"/>
        <v>0</v>
      </c>
    </row>
    <row r="112" spans="1:3" x14ac:dyDescent="0.25">
      <c r="A112" s="11">
        <v>0.11</v>
      </c>
      <c r="B112" s="12">
        <f>(General_Model!$C$6/General_Model!$C$7)-1/(1+General_Model!$C$26/((1.2+0.2*(General_Model!$C$26/A112)+0.35*SQRT(9.80665*(General_Model!$C$4/1000))/A112)*A112))-(A112^2/(2*9.80665*General_Model!$C$7))*((4*(0.3164/((General_Model!$C$14*A112*(General_Model!$C$4/1000)/General_Model!$C$15)^0.25))*General_Model!$C$7/(General_Model!$C$4/1000)+1)+(4*(0.3164/((General_Model!$C$14*A112*(General_Model!$C$4/1000)/General_Model!$C$15)^0.25))*General_Model!$C$7/(General_Model!$C$4/1000)+2)*(General_Model!$C$26/A112))</f>
        <v>9.7040474794911E-2</v>
      </c>
      <c r="C112" s="13">
        <f t="shared" si="1"/>
        <v>0</v>
      </c>
    </row>
    <row r="113" spans="1:3" x14ac:dyDescent="0.25">
      <c r="A113" s="11">
        <v>0.111</v>
      </c>
      <c r="B113" s="12">
        <f>(General_Model!$C$6/General_Model!$C$7)-1/(1+General_Model!$C$26/((1.2+0.2*(General_Model!$C$26/A113)+0.35*SQRT(9.80665*(General_Model!$C$4/1000))/A113)*A113))-(A113^2/(2*9.80665*General_Model!$C$7))*((4*(0.3164/((General_Model!$C$14*A113*(General_Model!$C$4/1000)/General_Model!$C$15)^0.25))*General_Model!$C$7/(General_Model!$C$4/1000)+1)+(4*(0.3164/((General_Model!$C$14*A113*(General_Model!$C$4/1000)/General_Model!$C$15)^0.25))*General_Model!$C$7/(General_Model!$C$4/1000)+2)*(General_Model!$C$26/A113))</f>
        <v>9.618355096187213E-2</v>
      </c>
      <c r="C113" s="13">
        <f t="shared" si="1"/>
        <v>0</v>
      </c>
    </row>
    <row r="114" spans="1:3" x14ac:dyDescent="0.25">
      <c r="A114" s="11">
        <v>0.112</v>
      </c>
      <c r="B114" s="12">
        <f>(General_Model!$C$6/General_Model!$C$7)-1/(1+General_Model!$C$26/((1.2+0.2*(General_Model!$C$26/A114)+0.35*SQRT(9.80665*(General_Model!$C$4/1000))/A114)*A114))-(A114^2/(2*9.80665*General_Model!$C$7))*((4*(0.3164/((General_Model!$C$14*A114*(General_Model!$C$4/1000)/General_Model!$C$15)^0.25))*General_Model!$C$7/(General_Model!$C$4/1000)+1)+(4*(0.3164/((General_Model!$C$14*A114*(General_Model!$C$4/1000)/General_Model!$C$15)^0.25))*General_Model!$C$7/(General_Model!$C$4/1000)+2)*(General_Model!$C$26/A114))</f>
        <v>9.5328228412094457E-2</v>
      </c>
      <c r="C114" s="13">
        <f t="shared" si="1"/>
        <v>0</v>
      </c>
    </row>
    <row r="115" spans="1:3" x14ac:dyDescent="0.25">
      <c r="A115" s="11">
        <v>0.113</v>
      </c>
      <c r="B115" s="12">
        <f>(General_Model!$C$6/General_Model!$C$7)-1/(1+General_Model!$C$26/((1.2+0.2*(General_Model!$C$26/A115)+0.35*SQRT(9.80665*(General_Model!$C$4/1000))/A115)*A115))-(A115^2/(2*9.80665*General_Model!$C$7))*((4*(0.3164/((General_Model!$C$14*A115*(General_Model!$C$4/1000)/General_Model!$C$15)^0.25))*General_Model!$C$7/(General_Model!$C$4/1000)+1)+(4*(0.3164/((General_Model!$C$14*A115*(General_Model!$C$4/1000)/General_Model!$C$15)^0.25))*General_Model!$C$7/(General_Model!$C$4/1000)+2)*(General_Model!$C$26/A115))</f>
        <v>9.4474498731675433E-2</v>
      </c>
      <c r="C115" s="13">
        <f t="shared" si="1"/>
        <v>0</v>
      </c>
    </row>
    <row r="116" spans="1:3" x14ac:dyDescent="0.25">
      <c r="A116" s="11">
        <v>0.114</v>
      </c>
      <c r="B116" s="12">
        <f>(General_Model!$C$6/General_Model!$C$7)-1/(1+General_Model!$C$26/((1.2+0.2*(General_Model!$C$26/A116)+0.35*SQRT(9.80665*(General_Model!$C$4/1000))/A116)*A116))-(A116^2/(2*9.80665*General_Model!$C$7))*((4*(0.3164/((General_Model!$C$14*A116*(General_Model!$C$4/1000)/General_Model!$C$15)^0.25))*General_Model!$C$7/(General_Model!$C$4/1000)+1)+(4*(0.3164/((General_Model!$C$14*A116*(General_Model!$C$4/1000)/General_Model!$C$15)^0.25))*General_Model!$C$7/(General_Model!$C$4/1000)+2)*(General_Model!$C$26/A116))</f>
        <v>9.3622353574403724E-2</v>
      </c>
      <c r="C116" s="13">
        <f t="shared" si="1"/>
        <v>0</v>
      </c>
    </row>
    <row r="117" spans="1:3" x14ac:dyDescent="0.25">
      <c r="A117" s="11">
        <v>0.115</v>
      </c>
      <c r="B117" s="12">
        <f>(General_Model!$C$6/General_Model!$C$7)-1/(1+General_Model!$C$26/((1.2+0.2*(General_Model!$C$26/A117)+0.35*SQRT(9.80665*(General_Model!$C$4/1000))/A117)*A117))-(A117^2/(2*9.80665*General_Model!$C$7))*((4*(0.3164/((General_Model!$C$14*A117*(General_Model!$C$4/1000)/General_Model!$C$15)^0.25))*General_Model!$C$7/(General_Model!$C$4/1000)+1)+(4*(0.3164/((General_Model!$C$14*A117*(General_Model!$C$4/1000)/General_Model!$C$15)^0.25))*General_Model!$C$7/(General_Model!$C$4/1000)+2)*(General_Model!$C$26/A117))</f>
        <v>9.2771784660602721E-2</v>
      </c>
      <c r="C117" s="13">
        <f t="shared" si="1"/>
        <v>0</v>
      </c>
    </row>
    <row r="118" spans="1:3" x14ac:dyDescent="0.25">
      <c r="A118" s="11">
        <v>0.11600000000000001</v>
      </c>
      <c r="B118" s="12">
        <f>(General_Model!$C$6/General_Model!$C$7)-1/(1+General_Model!$C$26/((1.2+0.2*(General_Model!$C$26/A118)+0.35*SQRT(9.80665*(General_Model!$C$4/1000))/A118)*A118))-(A118^2/(2*9.80665*General_Model!$C$7))*((4*(0.3164/((General_Model!$C$14*A118*(General_Model!$C$4/1000)/General_Model!$C$15)^0.25))*General_Model!$C$7/(General_Model!$C$4/1000)+1)+(4*(0.3164/((General_Model!$C$14*A118*(General_Model!$C$4/1000)/General_Model!$C$15)^0.25))*General_Model!$C$7/(General_Model!$C$4/1000)+2)*(General_Model!$C$26/A118))</f>
        <v>9.1922783776012373E-2</v>
      </c>
      <c r="C118" s="13">
        <f t="shared" si="1"/>
        <v>0</v>
      </c>
    </row>
    <row r="119" spans="1:3" x14ac:dyDescent="0.25">
      <c r="A119" s="11">
        <v>0.11700000000000001</v>
      </c>
      <c r="B119" s="12">
        <f>(General_Model!$C$6/General_Model!$C$7)-1/(1+General_Model!$C$26/((1.2+0.2*(General_Model!$C$26/A119)+0.35*SQRT(9.80665*(General_Model!$C$4/1000))/A119)*A119))-(A119^2/(2*9.80665*General_Model!$C$7))*((4*(0.3164/((General_Model!$C$14*A119*(General_Model!$C$4/1000)/General_Model!$C$15)^0.25))*General_Model!$C$7/(General_Model!$C$4/1000)+1)+(4*(0.3164/((General_Model!$C$14*A119*(General_Model!$C$4/1000)/General_Model!$C$15)^0.25))*General_Model!$C$7/(General_Model!$C$4/1000)+2)*(General_Model!$C$26/A119))</f>
        <v>9.1075342770705503E-2</v>
      </c>
      <c r="C119" s="13">
        <f t="shared" si="1"/>
        <v>0</v>
      </c>
    </row>
    <row r="120" spans="1:3" x14ac:dyDescent="0.25">
      <c r="A120" s="11">
        <v>0.11799999999999999</v>
      </c>
      <c r="B120" s="12">
        <f>(General_Model!$C$6/General_Model!$C$7)-1/(1+General_Model!$C$26/((1.2+0.2*(General_Model!$C$26/A120)+0.35*SQRT(9.80665*(General_Model!$C$4/1000))/A120)*A120))-(A120^2/(2*9.80665*General_Model!$C$7))*((4*(0.3164/((General_Model!$C$14*A120*(General_Model!$C$4/1000)/General_Model!$C$15)^0.25))*General_Model!$C$7/(General_Model!$C$4/1000)+1)+(4*(0.3164/((General_Model!$C$14*A120*(General_Model!$C$4/1000)/General_Model!$C$15)^0.25))*General_Model!$C$7/(General_Model!$C$4/1000)+2)*(General_Model!$C$26/A120))</f>
        <v>9.0229453558036646E-2</v>
      </c>
      <c r="C120" s="13">
        <f t="shared" si="1"/>
        <v>0</v>
      </c>
    </row>
    <row r="121" spans="1:3" x14ac:dyDescent="0.25">
      <c r="A121" s="11">
        <v>0.11899999999999999</v>
      </c>
      <c r="B121" s="12">
        <f>(General_Model!$C$6/General_Model!$C$7)-1/(1+General_Model!$C$26/((1.2+0.2*(General_Model!$C$26/A121)+0.35*SQRT(9.80665*(General_Model!$C$4/1000))/A121)*A121))-(A121^2/(2*9.80665*General_Model!$C$7))*((4*(0.3164/((General_Model!$C$14*A121*(General_Model!$C$4/1000)/General_Model!$C$15)^0.25))*General_Model!$C$7/(General_Model!$C$4/1000)+1)+(4*(0.3164/((General_Model!$C$14*A121*(General_Model!$C$4/1000)/General_Model!$C$15)^0.25))*General_Model!$C$7/(General_Model!$C$4/1000)+2)*(General_Model!$C$26/A121))</f>
        <v>8.9385108113623879E-2</v>
      </c>
      <c r="C121" s="13">
        <f t="shared" si="1"/>
        <v>0</v>
      </c>
    </row>
    <row r="122" spans="1:3" x14ac:dyDescent="0.25">
      <c r="A122" s="11">
        <v>0.12</v>
      </c>
      <c r="B122" s="12">
        <f>(General_Model!$C$6/General_Model!$C$7)-1/(1+General_Model!$C$26/((1.2+0.2*(General_Model!$C$26/A122)+0.35*SQRT(9.80665*(General_Model!$C$4/1000))/A122)*A122))-(A122^2/(2*9.80665*General_Model!$C$7))*((4*(0.3164/((General_Model!$C$14*A122*(General_Model!$C$4/1000)/General_Model!$C$15)^0.25))*General_Model!$C$7/(General_Model!$C$4/1000)+1)+(4*(0.3164/((General_Model!$C$14*A122*(General_Model!$C$4/1000)/General_Model!$C$15)^0.25))*General_Model!$C$7/(General_Model!$C$4/1000)+2)*(General_Model!$C$26/A122))</f>
        <v>8.8542298474361486E-2</v>
      </c>
      <c r="C122" s="13">
        <f t="shared" si="1"/>
        <v>0</v>
      </c>
    </row>
    <row r="123" spans="1:3" x14ac:dyDescent="0.25">
      <c r="A123" s="11">
        <v>0.121</v>
      </c>
      <c r="B123" s="12">
        <f>(General_Model!$C$6/General_Model!$C$7)-1/(1+General_Model!$C$26/((1.2+0.2*(General_Model!$C$26/A123)+0.35*SQRT(9.80665*(General_Model!$C$4/1000))/A123)*A123))-(A123^2/(2*9.80665*General_Model!$C$7))*((4*(0.3164/((General_Model!$C$14*A123*(General_Model!$C$4/1000)/General_Model!$C$15)^0.25))*General_Model!$C$7/(General_Model!$C$4/1000)+1)+(4*(0.3164/((General_Model!$C$14*A123*(General_Model!$C$4/1000)/General_Model!$C$15)^0.25))*General_Model!$C$7/(General_Model!$C$4/1000)+2)*(General_Model!$C$26/A123))</f>
        <v>8.7701016737460086E-2</v>
      </c>
      <c r="C123" s="13">
        <f t="shared" si="1"/>
        <v>0</v>
      </c>
    </row>
    <row r="124" spans="1:3" x14ac:dyDescent="0.25">
      <c r="A124" s="11">
        <v>0.122</v>
      </c>
      <c r="B124" s="12">
        <f>(General_Model!$C$6/General_Model!$C$7)-1/(1+General_Model!$C$26/((1.2+0.2*(General_Model!$C$26/A124)+0.35*SQRT(9.80665*(General_Model!$C$4/1000))/A124)*A124))-(A124^2/(2*9.80665*General_Model!$C$7))*((4*(0.3164/((General_Model!$C$14*A124*(General_Model!$C$4/1000)/General_Model!$C$15)^0.25))*General_Model!$C$7/(General_Model!$C$4/1000)+1)+(4*(0.3164/((General_Model!$C$14*A124*(General_Model!$C$4/1000)/General_Model!$C$15)^0.25))*General_Model!$C$7/(General_Model!$C$4/1000)+2)*(General_Model!$C$26/A124))</f>
        <v>8.6861255059517223E-2</v>
      </c>
      <c r="C124" s="13">
        <f t="shared" si="1"/>
        <v>0</v>
      </c>
    </row>
    <row r="125" spans="1:3" x14ac:dyDescent="0.25">
      <c r="A125" s="11">
        <v>0.123</v>
      </c>
      <c r="B125" s="12">
        <f>(General_Model!$C$6/General_Model!$C$7)-1/(1+General_Model!$C$26/((1.2+0.2*(General_Model!$C$26/A125)+0.35*SQRT(9.80665*(General_Model!$C$4/1000))/A125)*A125))-(A125^2/(2*9.80665*General_Model!$C$7))*((4*(0.3164/((General_Model!$C$14*A125*(General_Model!$C$4/1000)/General_Model!$C$15)^0.25))*General_Model!$C$7/(General_Model!$C$4/1000)+1)+(4*(0.3164/((General_Model!$C$14*A125*(General_Model!$C$4/1000)/General_Model!$C$15)^0.25))*General_Model!$C$7/(General_Model!$C$4/1000)+2)*(General_Model!$C$26/A125))</f>
        <v>8.6023005655613077E-2</v>
      </c>
      <c r="C125" s="13">
        <f t="shared" si="1"/>
        <v>0</v>
      </c>
    </row>
    <row r="126" spans="1:3" x14ac:dyDescent="0.25">
      <c r="A126" s="11">
        <v>0.124</v>
      </c>
      <c r="B126" s="12">
        <f>(General_Model!$C$6/General_Model!$C$7)-1/(1+General_Model!$C$26/((1.2+0.2*(General_Model!$C$26/A126)+0.35*SQRT(9.80665*(General_Model!$C$4/1000))/A126)*A126))-(A126^2/(2*9.80665*General_Model!$C$7))*((4*(0.3164/((General_Model!$C$14*A126*(General_Model!$C$4/1000)/General_Model!$C$15)^0.25))*General_Model!$C$7/(General_Model!$C$4/1000)+1)+(4*(0.3164/((General_Model!$C$14*A126*(General_Model!$C$4/1000)/General_Model!$C$15)^0.25))*General_Model!$C$7/(General_Model!$C$4/1000)+2)*(General_Model!$C$26/A126))</f>
        <v>8.5186260798432292E-2</v>
      </c>
      <c r="C126" s="13">
        <f t="shared" si="1"/>
        <v>0</v>
      </c>
    </row>
    <row r="127" spans="1:3" x14ac:dyDescent="0.25">
      <c r="A127" s="11">
        <v>0.125</v>
      </c>
      <c r="B127" s="12">
        <f>(General_Model!$C$6/General_Model!$C$7)-1/(1+General_Model!$C$26/((1.2+0.2*(General_Model!$C$26/A127)+0.35*SQRT(9.80665*(General_Model!$C$4/1000))/A127)*A127))-(A127^2/(2*9.80665*General_Model!$C$7))*((4*(0.3164/((General_Model!$C$14*A127*(General_Model!$C$4/1000)/General_Model!$C$15)^0.25))*General_Model!$C$7/(General_Model!$C$4/1000)+1)+(4*(0.3164/((General_Model!$C$14*A127*(General_Model!$C$4/1000)/General_Model!$C$15)^0.25))*General_Model!$C$7/(General_Model!$C$4/1000)+2)*(General_Model!$C$26/A127))</f>
        <v>8.4351012817411614E-2</v>
      </c>
      <c r="C127" s="13">
        <f t="shared" si="1"/>
        <v>0</v>
      </c>
    </row>
    <row r="128" spans="1:3" x14ac:dyDescent="0.25">
      <c r="A128" s="11">
        <v>0.126</v>
      </c>
      <c r="B128" s="12">
        <f>(General_Model!$C$6/General_Model!$C$7)-1/(1+General_Model!$C$26/((1.2+0.2*(General_Model!$C$26/A128)+0.35*SQRT(9.80665*(General_Model!$C$4/1000))/A128)*A128))-(A128^2/(2*9.80665*General_Model!$C$7))*((4*(0.3164/((General_Model!$C$14*A128*(General_Model!$C$4/1000)/General_Model!$C$15)^0.25))*General_Model!$C$7/(General_Model!$C$4/1000)+1)+(4*(0.3164/((General_Model!$C$14*A128*(General_Model!$C$4/1000)/General_Model!$C$15)^0.25))*General_Model!$C$7/(General_Model!$C$4/1000)+2)*(General_Model!$C$26/A128))</f>
        <v>8.3517254097909777E-2</v>
      </c>
      <c r="C128" s="13">
        <f t="shared" si="1"/>
        <v>0</v>
      </c>
    </row>
    <row r="129" spans="1:3" x14ac:dyDescent="0.25">
      <c r="A129" s="11">
        <v>0.127</v>
      </c>
      <c r="B129" s="12">
        <f>(General_Model!$C$6/General_Model!$C$7)-1/(1+General_Model!$C$26/((1.2+0.2*(General_Model!$C$26/A129)+0.35*SQRT(9.80665*(General_Model!$C$4/1000))/A129)*A129))-(A129^2/(2*9.80665*General_Model!$C$7))*((4*(0.3164/((General_Model!$C$14*A129*(General_Model!$C$4/1000)/General_Model!$C$15)^0.25))*General_Model!$C$7/(General_Model!$C$4/1000)+1)+(4*(0.3164/((General_Model!$C$14*A129*(General_Model!$C$4/1000)/General_Model!$C$15)^0.25))*General_Model!$C$7/(General_Model!$C$4/1000)+2)*(General_Model!$C$26/A129))</f>
        <v>8.2684977080400637E-2</v>
      </c>
      <c r="C129" s="13">
        <f t="shared" si="1"/>
        <v>0</v>
      </c>
    </row>
    <row r="130" spans="1:3" x14ac:dyDescent="0.25">
      <c r="A130" s="11">
        <v>0.128</v>
      </c>
      <c r="B130" s="12">
        <f>(General_Model!$C$6/General_Model!$C$7)-1/(1+General_Model!$C$26/((1.2+0.2*(General_Model!$C$26/A130)+0.35*SQRT(9.80665*(General_Model!$C$4/1000))/A130)*A130))-(A130^2/(2*9.80665*General_Model!$C$7))*((4*(0.3164/((General_Model!$C$14*A130*(General_Model!$C$4/1000)/General_Model!$C$15)^0.25))*General_Model!$C$7/(General_Model!$C$4/1000)+1)+(4*(0.3164/((General_Model!$C$14*A130*(General_Model!$C$4/1000)/General_Model!$C$15)^0.25))*General_Model!$C$7/(General_Model!$C$4/1000)+2)*(General_Model!$C$26/A130))</f>
        <v>8.185417425968923E-2</v>
      </c>
      <c r="C130" s="13">
        <f t="shared" si="1"/>
        <v>0</v>
      </c>
    </row>
    <row r="131" spans="1:3" x14ac:dyDescent="0.25">
      <c r="A131" s="11">
        <v>0.129</v>
      </c>
      <c r="B131" s="12">
        <f>(General_Model!$C$6/General_Model!$C$7)-1/(1+General_Model!$C$26/((1.2+0.2*(General_Model!$C$26/A131)+0.35*SQRT(9.80665*(General_Model!$C$4/1000))/A131)*A131))-(A131^2/(2*9.80665*General_Model!$C$7))*((4*(0.3164/((General_Model!$C$14*A131*(General_Model!$C$4/1000)/General_Model!$C$15)^0.25))*General_Model!$C$7/(General_Model!$C$4/1000)+1)+(4*(0.3164/((General_Model!$C$14*A131*(General_Model!$C$4/1000)/General_Model!$C$15)^0.25))*General_Model!$C$7/(General_Model!$C$4/1000)+2)*(General_Model!$C$26/A131))</f>
        <v>8.1024838184147352E-2</v>
      </c>
      <c r="C131" s="13">
        <f t="shared" ref="C131:C194" si="2">IF(B131*B132&lt;=0,1,0)</f>
        <v>0</v>
      </c>
    </row>
    <row r="132" spans="1:3" x14ac:dyDescent="0.25">
      <c r="A132" s="11">
        <v>0.13</v>
      </c>
      <c r="B132" s="12">
        <f>(General_Model!$C$6/General_Model!$C$7)-1/(1+General_Model!$C$26/((1.2+0.2*(General_Model!$C$26/A132)+0.35*SQRT(9.80665*(General_Model!$C$4/1000))/A132)*A132))-(A132^2/(2*9.80665*General_Model!$C$7))*((4*(0.3164/((General_Model!$C$14*A132*(General_Model!$C$4/1000)/General_Model!$C$15)^0.25))*General_Model!$C$7/(General_Model!$C$4/1000)+1)+(4*(0.3164/((General_Model!$C$14*A132*(General_Model!$C$4/1000)/General_Model!$C$15)^0.25))*General_Model!$C$7/(General_Model!$C$4/1000)+2)*(General_Model!$C$26/A132))</f>
        <v>8.0196961454969559E-2</v>
      </c>
      <c r="C132" s="13">
        <f t="shared" si="2"/>
        <v>0</v>
      </c>
    </row>
    <row r="133" spans="1:3" x14ac:dyDescent="0.25">
      <c r="A133" s="11">
        <v>0.13100000000000001</v>
      </c>
      <c r="B133" s="12">
        <f>(General_Model!$C$6/General_Model!$C$7)-1/(1+General_Model!$C$26/((1.2+0.2*(General_Model!$C$26/A133)+0.35*SQRT(9.80665*(General_Model!$C$4/1000))/A133)*A133))-(A133^2/(2*9.80665*General_Model!$C$7))*((4*(0.3164/((General_Model!$C$14*A133*(General_Model!$C$4/1000)/General_Model!$C$15)^0.25))*General_Model!$C$7/(General_Model!$C$4/1000)+1)+(4*(0.3164/((General_Model!$C$14*A133*(General_Model!$C$4/1000)/General_Model!$C$15)^0.25))*General_Model!$C$7/(General_Model!$C$4/1000)+2)*(General_Model!$C$26/A133))</f>
        <v>7.9370536725449886E-2</v>
      </c>
      <c r="C133" s="13">
        <f t="shared" si="2"/>
        <v>0</v>
      </c>
    </row>
    <row r="134" spans="1:3" x14ac:dyDescent="0.25">
      <c r="A134" s="11">
        <v>0.13200000000000001</v>
      </c>
      <c r="B134" s="12">
        <f>(General_Model!$C$6/General_Model!$C$7)-1/(1+General_Model!$C$26/((1.2+0.2*(General_Model!$C$26/A134)+0.35*SQRT(9.80665*(General_Model!$C$4/1000))/A134)*A134))-(A134^2/(2*9.80665*General_Model!$C$7))*((4*(0.3164/((General_Model!$C$14*A134*(General_Model!$C$4/1000)/General_Model!$C$15)^0.25))*General_Model!$C$7/(General_Model!$C$4/1000)+1)+(4*(0.3164/((General_Model!$C$14*A134*(General_Model!$C$4/1000)/General_Model!$C$15)^0.25))*General_Model!$C$7/(General_Model!$C$4/1000)+2)*(General_Model!$C$26/A134))</f>
        <v>7.8545556700276215E-2</v>
      </c>
      <c r="C134" s="13">
        <f t="shared" si="2"/>
        <v>0</v>
      </c>
    </row>
    <row r="135" spans="1:3" x14ac:dyDescent="0.25">
      <c r="A135" s="11">
        <v>0.13300000000000001</v>
      </c>
      <c r="B135" s="12">
        <f>(General_Model!$C$6/General_Model!$C$7)-1/(1+General_Model!$C$26/((1.2+0.2*(General_Model!$C$26/A135)+0.35*SQRT(9.80665*(General_Model!$C$4/1000))/A135)*A135))-(A135^2/(2*9.80665*General_Model!$C$7))*((4*(0.3164/((General_Model!$C$14*A135*(General_Model!$C$4/1000)/General_Model!$C$15)^0.25))*General_Model!$C$7/(General_Model!$C$4/1000)+1)+(4*(0.3164/((General_Model!$C$14*A135*(General_Model!$C$4/1000)/General_Model!$C$15)^0.25))*General_Model!$C$7/(General_Model!$C$4/1000)+2)*(General_Model!$C$26/A135))</f>
        <v>7.7722014134841727E-2</v>
      </c>
      <c r="C135" s="13">
        <f t="shared" si="2"/>
        <v>0</v>
      </c>
    </row>
    <row r="136" spans="1:3" x14ac:dyDescent="0.25">
      <c r="A136" s="11">
        <v>0.13400000000000001</v>
      </c>
      <c r="B136" s="12">
        <f>(General_Model!$C$6/General_Model!$C$7)-1/(1+General_Model!$C$26/((1.2+0.2*(General_Model!$C$26/A136)+0.35*SQRT(9.80665*(General_Model!$C$4/1000))/A136)*A136))-(A136^2/(2*9.80665*General_Model!$C$7))*((4*(0.3164/((General_Model!$C$14*A136*(General_Model!$C$4/1000)/General_Model!$C$15)^0.25))*General_Model!$C$7/(General_Model!$C$4/1000)+1)+(4*(0.3164/((General_Model!$C$14*A136*(General_Model!$C$4/1000)/General_Model!$C$15)^0.25))*General_Model!$C$7/(General_Model!$C$4/1000)+2)*(General_Model!$C$26/A136))</f>
        <v>7.6899901834576428E-2</v>
      </c>
      <c r="C136" s="13">
        <f t="shared" si="2"/>
        <v>0</v>
      </c>
    </row>
    <row r="137" spans="1:3" x14ac:dyDescent="0.25">
      <c r="A137" s="11">
        <v>0.13500000000000001</v>
      </c>
      <c r="B137" s="12">
        <f>(General_Model!$C$6/General_Model!$C$7)-1/(1+General_Model!$C$26/((1.2+0.2*(General_Model!$C$26/A137)+0.35*SQRT(9.80665*(General_Model!$C$4/1000))/A137)*A137))-(A137^2/(2*9.80665*General_Model!$C$7))*((4*(0.3164/((General_Model!$C$14*A137*(General_Model!$C$4/1000)/General_Model!$C$15)^0.25))*General_Model!$C$7/(General_Model!$C$4/1000)+1)+(4*(0.3164/((General_Model!$C$14*A137*(General_Model!$C$4/1000)/General_Model!$C$15)^0.25))*General_Model!$C$7/(General_Model!$C$4/1000)+2)*(General_Model!$C$26/A137))</f>
        <v>7.6079212654291656E-2</v>
      </c>
      <c r="C137" s="13">
        <f t="shared" si="2"/>
        <v>0</v>
      </c>
    </row>
    <row r="138" spans="1:3" x14ac:dyDescent="0.25">
      <c r="A138" s="11">
        <v>0.13600000000000001</v>
      </c>
      <c r="B138" s="12">
        <f>(General_Model!$C$6/General_Model!$C$7)-1/(1+General_Model!$C$26/((1.2+0.2*(General_Model!$C$26/A138)+0.35*SQRT(9.80665*(General_Model!$C$4/1000))/A138)*A138))-(A138^2/(2*9.80665*General_Model!$C$7))*((4*(0.3164/((General_Model!$C$14*A138*(General_Model!$C$4/1000)/General_Model!$C$15)^0.25))*General_Model!$C$7/(General_Model!$C$4/1000)+1)+(4*(0.3164/((General_Model!$C$14*A138*(General_Model!$C$4/1000)/General_Model!$C$15)^0.25))*General_Model!$C$7/(General_Model!$C$4/1000)+2)*(General_Model!$C$26/A138))</f>
        <v>7.5259939497544115E-2</v>
      </c>
      <c r="C138" s="13">
        <f t="shared" si="2"/>
        <v>0</v>
      </c>
    </row>
    <row r="139" spans="1:3" x14ac:dyDescent="0.25">
      <c r="A139" s="11">
        <v>0.13700000000000001</v>
      </c>
      <c r="B139" s="12">
        <f>(General_Model!$C$6/General_Model!$C$7)-1/(1+General_Model!$C$26/((1.2+0.2*(General_Model!$C$26/A139)+0.35*SQRT(9.80665*(General_Model!$C$4/1000))/A139)*A139))-(A139^2/(2*9.80665*General_Model!$C$7))*((4*(0.3164/((General_Model!$C$14*A139*(General_Model!$C$4/1000)/General_Model!$C$15)^0.25))*General_Model!$C$7/(General_Model!$C$4/1000)+1)+(4*(0.3164/((General_Model!$C$14*A139*(General_Model!$C$4/1000)/General_Model!$C$15)^0.25))*General_Model!$C$7/(General_Model!$C$4/1000)+2)*(General_Model!$C$26/A139))</f>
        <v>7.4442075316013157E-2</v>
      </c>
      <c r="C139" s="13">
        <f t="shared" si="2"/>
        <v>0</v>
      </c>
    </row>
    <row r="140" spans="1:3" x14ac:dyDescent="0.25">
      <c r="A140" s="11">
        <v>0.13800000000000001</v>
      </c>
      <c r="B140" s="12">
        <f>(General_Model!$C$6/General_Model!$C$7)-1/(1+General_Model!$C$26/((1.2+0.2*(General_Model!$C$26/A140)+0.35*SQRT(9.80665*(General_Model!$C$4/1000))/A140)*A140))-(A140^2/(2*9.80665*General_Model!$C$7))*((4*(0.3164/((General_Model!$C$14*A140*(General_Model!$C$4/1000)/General_Model!$C$15)^0.25))*General_Model!$C$7/(General_Model!$C$4/1000)+1)+(4*(0.3164/((General_Model!$C$14*A140*(General_Model!$C$4/1000)/General_Model!$C$15)^0.25))*General_Model!$C$7/(General_Model!$C$4/1000)+2)*(General_Model!$C$26/A140))</f>
        <v>7.3625613108893428E-2</v>
      </c>
      <c r="C140" s="13">
        <f t="shared" si="2"/>
        <v>0</v>
      </c>
    </row>
    <row r="141" spans="1:3" x14ac:dyDescent="0.25">
      <c r="A141" s="11">
        <v>0.13900000000000001</v>
      </c>
      <c r="B141" s="12">
        <f>(General_Model!$C$6/General_Model!$C$7)-1/(1+General_Model!$C$26/((1.2+0.2*(General_Model!$C$26/A141)+0.35*SQRT(9.80665*(General_Model!$C$4/1000))/A141)*A141))-(A141^2/(2*9.80665*General_Model!$C$7))*((4*(0.3164/((General_Model!$C$14*A141*(General_Model!$C$4/1000)/General_Model!$C$15)^0.25))*General_Model!$C$7/(General_Model!$C$4/1000)+1)+(4*(0.3164/((General_Model!$C$14*A141*(General_Model!$C$4/1000)/General_Model!$C$15)^0.25))*General_Model!$C$7/(General_Model!$C$4/1000)+2)*(General_Model!$C$26/A141))</f>
        <v>7.2810545922302572E-2</v>
      </c>
      <c r="C141" s="13">
        <f t="shared" si="2"/>
        <v>0</v>
      </c>
    </row>
    <row r="142" spans="1:3" x14ac:dyDescent="0.25">
      <c r="A142" s="11">
        <v>0.14000000000000001</v>
      </c>
      <c r="B142" s="12">
        <f>(General_Model!$C$6/General_Model!$C$7)-1/(1+General_Model!$C$26/((1.2+0.2*(General_Model!$C$26/A142)+0.35*SQRT(9.80665*(General_Model!$C$4/1000))/A142)*A142))-(A142^2/(2*9.80665*General_Model!$C$7))*((4*(0.3164/((General_Model!$C$14*A142*(General_Model!$C$4/1000)/General_Model!$C$15)^0.25))*General_Model!$C$7/(General_Model!$C$4/1000)+1)+(4*(0.3164/((General_Model!$C$14*A142*(General_Model!$C$4/1000)/General_Model!$C$15)^0.25))*General_Model!$C$7/(General_Model!$C$4/1000)+2)*(General_Model!$C$26/A142))</f>
        <v>7.1996866848702379E-2</v>
      </c>
      <c r="C142" s="13">
        <f t="shared" si="2"/>
        <v>0</v>
      </c>
    </row>
    <row r="143" spans="1:3" x14ac:dyDescent="0.25">
      <c r="A143" s="11">
        <v>0.14099999999999999</v>
      </c>
      <c r="B143" s="12">
        <f>(General_Model!$C$6/General_Model!$C$7)-1/(1+General_Model!$C$26/((1.2+0.2*(General_Model!$C$26/A143)+0.35*SQRT(9.80665*(General_Model!$C$4/1000))/A143)*A143))-(A143^2/(2*9.80665*General_Model!$C$7))*((4*(0.3164/((General_Model!$C$14*A143*(General_Model!$C$4/1000)/General_Model!$C$15)^0.25))*General_Model!$C$7/(General_Model!$C$4/1000)+1)+(4*(0.3164/((General_Model!$C$14*A143*(General_Model!$C$4/1000)/General_Model!$C$15)^0.25))*General_Model!$C$7/(General_Model!$C$4/1000)+2)*(General_Model!$C$26/A143))</f>
        <v>7.1184569026332384E-2</v>
      </c>
      <c r="C143" s="13">
        <f t="shared" si="2"/>
        <v>0</v>
      </c>
    </row>
    <row r="144" spans="1:3" x14ac:dyDescent="0.25">
      <c r="A144" s="11">
        <v>0.14199999999999999</v>
      </c>
      <c r="B144" s="12">
        <f>(General_Model!$C$6/General_Model!$C$7)-1/(1+General_Model!$C$26/((1.2+0.2*(General_Model!$C$26/A144)+0.35*SQRT(9.80665*(General_Model!$C$4/1000))/A144)*A144))-(A144^2/(2*9.80665*General_Model!$C$7))*((4*(0.3164/((General_Model!$C$14*A144*(General_Model!$C$4/1000)/General_Model!$C$15)^0.25))*General_Model!$C$7/(General_Model!$C$4/1000)+1)+(4*(0.3164/((General_Model!$C$14*A144*(General_Model!$C$4/1000)/General_Model!$C$15)^0.25))*General_Model!$C$7/(General_Model!$C$4/1000)+2)*(General_Model!$C$26/A144))</f>
        <v>7.0373645638658527E-2</v>
      </c>
      <c r="C144" s="13">
        <f t="shared" si="2"/>
        <v>0</v>
      </c>
    </row>
    <row r="145" spans="1:3" x14ac:dyDescent="0.25">
      <c r="A145" s="11">
        <v>0.14299999999999999</v>
      </c>
      <c r="B145" s="12">
        <f>(General_Model!$C$6/General_Model!$C$7)-1/(1+General_Model!$C$26/((1.2+0.2*(General_Model!$C$26/A145)+0.35*SQRT(9.80665*(General_Model!$C$4/1000))/A145)*A145))-(A145^2/(2*9.80665*General_Model!$C$7))*((4*(0.3164/((General_Model!$C$14*A145*(General_Model!$C$4/1000)/General_Model!$C$15)^0.25))*General_Model!$C$7/(General_Model!$C$4/1000)+1)+(4*(0.3164/((General_Model!$C$14*A145*(General_Model!$C$4/1000)/General_Model!$C$15)^0.25))*General_Model!$C$7/(General_Model!$C$4/1000)+2)*(General_Model!$C$26/A145))</f>
        <v>6.9564089913831978E-2</v>
      </c>
      <c r="C145" s="13">
        <f t="shared" si="2"/>
        <v>0</v>
      </c>
    </row>
    <row r="146" spans="1:3" x14ac:dyDescent="0.25">
      <c r="A146" s="11">
        <v>0.14399999999999999</v>
      </c>
      <c r="B146" s="12">
        <f>(General_Model!$C$6/General_Model!$C$7)-1/(1+General_Model!$C$26/((1.2+0.2*(General_Model!$C$26/A146)+0.35*SQRT(9.80665*(General_Model!$C$4/1000))/A146)*A146))-(A146^2/(2*9.80665*General_Model!$C$7))*((4*(0.3164/((General_Model!$C$14*A146*(General_Model!$C$4/1000)/General_Model!$C$15)^0.25))*General_Model!$C$7/(General_Model!$C$4/1000)+1)+(4*(0.3164/((General_Model!$C$14*A146*(General_Model!$C$4/1000)/General_Model!$C$15)^0.25))*General_Model!$C$7/(General_Model!$C$4/1000)+2)*(General_Model!$C$26/A146))</f>
        <v>6.8755895124161609E-2</v>
      </c>
      <c r="C146" s="13">
        <f t="shared" si="2"/>
        <v>0</v>
      </c>
    </row>
    <row r="147" spans="1:3" x14ac:dyDescent="0.25">
      <c r="A147" s="11">
        <v>0.14499999999999999</v>
      </c>
      <c r="B147" s="12">
        <f>(General_Model!$C$6/General_Model!$C$7)-1/(1+General_Model!$C$26/((1.2+0.2*(General_Model!$C$26/A147)+0.35*SQRT(9.80665*(General_Model!$C$4/1000))/A147)*A147))-(A147^2/(2*9.80665*General_Model!$C$7))*((4*(0.3164/((General_Model!$C$14*A147*(General_Model!$C$4/1000)/General_Model!$C$15)^0.25))*General_Model!$C$7/(General_Model!$C$4/1000)+1)+(4*(0.3164/((General_Model!$C$14*A147*(General_Model!$C$4/1000)/General_Model!$C$15)^0.25))*General_Model!$C$7/(General_Model!$C$4/1000)+2)*(General_Model!$C$26/A147))</f>
        <v>6.794905458559751E-2</v>
      </c>
      <c r="C147" s="13">
        <f t="shared" si="2"/>
        <v>0</v>
      </c>
    </row>
    <row r="148" spans="1:3" x14ac:dyDescent="0.25">
      <c r="A148" s="11">
        <v>0.14599999999999999</v>
      </c>
      <c r="B148" s="12">
        <f>(General_Model!$C$6/General_Model!$C$7)-1/(1+General_Model!$C$26/((1.2+0.2*(General_Model!$C$26/A148)+0.35*SQRT(9.80665*(General_Model!$C$4/1000))/A148)*A148))-(A148^2/(2*9.80665*General_Model!$C$7))*((4*(0.3164/((General_Model!$C$14*A148*(General_Model!$C$4/1000)/General_Model!$C$15)^0.25))*General_Model!$C$7/(General_Model!$C$4/1000)+1)+(4*(0.3164/((General_Model!$C$14*A148*(General_Model!$C$4/1000)/General_Model!$C$15)^0.25))*General_Model!$C$7/(General_Model!$C$4/1000)+2)*(General_Model!$C$26/A148))</f>
        <v>6.7143561657225126E-2</v>
      </c>
      <c r="C148" s="13">
        <f t="shared" si="2"/>
        <v>0</v>
      </c>
    </row>
    <row r="149" spans="1:3" x14ac:dyDescent="0.25">
      <c r="A149" s="11">
        <v>0.14699999999999999</v>
      </c>
      <c r="B149" s="12">
        <f>(General_Model!$C$6/General_Model!$C$7)-1/(1+General_Model!$C$26/((1.2+0.2*(General_Model!$C$26/A149)+0.35*SQRT(9.80665*(General_Model!$C$4/1000))/A149)*A149))-(A149^2/(2*9.80665*General_Model!$C$7))*((4*(0.3164/((General_Model!$C$14*A149*(General_Model!$C$4/1000)/General_Model!$C$15)^0.25))*General_Model!$C$7/(General_Model!$C$4/1000)+1)+(4*(0.3164/((General_Model!$C$14*A149*(General_Model!$C$4/1000)/General_Model!$C$15)^0.25))*General_Model!$C$7/(General_Model!$C$4/1000)+2)*(General_Model!$C$26/A149))</f>
        <v>6.6339409740772001E-2</v>
      </c>
      <c r="C149" s="13">
        <f t="shared" si="2"/>
        <v>0</v>
      </c>
    </row>
    <row r="150" spans="1:3" x14ac:dyDescent="0.25">
      <c r="A150" s="11">
        <v>0.14799999999999999</v>
      </c>
      <c r="B150" s="12">
        <f>(General_Model!$C$6/General_Model!$C$7)-1/(1+General_Model!$C$26/((1.2+0.2*(General_Model!$C$26/A150)+0.35*SQRT(9.80665*(General_Model!$C$4/1000))/A150)*A150))-(A150^2/(2*9.80665*General_Model!$C$7))*((4*(0.3164/((General_Model!$C$14*A150*(General_Model!$C$4/1000)/General_Model!$C$15)^0.25))*General_Model!$C$7/(General_Model!$C$4/1000)+1)+(4*(0.3164/((General_Model!$C$14*A150*(General_Model!$C$4/1000)/General_Model!$C$15)^0.25))*General_Model!$C$7/(General_Model!$C$4/1000)+2)*(General_Model!$C$26/A150))</f>
        <v>6.5536592280123165E-2</v>
      </c>
      <c r="C150" s="13">
        <f t="shared" si="2"/>
        <v>0</v>
      </c>
    </row>
    <row r="151" spans="1:3" x14ac:dyDescent="0.25">
      <c r="A151" s="11">
        <v>0.14899999999999999</v>
      </c>
      <c r="B151" s="12">
        <f>(General_Model!$C$6/General_Model!$C$7)-1/(1+General_Model!$C$26/((1.2+0.2*(General_Model!$C$26/A151)+0.35*SQRT(9.80665*(General_Model!$C$4/1000))/A151)*A151))-(A151^2/(2*9.80665*General_Model!$C$7))*((4*(0.3164/((General_Model!$C$14*A151*(General_Model!$C$4/1000)/General_Model!$C$15)^0.25))*General_Model!$C$7/(General_Model!$C$4/1000)+1)+(4*(0.3164/((General_Model!$C$14*A151*(General_Model!$C$4/1000)/General_Model!$C$15)^0.25))*General_Model!$C$7/(General_Model!$C$4/1000)+2)*(General_Model!$C$26/A151))</f>
        <v>6.4735102760847818E-2</v>
      </c>
      <c r="C151" s="13">
        <f t="shared" si="2"/>
        <v>0</v>
      </c>
    </row>
    <row r="152" spans="1:3" x14ac:dyDescent="0.25">
      <c r="A152" s="11">
        <v>0.15</v>
      </c>
      <c r="B152" s="12">
        <f>(General_Model!$C$6/General_Model!$C$7)-1/(1+General_Model!$C$26/((1.2+0.2*(General_Model!$C$26/A152)+0.35*SQRT(9.80665*(General_Model!$C$4/1000))/A152)*A152))-(A152^2/(2*9.80665*General_Model!$C$7))*((4*(0.3164/((General_Model!$C$14*A152*(General_Model!$C$4/1000)/General_Model!$C$15)^0.25))*General_Model!$C$7/(General_Model!$C$4/1000)+1)+(4*(0.3164/((General_Model!$C$14*A152*(General_Model!$C$4/1000)/General_Model!$C$15)^0.25))*General_Model!$C$7/(General_Model!$C$4/1000)+2)*(General_Model!$C$26/A152))</f>
        <v>6.3934934709735325E-2</v>
      </c>
      <c r="C152" s="13">
        <f t="shared" si="2"/>
        <v>0</v>
      </c>
    </row>
    <row r="153" spans="1:3" x14ac:dyDescent="0.25">
      <c r="A153" s="11">
        <v>0.151</v>
      </c>
      <c r="B153" s="12">
        <f>(General_Model!$C$6/General_Model!$C$7)-1/(1+General_Model!$C$26/((1.2+0.2*(General_Model!$C$26/A153)+0.35*SQRT(9.80665*(General_Model!$C$4/1000))/A153)*A153))-(A153^2/(2*9.80665*General_Model!$C$7))*((4*(0.3164/((General_Model!$C$14*A153*(General_Model!$C$4/1000)/General_Model!$C$15)^0.25))*General_Model!$C$7/(General_Model!$C$4/1000)+1)+(4*(0.3164/((General_Model!$C$14*A153*(General_Model!$C$4/1000)/General_Model!$C$15)^0.25))*General_Model!$C$7/(General_Model!$C$4/1000)+2)*(General_Model!$C$26/A153))</f>
        <v>6.3136081694341373E-2</v>
      </c>
      <c r="C153" s="13">
        <f t="shared" si="2"/>
        <v>0</v>
      </c>
    </row>
    <row r="154" spans="1:3" x14ac:dyDescent="0.25">
      <c r="A154" s="11">
        <v>0.152</v>
      </c>
      <c r="B154" s="12">
        <f>(General_Model!$C$6/General_Model!$C$7)-1/(1+General_Model!$C$26/((1.2+0.2*(General_Model!$C$26/A154)+0.35*SQRT(9.80665*(General_Model!$C$4/1000))/A154)*A154))-(A154^2/(2*9.80665*General_Model!$C$7))*((4*(0.3164/((General_Model!$C$14*A154*(General_Model!$C$4/1000)/General_Model!$C$15)^0.25))*General_Model!$C$7/(General_Model!$C$4/1000)+1)+(4*(0.3164/((General_Model!$C$14*A154*(General_Model!$C$4/1000)/General_Model!$C$15)^0.25))*General_Model!$C$7/(General_Model!$C$4/1000)+2)*(General_Model!$C$26/A154))</f>
        <v>6.2338537322542457E-2</v>
      </c>
      <c r="C154" s="13">
        <f t="shared" si="2"/>
        <v>0</v>
      </c>
    </row>
    <row r="155" spans="1:3" x14ac:dyDescent="0.25">
      <c r="A155" s="11">
        <v>0.153</v>
      </c>
      <c r="B155" s="12">
        <f>(General_Model!$C$6/General_Model!$C$7)-1/(1+General_Model!$C$26/((1.2+0.2*(General_Model!$C$26/A155)+0.35*SQRT(9.80665*(General_Model!$C$4/1000))/A155)*A155))-(A155^2/(2*9.80665*General_Model!$C$7))*((4*(0.3164/((General_Model!$C$14*A155*(General_Model!$C$4/1000)/General_Model!$C$15)^0.25))*General_Model!$C$7/(General_Model!$C$4/1000)+1)+(4*(0.3164/((General_Model!$C$14*A155*(General_Model!$C$4/1000)/General_Model!$C$15)^0.25))*General_Model!$C$7/(General_Model!$C$4/1000)+2)*(General_Model!$C$26/A155))</f>
        <v>6.1542295242100302E-2</v>
      </c>
      <c r="C155" s="13">
        <f t="shared" si="2"/>
        <v>0</v>
      </c>
    </row>
    <row r="156" spans="1:3" x14ac:dyDescent="0.25">
      <c r="A156" s="11">
        <v>0.154</v>
      </c>
      <c r="B156" s="12">
        <f>(General_Model!$C$6/General_Model!$C$7)-1/(1+General_Model!$C$26/((1.2+0.2*(General_Model!$C$26/A156)+0.35*SQRT(9.80665*(General_Model!$C$4/1000))/A156)*A156))-(A156^2/(2*9.80665*General_Model!$C$7))*((4*(0.3164/((General_Model!$C$14*A156*(General_Model!$C$4/1000)/General_Model!$C$15)^0.25))*General_Model!$C$7/(General_Model!$C$4/1000)+1)+(4*(0.3164/((General_Model!$C$14*A156*(General_Model!$C$4/1000)/General_Model!$C$15)^0.25))*General_Model!$C$7/(General_Model!$C$4/1000)+2)*(General_Model!$C$26/A156))</f>
        <v>6.0747349140233983E-2</v>
      </c>
      <c r="C156" s="13">
        <f t="shared" si="2"/>
        <v>0</v>
      </c>
    </row>
    <row r="157" spans="1:3" x14ac:dyDescent="0.25">
      <c r="A157" s="11">
        <v>0.155</v>
      </c>
      <c r="B157" s="12">
        <f>(General_Model!$C$6/General_Model!$C$7)-1/(1+General_Model!$C$26/((1.2+0.2*(General_Model!$C$26/A157)+0.35*SQRT(9.80665*(General_Model!$C$4/1000))/A157)*A157))-(A157^2/(2*9.80665*General_Model!$C$7))*((4*(0.3164/((General_Model!$C$14*A157*(General_Model!$C$4/1000)/General_Model!$C$15)^0.25))*General_Model!$C$7/(General_Model!$C$4/1000)+1)+(4*(0.3164/((General_Model!$C$14*A157*(General_Model!$C$4/1000)/General_Model!$C$15)^0.25))*General_Model!$C$7/(General_Model!$C$4/1000)+2)*(General_Model!$C$26/A157))</f>
        <v>5.9953692743201198E-2</v>
      </c>
      <c r="C157" s="13">
        <f t="shared" si="2"/>
        <v>0</v>
      </c>
    </row>
    <row r="158" spans="1:3" x14ac:dyDescent="0.25">
      <c r="A158" s="11">
        <v>0.156</v>
      </c>
      <c r="B158" s="12">
        <f>(General_Model!$C$6/General_Model!$C$7)-1/(1+General_Model!$C$26/((1.2+0.2*(General_Model!$C$26/A158)+0.35*SQRT(9.80665*(General_Model!$C$4/1000))/A158)*A158))-(A158^2/(2*9.80665*General_Model!$C$7))*((4*(0.3164/((General_Model!$C$14*A158*(General_Model!$C$4/1000)/General_Model!$C$15)^0.25))*General_Model!$C$7/(General_Model!$C$4/1000)+1)+(4*(0.3164/((General_Model!$C$14*A158*(General_Model!$C$4/1000)/General_Model!$C$15)^0.25))*General_Model!$C$7/(General_Model!$C$4/1000)+2)*(General_Model!$C$26/A158))</f>
        <v>5.916131981588757E-2</v>
      </c>
      <c r="C158" s="13">
        <f t="shared" si="2"/>
        <v>0</v>
      </c>
    </row>
    <row r="159" spans="1:3" x14ac:dyDescent="0.25">
      <c r="A159" s="11">
        <v>0.157</v>
      </c>
      <c r="B159" s="12">
        <f>(General_Model!$C$6/General_Model!$C$7)-1/(1+General_Model!$C$26/((1.2+0.2*(General_Model!$C$26/A159)+0.35*SQRT(9.80665*(General_Model!$C$4/1000))/A159)*A159))-(A159^2/(2*9.80665*General_Model!$C$7))*((4*(0.3164/((General_Model!$C$14*A159*(General_Model!$C$4/1000)/General_Model!$C$15)^0.25))*General_Model!$C$7/(General_Model!$C$4/1000)+1)+(4*(0.3164/((General_Model!$C$14*A159*(General_Model!$C$4/1000)/General_Model!$C$15)^0.25))*General_Model!$C$7/(General_Model!$C$4/1000)+2)*(General_Model!$C$26/A159))</f>
        <v>5.8370224161403139E-2</v>
      </c>
      <c r="C159" s="13">
        <f t="shared" si="2"/>
        <v>0</v>
      </c>
    </row>
    <row r="160" spans="1:3" x14ac:dyDescent="0.25">
      <c r="A160" s="11">
        <v>0.158</v>
      </c>
      <c r="B160" s="12">
        <f>(General_Model!$C$6/General_Model!$C$7)-1/(1+General_Model!$C$26/((1.2+0.2*(General_Model!$C$26/A160)+0.35*SQRT(9.80665*(General_Model!$C$4/1000))/A160)*A160))-(A160^2/(2*9.80665*General_Model!$C$7))*((4*(0.3164/((General_Model!$C$14*A160*(General_Model!$C$4/1000)/General_Model!$C$15)^0.25))*General_Model!$C$7/(General_Model!$C$4/1000)+1)+(4*(0.3164/((General_Model!$C$14*A160*(General_Model!$C$4/1000)/General_Model!$C$15)^0.25))*General_Model!$C$7/(General_Model!$C$4/1000)+2)*(General_Model!$C$26/A160))</f>
        <v>5.7580399620687478E-2</v>
      </c>
      <c r="C160" s="13">
        <f t="shared" si="2"/>
        <v>0</v>
      </c>
    </row>
    <row r="161" spans="1:3" x14ac:dyDescent="0.25">
      <c r="A161" s="11">
        <v>0.159</v>
      </c>
      <c r="B161" s="12">
        <f>(General_Model!$C$6/General_Model!$C$7)-1/(1+General_Model!$C$26/((1.2+0.2*(General_Model!$C$26/A161)+0.35*SQRT(9.80665*(General_Model!$C$4/1000))/A161)*A161))-(A161^2/(2*9.80665*General_Model!$C$7))*((4*(0.3164/((General_Model!$C$14*A161*(General_Model!$C$4/1000)/General_Model!$C$15)^0.25))*General_Model!$C$7/(General_Model!$C$4/1000)+1)+(4*(0.3164/((General_Model!$C$14*A161*(General_Model!$C$4/1000)/General_Model!$C$15)^0.25))*General_Model!$C$7/(General_Model!$C$4/1000)+2)*(General_Model!$C$26/A161))</f>
        <v>5.6791840072121923E-2</v>
      </c>
      <c r="C161" s="13">
        <f t="shared" si="2"/>
        <v>0</v>
      </c>
    </row>
    <row r="162" spans="1:3" x14ac:dyDescent="0.25">
      <c r="A162" s="11">
        <v>0.16</v>
      </c>
      <c r="B162" s="12">
        <f>(General_Model!$C$6/General_Model!$C$7)-1/(1+General_Model!$C$26/((1.2+0.2*(General_Model!$C$26/A162)+0.35*SQRT(9.80665*(General_Model!$C$4/1000))/A162)*A162))-(A162^2/(2*9.80665*General_Model!$C$7))*((4*(0.3164/((General_Model!$C$14*A162*(General_Model!$C$4/1000)/General_Model!$C$15)^0.25))*General_Model!$C$7/(General_Model!$C$4/1000)+1)+(4*(0.3164/((General_Model!$C$14*A162*(General_Model!$C$4/1000)/General_Model!$C$15)^0.25))*General_Model!$C$7/(General_Model!$C$4/1000)+2)*(General_Model!$C$26/A162))</f>
        <v>5.6004539431148498E-2</v>
      </c>
      <c r="C162" s="13">
        <f t="shared" si="2"/>
        <v>0</v>
      </c>
    </row>
    <row r="163" spans="1:3" x14ac:dyDescent="0.25">
      <c r="A163" s="11">
        <v>0.161</v>
      </c>
      <c r="B163" s="12">
        <f>(General_Model!$C$6/General_Model!$C$7)-1/(1+General_Model!$C$26/((1.2+0.2*(General_Model!$C$26/A163)+0.35*SQRT(9.80665*(General_Model!$C$4/1000))/A163)*A163))-(A163^2/(2*9.80665*General_Model!$C$7))*((4*(0.3164/((General_Model!$C$14*A163*(General_Model!$C$4/1000)/General_Model!$C$15)^0.25))*General_Model!$C$7/(General_Model!$C$4/1000)+1)+(4*(0.3164/((General_Model!$C$14*A163*(General_Model!$C$4/1000)/General_Model!$C$15)^0.25))*General_Model!$C$7/(General_Model!$C$4/1000)+2)*(General_Model!$C$26/A163))</f>
        <v>5.5218491649896381E-2</v>
      </c>
      <c r="C163" s="13">
        <f t="shared" si="2"/>
        <v>0</v>
      </c>
    </row>
    <row r="164" spans="1:3" x14ac:dyDescent="0.25">
      <c r="A164" s="11">
        <v>0.16200000000000001</v>
      </c>
      <c r="B164" s="12">
        <f>(General_Model!$C$6/General_Model!$C$7)-1/(1+General_Model!$C$26/((1.2+0.2*(General_Model!$C$26/A164)+0.35*SQRT(9.80665*(General_Model!$C$4/1000))/A164)*A164))-(A164^2/(2*9.80665*General_Model!$C$7))*((4*(0.3164/((General_Model!$C$14*A164*(General_Model!$C$4/1000)/General_Model!$C$15)^0.25))*General_Model!$C$7/(General_Model!$C$4/1000)+1)+(4*(0.3164/((General_Model!$C$14*A164*(General_Model!$C$4/1000)/General_Model!$C$15)^0.25))*General_Model!$C$7/(General_Model!$C$4/1000)+2)*(General_Model!$C$26/A164))</f>
        <v>5.4433690716815378E-2</v>
      </c>
      <c r="C164" s="13">
        <f t="shared" si="2"/>
        <v>0</v>
      </c>
    </row>
    <row r="165" spans="1:3" x14ac:dyDescent="0.25">
      <c r="A165" s="11">
        <v>0.16300000000000001</v>
      </c>
      <c r="B165" s="12">
        <f>(General_Model!$C$6/General_Model!$C$7)-1/(1+General_Model!$C$26/((1.2+0.2*(General_Model!$C$26/A165)+0.35*SQRT(9.80665*(General_Model!$C$4/1000))/A165)*A165))-(A165^2/(2*9.80665*General_Model!$C$7))*((4*(0.3164/((General_Model!$C$14*A165*(General_Model!$C$4/1000)/General_Model!$C$15)^0.25))*General_Model!$C$7/(General_Model!$C$4/1000)+1)+(4*(0.3164/((General_Model!$C$14*A165*(General_Model!$C$4/1000)/General_Model!$C$15)^0.25))*General_Model!$C$7/(General_Model!$C$4/1000)+2)*(General_Model!$C$26/A165))</f>
        <v>5.3650130656315145E-2</v>
      </c>
      <c r="C165" s="13">
        <f t="shared" si="2"/>
        <v>0</v>
      </c>
    </row>
    <row r="166" spans="1:3" x14ac:dyDescent="0.25">
      <c r="A166" s="11">
        <v>0.16400000000000001</v>
      </c>
      <c r="B166" s="12">
        <f>(General_Model!$C$6/General_Model!$C$7)-1/(1+General_Model!$C$26/((1.2+0.2*(General_Model!$C$26/A166)+0.35*SQRT(9.80665*(General_Model!$C$4/1000))/A166)*A166))-(A166^2/(2*9.80665*General_Model!$C$7))*((4*(0.3164/((General_Model!$C$14*A166*(General_Model!$C$4/1000)/General_Model!$C$15)^0.25))*General_Model!$C$7/(General_Model!$C$4/1000)+1)+(4*(0.3164/((General_Model!$C$14*A166*(General_Model!$C$4/1000)/General_Model!$C$15)^0.25))*General_Model!$C$7/(General_Model!$C$4/1000)+2)*(General_Model!$C$26/A166))</f>
        <v>5.286780552841179E-2</v>
      </c>
      <c r="C166" s="13">
        <f t="shared" si="2"/>
        <v>0</v>
      </c>
    </row>
    <row r="167" spans="1:3" x14ac:dyDescent="0.25">
      <c r="A167" s="11">
        <v>0.16500000000000001</v>
      </c>
      <c r="B167" s="12">
        <f>(General_Model!$C$6/General_Model!$C$7)-1/(1+General_Model!$C$26/((1.2+0.2*(General_Model!$C$26/A167)+0.35*SQRT(9.80665*(General_Model!$C$4/1000))/A167)*A167))-(A167^2/(2*9.80665*General_Model!$C$7))*((4*(0.3164/((General_Model!$C$14*A167*(General_Model!$C$4/1000)/General_Model!$C$15)^0.25))*General_Model!$C$7/(General_Model!$C$4/1000)+1)+(4*(0.3164/((General_Model!$C$14*A167*(General_Model!$C$4/1000)/General_Model!$C$15)^0.25))*General_Model!$C$7/(General_Model!$C$4/1000)+2)*(General_Model!$C$26/A167))</f>
        <v>5.2086709428380049E-2</v>
      </c>
      <c r="C167" s="13">
        <f t="shared" si="2"/>
        <v>0</v>
      </c>
    </row>
    <row r="168" spans="1:3" x14ac:dyDescent="0.25">
      <c r="A168" s="11">
        <v>0.16600000000000001</v>
      </c>
      <c r="B168" s="12">
        <f>(General_Model!$C$6/General_Model!$C$7)-1/(1+General_Model!$C$26/((1.2+0.2*(General_Model!$C$26/A168)+0.35*SQRT(9.80665*(General_Model!$C$4/1000))/A168)*A168))-(A168^2/(2*9.80665*General_Model!$C$7))*((4*(0.3164/((General_Model!$C$14*A168*(General_Model!$C$4/1000)/General_Model!$C$15)^0.25))*General_Model!$C$7/(General_Model!$C$4/1000)+1)+(4*(0.3164/((General_Model!$C$14*A168*(General_Model!$C$4/1000)/General_Model!$C$15)^0.25))*General_Model!$C$7/(General_Model!$C$4/1000)+2)*(General_Model!$C$26/A168))</f>
        <v>5.1306836486412023E-2</v>
      </c>
      <c r="C168" s="13">
        <f t="shared" si="2"/>
        <v>0</v>
      </c>
    </row>
    <row r="169" spans="1:3" x14ac:dyDescent="0.25">
      <c r="A169" s="11">
        <v>0.16700000000000001</v>
      </c>
      <c r="B169" s="12">
        <f>(General_Model!$C$6/General_Model!$C$7)-1/(1+General_Model!$C$26/((1.2+0.2*(General_Model!$C$26/A169)+0.35*SQRT(9.80665*(General_Model!$C$4/1000))/A169)*A169))-(A169^2/(2*9.80665*General_Model!$C$7))*((4*(0.3164/((General_Model!$C$14*A169*(General_Model!$C$4/1000)/General_Model!$C$15)^0.25))*General_Model!$C$7/(General_Model!$C$4/1000)+1)+(4*(0.3164/((General_Model!$C$14*A169*(General_Model!$C$4/1000)/General_Model!$C$15)^0.25))*General_Model!$C$7/(General_Model!$C$4/1000)+2)*(General_Model!$C$26/A169))</f>
        <v>5.05281808672811E-2</v>
      </c>
      <c r="C169" s="13">
        <f t="shared" si="2"/>
        <v>0</v>
      </c>
    </row>
    <row r="170" spans="1:3" x14ac:dyDescent="0.25">
      <c r="A170" s="11">
        <v>0.16800000000000001</v>
      </c>
      <c r="B170" s="12">
        <f>(General_Model!$C$6/General_Model!$C$7)-1/(1+General_Model!$C$26/((1.2+0.2*(General_Model!$C$26/A170)+0.35*SQRT(9.80665*(General_Model!$C$4/1000))/A170)*A170))-(A170^2/(2*9.80665*General_Model!$C$7))*((4*(0.3164/((General_Model!$C$14*A170*(General_Model!$C$4/1000)/General_Model!$C$15)^0.25))*General_Model!$C$7/(General_Model!$C$4/1000)+1)+(4*(0.3164/((General_Model!$C$14*A170*(General_Model!$C$4/1000)/General_Model!$C$15)^0.25))*General_Model!$C$7/(General_Model!$C$4/1000)+2)*(General_Model!$C$26/A170))</f>
        <v>4.9750736770012398E-2</v>
      </c>
      <c r="C170" s="13">
        <f t="shared" si="2"/>
        <v>0</v>
      </c>
    </row>
    <row r="171" spans="1:3" x14ac:dyDescent="0.25">
      <c r="A171" s="11">
        <v>0.16900000000000001</v>
      </c>
      <c r="B171" s="12">
        <f>(General_Model!$C$6/General_Model!$C$7)-1/(1+General_Model!$C$26/((1.2+0.2*(General_Model!$C$26/A171)+0.35*SQRT(9.80665*(General_Model!$C$4/1000))/A171)*A171))-(A171^2/(2*9.80665*General_Model!$C$7))*((4*(0.3164/((General_Model!$C$14*A171*(General_Model!$C$4/1000)/General_Model!$C$15)^0.25))*General_Model!$C$7/(General_Model!$C$4/1000)+1)+(4*(0.3164/((General_Model!$C$14*A171*(General_Model!$C$4/1000)/General_Model!$C$15)^0.25))*General_Model!$C$7/(General_Model!$C$4/1000)+2)*(General_Model!$C$26/A171))</f>
        <v>4.8974498427558501E-2</v>
      </c>
      <c r="C171" s="13">
        <f t="shared" si="2"/>
        <v>0</v>
      </c>
    </row>
    <row r="172" spans="1:3" x14ac:dyDescent="0.25">
      <c r="A172" s="11">
        <v>0.17</v>
      </c>
      <c r="B172" s="12">
        <f>(General_Model!$C$6/General_Model!$C$7)-1/(1+General_Model!$C$26/((1.2+0.2*(General_Model!$C$26/A172)+0.35*SQRT(9.80665*(General_Model!$C$4/1000))/A172)*A172))-(A172^2/(2*9.80665*General_Model!$C$7))*((4*(0.3164/((General_Model!$C$14*A172*(General_Model!$C$4/1000)/General_Model!$C$15)^0.25))*General_Model!$C$7/(General_Model!$C$4/1000)+1)+(4*(0.3164/((General_Model!$C$14*A172*(General_Model!$C$4/1000)/General_Model!$C$15)^0.25))*General_Model!$C$7/(General_Model!$C$4/1000)+2)*(General_Model!$C$26/A172))</f>
        <v>4.8199460106480227E-2</v>
      </c>
      <c r="C172" s="13">
        <f t="shared" si="2"/>
        <v>0</v>
      </c>
    </row>
    <row r="173" spans="1:3" x14ac:dyDescent="0.25">
      <c r="A173" s="11">
        <v>0.17100000000000001</v>
      </c>
      <c r="B173" s="12">
        <f>(General_Model!$C$6/General_Model!$C$7)-1/(1+General_Model!$C$26/((1.2+0.2*(General_Model!$C$26/A173)+0.35*SQRT(9.80665*(General_Model!$C$4/1000))/A173)*A173))-(A173^2/(2*9.80665*General_Model!$C$7))*((4*(0.3164/((General_Model!$C$14*A173*(General_Model!$C$4/1000)/General_Model!$C$15)^0.25))*General_Model!$C$7/(General_Model!$C$4/1000)+1)+(4*(0.3164/((General_Model!$C$14*A173*(General_Model!$C$4/1000)/General_Model!$C$15)^0.25))*General_Model!$C$7/(General_Model!$C$4/1000)+2)*(General_Model!$C$26/A173))</f>
        <v>4.7425616106633359E-2</v>
      </c>
      <c r="C173" s="13">
        <f t="shared" si="2"/>
        <v>0</v>
      </c>
    </row>
    <row r="174" spans="1:3" x14ac:dyDescent="0.25">
      <c r="A174" s="11">
        <v>0.17199999999999999</v>
      </c>
      <c r="B174" s="12">
        <f>(General_Model!$C$6/General_Model!$C$7)-1/(1+General_Model!$C$26/((1.2+0.2*(General_Model!$C$26/A174)+0.35*SQRT(9.80665*(General_Model!$C$4/1000))/A174)*A174))-(A174^2/(2*9.80665*General_Model!$C$7))*((4*(0.3164/((General_Model!$C$14*A174*(General_Model!$C$4/1000)/General_Model!$C$15)^0.25))*General_Model!$C$7/(General_Model!$C$4/1000)+1)+(4*(0.3164/((General_Model!$C$14*A174*(General_Model!$C$4/1000)/General_Model!$C$15)^0.25))*General_Model!$C$7/(General_Model!$C$4/1000)+2)*(General_Model!$C$26/A174))</f>
        <v>4.6652960760860382E-2</v>
      </c>
      <c r="C174" s="13">
        <f t="shared" si="2"/>
        <v>0</v>
      </c>
    </row>
    <row r="175" spans="1:3" x14ac:dyDescent="0.25">
      <c r="A175" s="11">
        <v>0.17299999999999999</v>
      </c>
      <c r="B175" s="12">
        <f>(General_Model!$C$6/General_Model!$C$7)-1/(1+General_Model!$C$26/((1.2+0.2*(General_Model!$C$26/A175)+0.35*SQRT(9.80665*(General_Model!$C$4/1000))/A175)*A175))-(A175^2/(2*9.80665*General_Model!$C$7))*((4*(0.3164/((General_Model!$C$14*A175*(General_Model!$C$4/1000)/General_Model!$C$15)^0.25))*General_Model!$C$7/(General_Model!$C$4/1000)+1)+(4*(0.3164/((General_Model!$C$14*A175*(General_Model!$C$4/1000)/General_Model!$C$15)^0.25))*General_Model!$C$7/(General_Model!$C$4/1000)+2)*(General_Model!$C$26/A175))</f>
        <v>4.5881488434685938E-2</v>
      </c>
      <c r="C175" s="13">
        <f t="shared" si="2"/>
        <v>0</v>
      </c>
    </row>
    <row r="176" spans="1:3" x14ac:dyDescent="0.25">
      <c r="A176" s="11">
        <v>0.17399999999999999</v>
      </c>
      <c r="B176" s="12">
        <f>(General_Model!$C$6/General_Model!$C$7)-1/(1+General_Model!$C$26/((1.2+0.2*(General_Model!$C$26/A176)+0.35*SQRT(9.80665*(General_Model!$C$4/1000))/A176)*A176))-(A176^2/(2*9.80665*General_Model!$C$7))*((4*(0.3164/((General_Model!$C$14*A176*(General_Model!$C$4/1000)/General_Model!$C$15)^0.25))*General_Model!$C$7/(General_Model!$C$4/1000)+1)+(4*(0.3164/((General_Model!$C$14*A176*(General_Model!$C$4/1000)/General_Model!$C$15)^0.25))*General_Model!$C$7/(General_Model!$C$4/1000)+2)*(General_Model!$C$26/A176))</f>
        <v>4.5111193526020013E-2</v>
      </c>
      <c r="C176" s="13">
        <f t="shared" si="2"/>
        <v>0</v>
      </c>
    </row>
    <row r="177" spans="1:3" x14ac:dyDescent="0.25">
      <c r="A177" s="11">
        <v>0.17499999999999999</v>
      </c>
      <c r="B177" s="12">
        <f>(General_Model!$C$6/General_Model!$C$7)-1/(1+General_Model!$C$26/((1.2+0.2*(General_Model!$C$26/A177)+0.35*SQRT(9.80665*(General_Model!$C$4/1000))/A177)*A177))-(A177^2/(2*9.80665*General_Model!$C$7))*((4*(0.3164/((General_Model!$C$14*A177*(General_Model!$C$4/1000)/General_Model!$C$15)^0.25))*General_Model!$C$7/(General_Model!$C$4/1000)+1)+(4*(0.3164/((General_Model!$C$14*A177*(General_Model!$C$4/1000)/General_Model!$C$15)^0.25))*General_Model!$C$7/(General_Model!$C$4/1000)+2)*(General_Model!$C$26/A177))</f>
        <v>4.4342070464862972E-2</v>
      </c>
      <c r="C177" s="13">
        <f t="shared" si="2"/>
        <v>0</v>
      </c>
    </row>
    <row r="178" spans="1:3" x14ac:dyDescent="0.25">
      <c r="A178" s="11">
        <v>0.17599999999999999</v>
      </c>
      <c r="B178" s="12">
        <f>(General_Model!$C$6/General_Model!$C$7)-1/(1+General_Model!$C$26/((1.2+0.2*(General_Model!$C$26/A178)+0.35*SQRT(9.80665*(General_Model!$C$4/1000))/A178)*A178))-(A178^2/(2*9.80665*General_Model!$C$7))*((4*(0.3164/((General_Model!$C$14*A178*(General_Model!$C$4/1000)/General_Model!$C$15)^0.25))*General_Model!$C$7/(General_Model!$C$4/1000)+1)+(4*(0.3164/((General_Model!$C$14*A178*(General_Model!$C$4/1000)/General_Model!$C$15)^0.25))*General_Model!$C$7/(General_Model!$C$4/1000)+2)*(General_Model!$C$26/A178))</f>
        <v>4.3574113713016067E-2</v>
      </c>
      <c r="C178" s="13">
        <f t="shared" si="2"/>
        <v>0</v>
      </c>
    </row>
    <row r="179" spans="1:3" x14ac:dyDescent="0.25">
      <c r="A179" s="11">
        <v>0.17699999999999999</v>
      </c>
      <c r="B179" s="12">
        <f>(General_Model!$C$6/General_Model!$C$7)-1/(1+General_Model!$C$26/((1.2+0.2*(General_Model!$C$26/A179)+0.35*SQRT(9.80665*(General_Model!$C$4/1000))/A179)*A179))-(A179^2/(2*9.80665*General_Model!$C$7))*((4*(0.3164/((General_Model!$C$14*A179*(General_Model!$C$4/1000)/General_Model!$C$15)^0.25))*General_Model!$C$7/(General_Model!$C$4/1000)+1)+(4*(0.3164/((General_Model!$C$14*A179*(General_Model!$C$4/1000)/General_Model!$C$15)^0.25))*General_Model!$C$7/(General_Model!$C$4/1000)+2)*(General_Model!$C$26/A179))</f>
        <v>4.2807317763798064E-2</v>
      </c>
      <c r="C179" s="13">
        <f t="shared" si="2"/>
        <v>0</v>
      </c>
    </row>
    <row r="180" spans="1:3" x14ac:dyDescent="0.25">
      <c r="A180" s="11">
        <v>0.17799999999999999</v>
      </c>
      <c r="B180" s="12">
        <f>(General_Model!$C$6/General_Model!$C$7)-1/(1+General_Model!$C$26/((1.2+0.2*(General_Model!$C$26/A180)+0.35*SQRT(9.80665*(General_Model!$C$4/1000))/A180)*A180))-(A180^2/(2*9.80665*General_Model!$C$7))*((4*(0.3164/((General_Model!$C$14*A180*(General_Model!$C$4/1000)/General_Model!$C$15)^0.25))*General_Model!$C$7/(General_Model!$C$4/1000)+1)+(4*(0.3164/((General_Model!$C$14*A180*(General_Model!$C$4/1000)/General_Model!$C$15)^0.25))*General_Model!$C$7/(General_Model!$C$4/1000)+2)*(General_Model!$C$26/A180))</f>
        <v>4.2041677141764135E-2</v>
      </c>
      <c r="C180" s="13">
        <f t="shared" si="2"/>
        <v>0</v>
      </c>
    </row>
    <row r="181" spans="1:3" x14ac:dyDescent="0.25">
      <c r="A181" s="11">
        <v>0.17899999999999999</v>
      </c>
      <c r="B181" s="12">
        <f>(General_Model!$C$6/General_Model!$C$7)-1/(1+General_Model!$C$26/((1.2+0.2*(General_Model!$C$26/A181)+0.35*SQRT(9.80665*(General_Model!$C$4/1000))/A181)*A181))-(A181^2/(2*9.80665*General_Model!$C$7))*((4*(0.3164/((General_Model!$C$14*A181*(General_Model!$C$4/1000)/General_Model!$C$15)^0.25))*General_Model!$C$7/(General_Model!$C$4/1000)+1)+(4*(0.3164/((General_Model!$C$14*A181*(General_Model!$C$4/1000)/General_Model!$C$15)^0.25))*General_Model!$C$7/(General_Model!$C$4/1000)+2)*(General_Model!$C$26/A181))</f>
        <v>4.1277186402429861E-2</v>
      </c>
      <c r="C181" s="13">
        <f t="shared" si="2"/>
        <v>0</v>
      </c>
    </row>
    <row r="182" spans="1:3" x14ac:dyDescent="0.25">
      <c r="A182" s="11">
        <v>0.18</v>
      </c>
      <c r="B182" s="12">
        <f>(General_Model!$C$6/General_Model!$C$7)-1/(1+General_Model!$C$26/((1.2+0.2*(General_Model!$C$26/A182)+0.35*SQRT(9.80665*(General_Model!$C$4/1000))/A182)*A182))-(A182^2/(2*9.80665*General_Model!$C$7))*((4*(0.3164/((General_Model!$C$14*A182*(General_Model!$C$4/1000)/General_Model!$C$15)^0.25))*General_Model!$C$7/(General_Model!$C$4/1000)+1)+(4*(0.3164/((General_Model!$C$14*A182*(General_Model!$C$4/1000)/General_Model!$C$15)^0.25))*General_Model!$C$7/(General_Model!$C$4/1000)+2)*(General_Model!$C$26/A182))</f>
        <v>4.0513840131999775E-2</v>
      </c>
      <c r="C182" s="13">
        <f t="shared" si="2"/>
        <v>0</v>
      </c>
    </row>
    <row r="183" spans="1:3" x14ac:dyDescent="0.25">
      <c r="A183" s="11">
        <v>0.18099999999999999</v>
      </c>
      <c r="B183" s="12">
        <f>(General_Model!$C$6/General_Model!$C$7)-1/(1+General_Model!$C$26/((1.2+0.2*(General_Model!$C$26/A183)+0.35*SQRT(9.80665*(General_Model!$C$4/1000))/A183)*A183))-(A183^2/(2*9.80665*General_Model!$C$7))*((4*(0.3164/((General_Model!$C$14*A183*(General_Model!$C$4/1000)/General_Model!$C$15)^0.25))*General_Model!$C$7/(General_Model!$C$4/1000)+1)+(4*(0.3164/((General_Model!$C$14*A183*(General_Model!$C$4/1000)/General_Model!$C$15)^0.25))*General_Model!$C$7/(General_Model!$C$4/1000)+2)*(General_Model!$C$26/A183))</f>
        <v>3.975163294710006E-2</v>
      </c>
      <c r="C183" s="13">
        <f t="shared" si="2"/>
        <v>0</v>
      </c>
    </row>
    <row r="184" spans="1:3" x14ac:dyDescent="0.25">
      <c r="A184" s="11">
        <v>0.182</v>
      </c>
      <c r="B184" s="12">
        <f>(General_Model!$C$6/General_Model!$C$7)-1/(1+General_Model!$C$26/((1.2+0.2*(General_Model!$C$26/A184)+0.35*SQRT(9.80665*(General_Model!$C$4/1000))/A184)*A184))-(A184^2/(2*9.80665*General_Model!$C$7))*((4*(0.3164/((General_Model!$C$14*A184*(General_Model!$C$4/1000)/General_Model!$C$15)^0.25))*General_Model!$C$7/(General_Model!$C$4/1000)+1)+(4*(0.3164/((General_Model!$C$14*A184*(General_Model!$C$4/1000)/General_Model!$C$15)^0.25))*General_Model!$C$7/(General_Model!$C$4/1000)+2)*(General_Model!$C$26/A184))</f>
        <v>3.8990559494513848E-2</v>
      </c>
      <c r="C184" s="13">
        <f t="shared" si="2"/>
        <v>0</v>
      </c>
    </row>
    <row r="185" spans="1:3" x14ac:dyDescent="0.25">
      <c r="A185" s="11">
        <v>0.183</v>
      </c>
      <c r="B185" s="12">
        <f>(General_Model!$C$6/General_Model!$C$7)-1/(1+General_Model!$C$26/((1.2+0.2*(General_Model!$C$26/A185)+0.35*SQRT(9.80665*(General_Model!$C$4/1000))/A185)*A185))-(A185^2/(2*9.80665*General_Model!$C$7))*((4*(0.3164/((General_Model!$C$14*A185*(General_Model!$C$4/1000)/General_Model!$C$15)^0.25))*General_Model!$C$7/(General_Model!$C$4/1000)+1)+(4*(0.3164/((General_Model!$C$14*A185*(General_Model!$C$4/1000)/General_Model!$C$15)^0.25))*General_Model!$C$7/(General_Model!$C$4/1000)+2)*(General_Model!$C$26/A185))</f>
        <v>3.82306144509224E-2</v>
      </c>
      <c r="C185" s="13">
        <f t="shared" si="2"/>
        <v>0</v>
      </c>
    </row>
    <row r="186" spans="1:3" x14ac:dyDescent="0.25">
      <c r="A186" s="11">
        <v>0.184</v>
      </c>
      <c r="B186" s="12">
        <f>(General_Model!$C$6/General_Model!$C$7)-1/(1+General_Model!$C$26/((1.2+0.2*(General_Model!$C$26/A186)+0.35*SQRT(9.80665*(General_Model!$C$4/1000))/A186)*A186))-(A186^2/(2*9.80665*General_Model!$C$7))*((4*(0.3164/((General_Model!$C$14*A186*(General_Model!$C$4/1000)/General_Model!$C$15)^0.25))*General_Model!$C$7/(General_Model!$C$4/1000)+1)+(4*(0.3164/((General_Model!$C$14*A186*(General_Model!$C$4/1000)/General_Model!$C$15)^0.25))*General_Model!$C$7/(General_Model!$C$4/1000)+2)*(General_Model!$C$26/A186))</f>
        <v>3.7471792522648678E-2</v>
      </c>
      <c r="C186" s="13">
        <f t="shared" si="2"/>
        <v>0</v>
      </c>
    </row>
    <row r="187" spans="1:3" x14ac:dyDescent="0.25">
      <c r="A187" s="11">
        <v>0.185</v>
      </c>
      <c r="B187" s="12">
        <f>(General_Model!$C$6/General_Model!$C$7)-1/(1+General_Model!$C$26/((1.2+0.2*(General_Model!$C$26/A187)+0.35*SQRT(9.80665*(General_Model!$C$4/1000))/A187)*A187))-(A187^2/(2*9.80665*General_Model!$C$7))*((4*(0.3164/((General_Model!$C$14*A187*(General_Model!$C$4/1000)/General_Model!$C$15)^0.25))*General_Model!$C$7/(General_Model!$C$4/1000)+1)+(4*(0.3164/((General_Model!$C$14*A187*(General_Model!$C$4/1000)/General_Model!$C$15)^0.25))*General_Model!$C$7/(General_Model!$C$4/1000)+2)*(General_Model!$C$26/A187))</f>
        <v>3.6714088445405267E-2</v>
      </c>
      <c r="C187" s="13">
        <f t="shared" si="2"/>
        <v>0</v>
      </c>
    </row>
    <row r="188" spans="1:3" x14ac:dyDescent="0.25">
      <c r="A188" s="11">
        <v>0.186</v>
      </c>
      <c r="B188" s="12">
        <f>(General_Model!$C$6/General_Model!$C$7)-1/(1+General_Model!$C$26/((1.2+0.2*(General_Model!$C$26/A188)+0.35*SQRT(9.80665*(General_Model!$C$4/1000))/A188)*A188))-(A188^2/(2*9.80665*General_Model!$C$7))*((4*(0.3164/((General_Model!$C$14*A188*(General_Model!$C$4/1000)/General_Model!$C$15)^0.25))*General_Model!$C$7/(General_Model!$C$4/1000)+1)+(4*(0.3164/((General_Model!$C$14*A188*(General_Model!$C$4/1000)/General_Model!$C$15)^0.25))*General_Model!$C$7/(General_Model!$C$4/1000)+2)*(General_Model!$C$26/A188))</f>
        <v>3.5957496984045718E-2</v>
      </c>
      <c r="C188" s="13">
        <f t="shared" si="2"/>
        <v>0</v>
      </c>
    </row>
    <row r="189" spans="1:3" x14ac:dyDescent="0.25">
      <c r="A189" s="11">
        <v>0.187</v>
      </c>
      <c r="B189" s="12">
        <f>(General_Model!$C$6/General_Model!$C$7)-1/(1+General_Model!$C$26/((1.2+0.2*(General_Model!$C$26/A189)+0.35*SQRT(9.80665*(General_Model!$C$4/1000))/A189)*A189))-(A189^2/(2*9.80665*General_Model!$C$7))*((4*(0.3164/((General_Model!$C$14*A189*(General_Model!$C$4/1000)/General_Model!$C$15)^0.25))*General_Model!$C$7/(General_Model!$C$4/1000)+1)+(4*(0.3164/((General_Model!$C$14*A189*(General_Model!$C$4/1000)/General_Model!$C$15)^0.25))*General_Model!$C$7/(General_Model!$C$4/1000)+2)*(General_Model!$C$26/A189))</f>
        <v>3.5202012932319102E-2</v>
      </c>
      <c r="C189" s="13">
        <f t="shared" si="2"/>
        <v>0</v>
      </c>
    </row>
    <row r="190" spans="1:3" x14ac:dyDescent="0.25">
      <c r="A190" s="11">
        <v>0.188</v>
      </c>
      <c r="B190" s="12">
        <f>(General_Model!$C$6/General_Model!$C$7)-1/(1+General_Model!$C$26/((1.2+0.2*(General_Model!$C$26/A190)+0.35*SQRT(9.80665*(General_Model!$C$4/1000))/A190)*A190))-(A190^2/(2*9.80665*General_Model!$C$7))*((4*(0.3164/((General_Model!$C$14*A190*(General_Model!$C$4/1000)/General_Model!$C$15)^0.25))*General_Model!$C$7/(General_Model!$C$4/1000)+1)+(4*(0.3164/((General_Model!$C$14*A190*(General_Model!$C$4/1000)/General_Model!$C$15)^0.25))*General_Model!$C$7/(General_Model!$C$4/1000)+2)*(General_Model!$C$26/A190))</f>
        <v>3.4447631112628982E-2</v>
      </c>
      <c r="C190" s="13">
        <f t="shared" si="2"/>
        <v>0</v>
      </c>
    </row>
    <row r="191" spans="1:3" x14ac:dyDescent="0.25">
      <c r="A191" s="11">
        <v>0.189</v>
      </c>
      <c r="B191" s="12">
        <f>(General_Model!$C$6/General_Model!$C$7)-1/(1+General_Model!$C$26/((1.2+0.2*(General_Model!$C$26/A191)+0.35*SQRT(9.80665*(General_Model!$C$4/1000))/A191)*A191))-(A191^2/(2*9.80665*General_Model!$C$7))*((4*(0.3164/((General_Model!$C$14*A191*(General_Model!$C$4/1000)/General_Model!$C$15)^0.25))*General_Model!$C$7/(General_Model!$C$4/1000)+1)+(4*(0.3164/((General_Model!$C$14*A191*(General_Model!$C$4/1000)/General_Model!$C$15)^0.25))*General_Model!$C$7/(General_Model!$C$4/1000)+2)*(General_Model!$C$26/A191))</f>
        <v>3.3694346375794784E-2</v>
      </c>
      <c r="C191" s="13">
        <f t="shared" si="2"/>
        <v>0</v>
      </c>
    </row>
    <row r="192" spans="1:3" x14ac:dyDescent="0.25">
      <c r="A192" s="11">
        <v>0.19</v>
      </c>
      <c r="B192" s="12">
        <f>(General_Model!$C$6/General_Model!$C$7)-1/(1+General_Model!$C$26/((1.2+0.2*(General_Model!$C$26/A192)+0.35*SQRT(9.80665*(General_Model!$C$4/1000))/A192)*A192))-(A192^2/(2*9.80665*General_Model!$C$7))*((4*(0.3164/((General_Model!$C$14*A192*(General_Model!$C$4/1000)/General_Model!$C$15)^0.25))*General_Model!$C$7/(General_Model!$C$4/1000)+1)+(4*(0.3164/((General_Model!$C$14*A192*(General_Model!$C$4/1000)/General_Model!$C$15)^0.25))*General_Model!$C$7/(General_Model!$C$4/1000)+2)*(General_Model!$C$26/A192))</f>
        <v>3.2942153600816794E-2</v>
      </c>
      <c r="C192" s="13">
        <f t="shared" si="2"/>
        <v>0</v>
      </c>
    </row>
    <row r="193" spans="1:3" x14ac:dyDescent="0.25">
      <c r="A193" s="11">
        <v>0.191</v>
      </c>
      <c r="B193" s="12">
        <f>(General_Model!$C$6/General_Model!$C$7)-1/(1+General_Model!$C$26/((1.2+0.2*(General_Model!$C$26/A193)+0.35*SQRT(9.80665*(General_Model!$C$4/1000))/A193)*A193))-(A193^2/(2*9.80665*General_Model!$C$7))*((4*(0.3164/((General_Model!$C$14*A193*(General_Model!$C$4/1000)/General_Model!$C$15)^0.25))*General_Model!$C$7/(General_Model!$C$4/1000)+1)+(4*(0.3164/((General_Model!$C$14*A193*(General_Model!$C$4/1000)/General_Model!$C$15)^0.25))*General_Model!$C$7/(General_Model!$C$4/1000)+2)*(General_Model!$C$26/A193))</f>
        <v>3.2191047694644398E-2</v>
      </c>
      <c r="C193" s="13">
        <f t="shared" si="2"/>
        <v>0</v>
      </c>
    </row>
    <row r="194" spans="1:3" x14ac:dyDescent="0.25">
      <c r="A194" s="11">
        <v>0.192</v>
      </c>
      <c r="B194" s="12">
        <f>(General_Model!$C$6/General_Model!$C$7)-1/(1+General_Model!$C$26/((1.2+0.2*(General_Model!$C$26/A194)+0.35*SQRT(9.80665*(General_Model!$C$4/1000))/A194)*A194))-(A194^2/(2*9.80665*General_Model!$C$7))*((4*(0.3164/((General_Model!$C$14*A194*(General_Model!$C$4/1000)/General_Model!$C$15)^0.25))*General_Model!$C$7/(General_Model!$C$4/1000)+1)+(4*(0.3164/((General_Model!$C$14*A194*(General_Model!$C$4/1000)/General_Model!$C$15)^0.25))*General_Model!$C$7/(General_Model!$C$4/1000)+2)*(General_Model!$C$26/A194))</f>
        <v>3.1441023591948107E-2</v>
      </c>
      <c r="C194" s="13">
        <f t="shared" si="2"/>
        <v>0</v>
      </c>
    </row>
    <row r="195" spans="1:3" x14ac:dyDescent="0.25">
      <c r="A195" s="11">
        <v>0.193</v>
      </c>
      <c r="B195" s="12">
        <f>(General_Model!$C$6/General_Model!$C$7)-1/(1+General_Model!$C$26/((1.2+0.2*(General_Model!$C$26/A195)+0.35*SQRT(9.80665*(General_Model!$C$4/1000))/A195)*A195))-(A195^2/(2*9.80665*General_Model!$C$7))*((4*(0.3164/((General_Model!$C$14*A195*(General_Model!$C$4/1000)/General_Model!$C$15)^0.25))*General_Model!$C$7/(General_Model!$C$4/1000)+1)+(4*(0.3164/((General_Model!$C$14*A195*(General_Model!$C$4/1000)/General_Model!$C$15)^0.25))*General_Model!$C$7/(General_Model!$C$4/1000)+2)*(General_Model!$C$26/A195))</f>
        <v>3.0692076254893716E-2</v>
      </c>
      <c r="C195" s="13">
        <f t="shared" ref="C195:C258" si="3">IF(B195*B196&lt;=0,1,0)</f>
        <v>0</v>
      </c>
    </row>
    <row r="196" spans="1:3" x14ac:dyDescent="0.25">
      <c r="A196" s="11">
        <v>0.19400000000000001</v>
      </c>
      <c r="B196" s="12">
        <f>(General_Model!$C$6/General_Model!$C$7)-1/(1+General_Model!$C$26/((1.2+0.2*(General_Model!$C$26/A196)+0.35*SQRT(9.80665*(General_Model!$C$4/1000))/A196)*A196))-(A196^2/(2*9.80665*General_Model!$C$7))*((4*(0.3164/((General_Model!$C$14*A196*(General_Model!$C$4/1000)/General_Model!$C$15)^0.25))*General_Model!$C$7/(General_Model!$C$4/1000)+1)+(4*(0.3164/((General_Model!$C$14*A196*(General_Model!$C$4/1000)/General_Model!$C$15)^0.25))*General_Model!$C$7/(General_Model!$C$4/1000)+2)*(General_Model!$C$26/A196))</f>
        <v>2.994420067291937E-2</v>
      </c>
      <c r="C196" s="13">
        <f t="shared" si="3"/>
        <v>0</v>
      </c>
    </row>
    <row r="197" spans="1:3" x14ac:dyDescent="0.25">
      <c r="A197" s="11">
        <v>0.19500000000000001</v>
      </c>
      <c r="B197" s="12">
        <f>(General_Model!$C$6/General_Model!$C$7)-1/(1+General_Model!$C$26/((1.2+0.2*(General_Model!$C$26/A197)+0.35*SQRT(9.80665*(General_Model!$C$4/1000))/A197)*A197))-(A197^2/(2*9.80665*General_Model!$C$7))*((4*(0.3164/((General_Model!$C$14*A197*(General_Model!$C$4/1000)/General_Model!$C$15)^0.25))*General_Model!$C$7/(General_Model!$C$4/1000)+1)+(4*(0.3164/((General_Model!$C$14*A197*(General_Model!$C$4/1000)/General_Model!$C$15)^0.25))*General_Model!$C$7/(General_Model!$C$4/1000)+2)*(General_Model!$C$26/A197))</f>
        <v>2.9197391862516769E-2</v>
      </c>
      <c r="C197" s="13">
        <f t="shared" si="3"/>
        <v>0</v>
      </c>
    </row>
    <row r="198" spans="1:3" x14ac:dyDescent="0.25">
      <c r="A198" s="11">
        <v>0.19600000000000001</v>
      </c>
      <c r="B198" s="12">
        <f>(General_Model!$C$6/General_Model!$C$7)-1/(1+General_Model!$C$26/((1.2+0.2*(General_Model!$C$26/A198)+0.35*SQRT(9.80665*(General_Model!$C$4/1000))/A198)*A198))-(A198^2/(2*9.80665*General_Model!$C$7))*((4*(0.3164/((General_Model!$C$14*A198*(General_Model!$C$4/1000)/General_Model!$C$15)^0.25))*General_Model!$C$7/(General_Model!$C$4/1000)+1)+(4*(0.3164/((General_Model!$C$14*A198*(General_Model!$C$4/1000)/General_Model!$C$15)^0.25))*General_Model!$C$7/(General_Model!$C$4/1000)+2)*(General_Model!$C$26/A198))</f>
        <v>2.8451644867014542E-2</v>
      </c>
      <c r="C198" s="13">
        <f t="shared" si="3"/>
        <v>0</v>
      </c>
    </row>
    <row r="199" spans="1:3" x14ac:dyDescent="0.25">
      <c r="A199" s="11">
        <v>0.19700000000000001</v>
      </c>
      <c r="B199" s="12">
        <f>(General_Model!$C$6/General_Model!$C$7)-1/(1+General_Model!$C$26/((1.2+0.2*(General_Model!$C$26/A199)+0.35*SQRT(9.80665*(General_Model!$C$4/1000))/A199)*A199))-(A199^2/(2*9.80665*General_Model!$C$7))*((4*(0.3164/((General_Model!$C$14*A199*(General_Model!$C$4/1000)/General_Model!$C$15)^0.25))*General_Model!$C$7/(General_Model!$C$4/1000)+1)+(4*(0.3164/((General_Model!$C$14*A199*(General_Model!$C$4/1000)/General_Model!$C$15)^0.25))*General_Model!$C$7/(General_Model!$C$4/1000)+2)*(General_Model!$C$26/A199))</f>
        <v>2.7706954756364248E-2</v>
      </c>
      <c r="C199" s="13">
        <f t="shared" si="3"/>
        <v>0</v>
      </c>
    </row>
    <row r="200" spans="1:3" x14ac:dyDescent="0.25">
      <c r="A200" s="11">
        <v>0.19800000000000001</v>
      </c>
      <c r="B200" s="12">
        <f>(General_Model!$C$6/General_Model!$C$7)-1/(1+General_Model!$C$26/((1.2+0.2*(General_Model!$C$26/A200)+0.35*SQRT(9.80665*(General_Model!$C$4/1000))/A200)*A200))-(A200^2/(2*9.80665*General_Model!$C$7))*((4*(0.3164/((General_Model!$C$14*A200*(General_Model!$C$4/1000)/General_Model!$C$15)^0.25))*General_Model!$C$7/(General_Model!$C$4/1000)+1)+(4*(0.3164/((General_Model!$C$14*A200*(General_Model!$C$4/1000)/General_Model!$C$15)^0.25))*General_Model!$C$7/(General_Model!$C$4/1000)+2)*(General_Model!$C$26/A200))</f>
        <v>2.6963316626929371E-2</v>
      </c>
      <c r="C200" s="13">
        <f t="shared" si="3"/>
        <v>0</v>
      </c>
    </row>
    <row r="201" spans="1:3" x14ac:dyDescent="0.25">
      <c r="A201" s="11">
        <v>0.19900000000000001</v>
      </c>
      <c r="B201" s="12">
        <f>(General_Model!$C$6/General_Model!$C$7)-1/(1+General_Model!$C$26/((1.2+0.2*(General_Model!$C$26/A201)+0.35*SQRT(9.80665*(General_Model!$C$4/1000))/A201)*A201))-(A201^2/(2*9.80665*General_Model!$C$7))*((4*(0.3164/((General_Model!$C$14*A201*(General_Model!$C$4/1000)/General_Model!$C$15)^0.25))*General_Model!$C$7/(General_Model!$C$4/1000)+1)+(4*(0.3164/((General_Model!$C$14*A201*(General_Model!$C$4/1000)/General_Model!$C$15)^0.25))*General_Model!$C$7/(General_Model!$C$4/1000)+2)*(General_Model!$C$26/A201))</f>
        <v>2.622072560127716E-2</v>
      </c>
      <c r="C201" s="13">
        <f t="shared" si="3"/>
        <v>0</v>
      </c>
    </row>
    <row r="202" spans="1:3" x14ac:dyDescent="0.25">
      <c r="A202" s="11">
        <v>0.2</v>
      </c>
      <c r="B202" s="12">
        <f>(General_Model!$C$6/General_Model!$C$7)-1/(1+General_Model!$C$26/((1.2+0.2*(General_Model!$C$26/A202)+0.35*SQRT(9.80665*(General_Model!$C$4/1000))/A202)*A202))-(A202^2/(2*9.80665*General_Model!$C$7))*((4*(0.3164/((General_Model!$C$14*A202*(General_Model!$C$4/1000)/General_Model!$C$15)^0.25))*General_Model!$C$7/(General_Model!$C$4/1000)+1)+(4*(0.3164/((General_Model!$C$14*A202*(General_Model!$C$4/1000)/General_Model!$C$15)^0.25))*General_Model!$C$7/(General_Model!$C$4/1000)+2)*(General_Model!$C$26/A202))</f>
        <v>2.5479176827973328E-2</v>
      </c>
      <c r="C202" s="13">
        <f t="shared" si="3"/>
        <v>0</v>
      </c>
    </row>
    <row r="203" spans="1:3" x14ac:dyDescent="0.25">
      <c r="A203" s="11">
        <v>0.20100000000000001</v>
      </c>
      <c r="B203" s="12">
        <f>(General_Model!$C$6/General_Model!$C$7)-1/(1+General_Model!$C$26/((1.2+0.2*(General_Model!$C$26/A203)+0.35*SQRT(9.80665*(General_Model!$C$4/1000))/A203)*A203))-(A203^2/(2*9.80665*General_Model!$C$7))*((4*(0.3164/((General_Model!$C$14*A203*(General_Model!$C$4/1000)/General_Model!$C$15)^0.25))*General_Model!$C$7/(General_Model!$C$4/1000)+1)+(4*(0.3164/((General_Model!$C$14*A203*(General_Model!$C$4/1000)/General_Model!$C$15)^0.25))*General_Model!$C$7/(General_Model!$C$4/1000)+2)*(General_Model!$C$26/A203))</f>
        <v>2.4738665481378479E-2</v>
      </c>
      <c r="C203" s="13">
        <f t="shared" si="3"/>
        <v>0</v>
      </c>
    </row>
    <row r="204" spans="1:3" x14ac:dyDescent="0.25">
      <c r="A204" s="11">
        <v>0.20200000000000001</v>
      </c>
      <c r="B204" s="12">
        <f>(General_Model!$C$6/General_Model!$C$7)-1/(1+General_Model!$C$26/((1.2+0.2*(General_Model!$C$26/A204)+0.35*SQRT(9.80665*(General_Model!$C$4/1000))/A204)*A204))-(A204^2/(2*9.80665*General_Model!$C$7))*((4*(0.3164/((General_Model!$C$14*A204*(General_Model!$C$4/1000)/General_Model!$C$15)^0.25))*General_Model!$C$7/(General_Model!$C$4/1000)+1)+(4*(0.3164/((General_Model!$C$14*A204*(General_Model!$C$4/1000)/General_Model!$C$15)^0.25))*General_Model!$C$7/(General_Model!$C$4/1000)+2)*(General_Model!$C$26/A204))</f>
        <v>2.3999186761447973E-2</v>
      </c>
      <c r="C204" s="13">
        <f t="shared" si="3"/>
        <v>0</v>
      </c>
    </row>
    <row r="205" spans="1:3" x14ac:dyDescent="0.25">
      <c r="A205" s="11">
        <v>0.20300000000000001</v>
      </c>
      <c r="B205" s="12">
        <f>(General_Model!$C$6/General_Model!$C$7)-1/(1+General_Model!$C$26/((1.2+0.2*(General_Model!$C$26/A205)+0.35*SQRT(9.80665*(General_Model!$C$4/1000))/A205)*A205))-(A205^2/(2*9.80665*General_Model!$C$7))*((4*(0.3164/((General_Model!$C$14*A205*(General_Model!$C$4/1000)/General_Model!$C$15)^0.25))*General_Model!$C$7/(General_Model!$C$4/1000)+1)+(4*(0.3164/((General_Model!$C$14*A205*(General_Model!$C$4/1000)/General_Model!$C$15)^0.25))*General_Model!$C$7/(General_Model!$C$4/1000)+2)*(General_Model!$C$26/A205))</f>
        <v>2.3260735893534307E-2</v>
      </c>
      <c r="C205" s="13">
        <f t="shared" si="3"/>
        <v>0</v>
      </c>
    </row>
    <row r="206" spans="1:3" x14ac:dyDescent="0.25">
      <c r="A206" s="11">
        <v>0.20399999999999999</v>
      </c>
      <c r="B206" s="12">
        <f>(General_Model!$C$6/General_Model!$C$7)-1/(1+General_Model!$C$26/((1.2+0.2*(General_Model!$C$26/A206)+0.35*SQRT(9.80665*(General_Model!$C$4/1000))/A206)*A206))-(A206^2/(2*9.80665*General_Model!$C$7))*((4*(0.3164/((General_Model!$C$14*A206*(General_Model!$C$4/1000)/General_Model!$C$15)^0.25))*General_Model!$C$7/(General_Model!$C$4/1000)+1)+(4*(0.3164/((General_Model!$C$14*A206*(General_Model!$C$4/1000)/General_Model!$C$15)^0.25))*General_Model!$C$7/(General_Model!$C$4/1000)+2)*(General_Model!$C$26/A206))</f>
        <v>2.2523308128190873E-2</v>
      </c>
      <c r="C206" s="13">
        <f t="shared" si="3"/>
        <v>0</v>
      </c>
    </row>
    <row r="207" spans="1:3" x14ac:dyDescent="0.25">
      <c r="A207" s="11">
        <v>0.20499999999999999</v>
      </c>
      <c r="B207" s="12">
        <f>(General_Model!$C$6/General_Model!$C$7)-1/(1+General_Model!$C$26/((1.2+0.2*(General_Model!$C$26/A207)+0.35*SQRT(9.80665*(General_Model!$C$4/1000))/A207)*A207))-(A207^2/(2*9.80665*General_Model!$C$7))*((4*(0.3164/((General_Model!$C$14*A207*(General_Model!$C$4/1000)/General_Model!$C$15)^0.25))*General_Model!$C$7/(General_Model!$C$4/1000)+1)+(4*(0.3164/((General_Model!$C$14*A207*(General_Model!$C$4/1000)/General_Model!$C$15)^0.25))*General_Model!$C$7/(General_Model!$C$4/1000)+2)*(General_Model!$C$26/A207))</f>
        <v>2.1786898740979652E-2</v>
      </c>
      <c r="C207" s="13">
        <f t="shared" si="3"/>
        <v>0</v>
      </c>
    </row>
    <row r="208" spans="1:3" x14ac:dyDescent="0.25">
      <c r="A208" s="11">
        <v>0.20599999999999999</v>
      </c>
      <c r="B208" s="12">
        <f>(General_Model!$C$6/General_Model!$C$7)-1/(1+General_Model!$C$26/((1.2+0.2*(General_Model!$C$26/A208)+0.35*SQRT(9.80665*(General_Model!$C$4/1000))/A208)*A208))-(A208^2/(2*9.80665*General_Model!$C$7))*((4*(0.3164/((General_Model!$C$14*A208*(General_Model!$C$4/1000)/General_Model!$C$15)^0.25))*General_Model!$C$7/(General_Model!$C$4/1000)+1)+(4*(0.3164/((General_Model!$C$14*A208*(General_Model!$C$4/1000)/General_Model!$C$15)^0.25))*General_Model!$C$7/(General_Model!$C$4/1000)+2)*(General_Model!$C$26/A208))</f>
        <v>2.1051503032280115E-2</v>
      </c>
      <c r="C208" s="13">
        <f t="shared" si="3"/>
        <v>0</v>
      </c>
    </row>
    <row r="209" spans="1:3" x14ac:dyDescent="0.25">
      <c r="A209" s="11">
        <v>0.20699999999999999</v>
      </c>
      <c r="B209" s="12">
        <f>(General_Model!$C$6/General_Model!$C$7)-1/(1+General_Model!$C$26/((1.2+0.2*(General_Model!$C$26/A209)+0.35*SQRT(9.80665*(General_Model!$C$4/1000))/A209)*A209))-(A209^2/(2*9.80665*General_Model!$C$7))*((4*(0.3164/((General_Model!$C$14*A209*(General_Model!$C$4/1000)/General_Model!$C$15)^0.25))*General_Model!$C$7/(General_Model!$C$4/1000)+1)+(4*(0.3164/((General_Model!$C$14*A209*(General_Model!$C$4/1000)/General_Model!$C$15)^0.25))*General_Model!$C$7/(General_Model!$C$4/1000)+2)*(General_Model!$C$26/A209))</f>
        <v>2.031711632710069E-2</v>
      </c>
      <c r="C209" s="13">
        <f t="shared" si="3"/>
        <v>0</v>
      </c>
    </row>
    <row r="210" spans="1:3" x14ac:dyDescent="0.25">
      <c r="A210" s="11">
        <v>0.20799999999999999</v>
      </c>
      <c r="B210" s="12">
        <f>(General_Model!$C$6/General_Model!$C$7)-1/(1+General_Model!$C$26/((1.2+0.2*(General_Model!$C$26/A210)+0.35*SQRT(9.80665*(General_Model!$C$4/1000))/A210)*A210))-(A210^2/(2*9.80665*General_Model!$C$7))*((4*(0.3164/((General_Model!$C$14*A210*(General_Model!$C$4/1000)/General_Model!$C$15)^0.25))*General_Model!$C$7/(General_Model!$C$4/1000)+1)+(4*(0.3164/((General_Model!$C$14*A210*(General_Model!$C$4/1000)/General_Model!$C$15)^0.25))*General_Model!$C$7/(General_Model!$C$4/1000)+2)*(General_Model!$C$26/A210))</f>
        <v>1.9583733974892693E-2</v>
      </c>
      <c r="C210" s="13">
        <f t="shared" si="3"/>
        <v>0</v>
      </c>
    </row>
    <row r="211" spans="1:3" x14ac:dyDescent="0.25">
      <c r="A211" s="11">
        <v>0.20899999999999999</v>
      </c>
      <c r="B211" s="12">
        <f>(General_Model!$C$6/General_Model!$C$7)-1/(1+General_Model!$C$26/((1.2+0.2*(General_Model!$C$26/A211)+0.35*SQRT(9.80665*(General_Model!$C$4/1000))/A211)*A211))-(A211^2/(2*9.80665*General_Model!$C$7))*((4*(0.3164/((General_Model!$C$14*A211*(General_Model!$C$4/1000)/General_Model!$C$15)^0.25))*General_Model!$C$7/(General_Model!$C$4/1000)+1)+(4*(0.3164/((General_Model!$C$14*A211*(General_Model!$C$4/1000)/General_Model!$C$15)^0.25))*General_Model!$C$7/(General_Model!$C$4/1000)+2)*(General_Model!$C$26/A211))</f>
        <v>1.8851351349366552E-2</v>
      </c>
      <c r="C211" s="13">
        <f t="shared" si="3"/>
        <v>0</v>
      </c>
    </row>
    <row r="212" spans="1:3" x14ac:dyDescent="0.25">
      <c r="A212" s="11">
        <v>0.21</v>
      </c>
      <c r="B212" s="12">
        <f>(General_Model!$C$6/General_Model!$C$7)-1/(1+General_Model!$C$26/((1.2+0.2*(General_Model!$C$26/A212)+0.35*SQRT(9.80665*(General_Model!$C$4/1000))/A212)*A212))-(A212^2/(2*9.80665*General_Model!$C$7))*((4*(0.3164/((General_Model!$C$14*A212*(General_Model!$C$4/1000)/General_Model!$C$15)^0.25))*General_Model!$C$7/(General_Model!$C$4/1000)+1)+(4*(0.3164/((General_Model!$C$14*A212*(General_Model!$C$4/1000)/General_Model!$C$15)^0.25))*General_Model!$C$7/(General_Model!$C$4/1000)+2)*(General_Model!$C$26/A212))</f>
        <v>1.81199638483103E-2</v>
      </c>
      <c r="C212" s="13">
        <f t="shared" si="3"/>
        <v>0</v>
      </c>
    </row>
    <row r="213" spans="1:3" x14ac:dyDescent="0.25">
      <c r="A213" s="11">
        <v>0.21099999999999999</v>
      </c>
      <c r="B213" s="12">
        <f>(General_Model!$C$6/General_Model!$C$7)-1/(1+General_Model!$C$26/((1.2+0.2*(General_Model!$C$26/A213)+0.35*SQRT(9.80665*(General_Model!$C$4/1000))/A213)*A213))-(A213^2/(2*9.80665*General_Model!$C$7))*((4*(0.3164/((General_Model!$C$14*A213*(General_Model!$C$4/1000)/General_Model!$C$15)^0.25))*General_Model!$C$7/(General_Model!$C$4/1000)+1)+(4*(0.3164/((General_Model!$C$14*A213*(General_Model!$C$4/1000)/General_Model!$C$15)^0.25))*General_Model!$C$7/(General_Model!$C$4/1000)+2)*(General_Model!$C$26/A213))</f>
        <v>1.7389566893408905E-2</v>
      </c>
      <c r="C213" s="13">
        <f t="shared" si="3"/>
        <v>0</v>
      </c>
    </row>
    <row r="214" spans="1:3" x14ac:dyDescent="0.25">
      <c r="A214" s="11">
        <v>0.21199999999999999</v>
      </c>
      <c r="B214" s="12">
        <f>(General_Model!$C$6/General_Model!$C$7)-1/(1+General_Model!$C$26/((1.2+0.2*(General_Model!$C$26/A214)+0.35*SQRT(9.80665*(General_Model!$C$4/1000))/A214)*A214))-(A214^2/(2*9.80665*General_Model!$C$7))*((4*(0.3164/((General_Model!$C$14*A214*(General_Model!$C$4/1000)/General_Model!$C$15)^0.25))*General_Model!$C$7/(General_Model!$C$4/1000)+1)+(4*(0.3164/((General_Model!$C$14*A214*(General_Model!$C$4/1000)/General_Model!$C$15)^0.25))*General_Model!$C$7/(General_Model!$C$4/1000)+2)*(General_Model!$C$26/A214))</f>
        <v>1.666015593006822E-2</v>
      </c>
      <c r="C214" s="13">
        <f t="shared" si="3"/>
        <v>0</v>
      </c>
    </row>
    <row r="215" spans="1:3" x14ac:dyDescent="0.25">
      <c r="A215" s="11">
        <v>0.21299999999999999</v>
      </c>
      <c r="B215" s="12">
        <f>(General_Model!$C$6/General_Model!$C$7)-1/(1+General_Model!$C$26/((1.2+0.2*(General_Model!$C$26/A215)+0.35*SQRT(9.80665*(General_Model!$C$4/1000))/A215)*A215))-(A215^2/(2*9.80665*General_Model!$C$7))*((4*(0.3164/((General_Model!$C$14*A215*(General_Model!$C$4/1000)/General_Model!$C$15)^0.25))*General_Model!$C$7/(General_Model!$C$4/1000)+1)+(4*(0.3164/((General_Model!$C$14*A215*(General_Model!$C$4/1000)/General_Model!$C$15)^0.25))*General_Model!$C$7/(General_Model!$C$4/1000)+2)*(General_Model!$C$26/A215))</f>
        <v>1.5931726427238134E-2</v>
      </c>
      <c r="C215" s="13">
        <f t="shared" si="3"/>
        <v>0</v>
      </c>
    </row>
    <row r="216" spans="1:3" x14ac:dyDescent="0.25">
      <c r="A216" s="11">
        <v>0.214</v>
      </c>
      <c r="B216" s="12">
        <f>(General_Model!$C$6/General_Model!$C$7)-1/(1+General_Model!$C$26/((1.2+0.2*(General_Model!$C$26/A216)+0.35*SQRT(9.80665*(General_Model!$C$4/1000))/A216)*A216))-(A216^2/(2*9.80665*General_Model!$C$7))*((4*(0.3164/((General_Model!$C$14*A216*(General_Model!$C$4/1000)/General_Model!$C$15)^0.25))*General_Model!$C$7/(General_Model!$C$4/1000)+1)+(4*(0.3164/((General_Model!$C$14*A216*(General_Model!$C$4/1000)/General_Model!$C$15)^0.25))*General_Model!$C$7/(General_Model!$C$4/1000)+2)*(General_Model!$C$26/A216))</f>
        <v>1.5204273877240305E-2</v>
      </c>
      <c r="C216" s="13">
        <f t="shared" si="3"/>
        <v>0</v>
      </c>
    </row>
    <row r="217" spans="1:3" x14ac:dyDescent="0.25">
      <c r="A217" s="11">
        <v>0.215</v>
      </c>
      <c r="B217" s="12">
        <f>(General_Model!$C$6/General_Model!$C$7)-1/(1+General_Model!$C$26/((1.2+0.2*(General_Model!$C$26/A217)+0.35*SQRT(9.80665*(General_Model!$C$4/1000))/A217)*A217))-(A217^2/(2*9.80665*General_Model!$C$7))*((4*(0.3164/((General_Model!$C$14*A217*(General_Model!$C$4/1000)/General_Model!$C$15)^0.25))*General_Model!$C$7/(General_Model!$C$4/1000)+1)+(4*(0.3164/((General_Model!$C$14*A217*(General_Model!$C$4/1000)/General_Model!$C$15)^0.25))*General_Model!$C$7/(General_Model!$C$4/1000)+2)*(General_Model!$C$26/A217))</f>
        <v>1.4477793795595696E-2</v>
      </c>
      <c r="C217" s="13">
        <f t="shared" si="3"/>
        <v>0</v>
      </c>
    </row>
    <row r="218" spans="1:3" x14ac:dyDescent="0.25">
      <c r="A218" s="11">
        <v>0.216</v>
      </c>
      <c r="B218" s="12">
        <f>(General_Model!$C$6/General_Model!$C$7)-1/(1+General_Model!$C$26/((1.2+0.2*(General_Model!$C$26/A218)+0.35*SQRT(9.80665*(General_Model!$C$4/1000))/A218)*A218))-(A218^2/(2*9.80665*General_Model!$C$7))*((4*(0.3164/((General_Model!$C$14*A218*(General_Model!$C$4/1000)/General_Model!$C$15)^0.25))*General_Model!$C$7/(General_Model!$C$4/1000)+1)+(4*(0.3164/((General_Model!$C$14*A218*(General_Model!$C$4/1000)/General_Model!$C$15)^0.25))*General_Model!$C$7/(General_Model!$C$4/1000)+2)*(General_Model!$C$26/A218))</f>
        <v>1.3752281720855741E-2</v>
      </c>
      <c r="C218" s="13">
        <f t="shared" si="3"/>
        <v>0</v>
      </c>
    </row>
    <row r="219" spans="1:3" x14ac:dyDescent="0.25">
      <c r="A219" s="11">
        <v>0.217</v>
      </c>
      <c r="B219" s="12">
        <f>(General_Model!$C$6/General_Model!$C$7)-1/(1+General_Model!$C$26/((1.2+0.2*(General_Model!$C$26/A219)+0.35*SQRT(9.80665*(General_Model!$C$4/1000))/A219)*A219))-(A219^2/(2*9.80665*General_Model!$C$7))*((4*(0.3164/((General_Model!$C$14*A219*(General_Model!$C$4/1000)/General_Model!$C$15)^0.25))*General_Model!$C$7/(General_Model!$C$4/1000)+1)+(4*(0.3164/((General_Model!$C$14*A219*(General_Model!$C$4/1000)/General_Model!$C$15)^0.25))*General_Model!$C$7/(General_Model!$C$4/1000)+2)*(General_Model!$C$26/A219))</f>
        <v>1.3027733214434616E-2</v>
      </c>
      <c r="C219" s="13">
        <f t="shared" si="3"/>
        <v>0</v>
      </c>
    </row>
    <row r="220" spans="1:3" x14ac:dyDescent="0.25">
      <c r="A220" s="11">
        <v>0.218</v>
      </c>
      <c r="B220" s="12">
        <f>(General_Model!$C$6/General_Model!$C$7)-1/(1+General_Model!$C$26/((1.2+0.2*(General_Model!$C$26/A220)+0.35*SQRT(9.80665*(General_Model!$C$4/1000))/A220)*A220))-(A220^2/(2*9.80665*General_Model!$C$7))*((4*(0.3164/((General_Model!$C$14*A220*(General_Model!$C$4/1000)/General_Model!$C$15)^0.25))*General_Model!$C$7/(General_Model!$C$4/1000)+1)+(4*(0.3164/((General_Model!$C$14*A220*(General_Model!$C$4/1000)/General_Model!$C$15)^0.25))*General_Model!$C$7/(General_Model!$C$4/1000)+2)*(General_Model!$C$26/A220))</f>
        <v>1.2304143860443657E-2</v>
      </c>
      <c r="C220" s="13">
        <f t="shared" si="3"/>
        <v>0</v>
      </c>
    </row>
    <row r="221" spans="1:3" x14ac:dyDescent="0.25">
      <c r="A221" s="11">
        <v>0.219</v>
      </c>
      <c r="B221" s="12">
        <f>(General_Model!$C$6/General_Model!$C$7)-1/(1+General_Model!$C$26/((1.2+0.2*(General_Model!$C$26/A221)+0.35*SQRT(9.80665*(General_Model!$C$4/1000))/A221)*A221))-(A221^2/(2*9.80665*General_Model!$C$7))*((4*(0.3164/((General_Model!$C$14*A221*(General_Model!$C$4/1000)/General_Model!$C$15)^0.25))*General_Model!$C$7/(General_Model!$C$4/1000)+1)+(4*(0.3164/((General_Model!$C$14*A221*(General_Model!$C$4/1000)/General_Model!$C$15)^0.25))*General_Model!$C$7/(General_Model!$C$4/1000)+2)*(General_Model!$C$26/A221))</f>
        <v>1.1581509265526591E-2</v>
      </c>
      <c r="C221" s="13">
        <f t="shared" si="3"/>
        <v>0</v>
      </c>
    </row>
    <row r="222" spans="1:3" x14ac:dyDescent="0.25">
      <c r="A222" s="11">
        <v>0.22</v>
      </c>
      <c r="B222" s="12">
        <f>(General_Model!$C$6/General_Model!$C$7)-1/(1+General_Model!$C$26/((1.2+0.2*(General_Model!$C$26/A222)+0.35*SQRT(9.80665*(General_Model!$C$4/1000))/A222)*A222))-(A222^2/(2*9.80665*General_Model!$C$7))*((4*(0.3164/((General_Model!$C$14*A222*(General_Model!$C$4/1000)/General_Model!$C$15)^0.25))*General_Model!$C$7/(General_Model!$C$4/1000)+1)+(4*(0.3164/((General_Model!$C$14*A222*(General_Model!$C$4/1000)/General_Model!$C$15)^0.25))*General_Model!$C$7/(General_Model!$C$4/1000)+2)*(General_Model!$C$26/A222))</f>
        <v>1.0859825058698799E-2</v>
      </c>
      <c r="C222" s="13">
        <f t="shared" si="3"/>
        <v>0</v>
      </c>
    </row>
    <row r="223" spans="1:3" x14ac:dyDescent="0.25">
      <c r="A223" s="11">
        <v>0.221</v>
      </c>
      <c r="B223" s="12">
        <f>(General_Model!$C$6/General_Model!$C$7)-1/(1+General_Model!$C$26/((1.2+0.2*(General_Model!$C$26/A223)+0.35*SQRT(9.80665*(General_Model!$C$4/1000))/A223)*A223))-(A223^2/(2*9.80665*General_Model!$C$7))*((4*(0.3164/((General_Model!$C$14*A223*(General_Model!$C$4/1000)/General_Model!$C$15)^0.25))*General_Model!$C$7/(General_Model!$C$4/1000)+1)+(4*(0.3164/((General_Model!$C$14*A223*(General_Model!$C$4/1000)/General_Model!$C$15)^0.25))*General_Model!$C$7/(General_Model!$C$4/1000)+2)*(General_Model!$C$26/A223))</f>
        <v>1.0139086891186241E-2</v>
      </c>
      <c r="C223" s="13">
        <f t="shared" si="3"/>
        <v>0</v>
      </c>
    </row>
    <row r="224" spans="1:3" x14ac:dyDescent="0.25">
      <c r="A224" s="11">
        <v>0.222</v>
      </c>
      <c r="B224" s="12">
        <f>(General_Model!$C$6/General_Model!$C$7)-1/(1+General_Model!$C$26/((1.2+0.2*(General_Model!$C$26/A224)+0.35*SQRT(9.80665*(General_Model!$C$4/1000))/A224)*A224))-(A224^2/(2*9.80665*General_Model!$C$7))*((4*(0.3164/((General_Model!$C$14*A224*(General_Model!$C$4/1000)/General_Model!$C$15)^0.25))*General_Model!$C$7/(General_Model!$C$4/1000)+1)+(4*(0.3164/((General_Model!$C$14*A224*(General_Model!$C$4/1000)/General_Model!$C$15)^0.25))*General_Model!$C$7/(General_Model!$C$4/1000)+2)*(General_Model!$C$26/A224))</f>
        <v>9.419290436266832E-3</v>
      </c>
      <c r="C224" s="13">
        <f t="shared" si="3"/>
        <v>0</v>
      </c>
    </row>
    <row r="225" spans="1:3" x14ac:dyDescent="0.25">
      <c r="A225" s="11">
        <v>0.223</v>
      </c>
      <c r="B225" s="12">
        <f>(General_Model!$C$6/General_Model!$C$7)-1/(1+General_Model!$C$26/((1.2+0.2*(General_Model!$C$26/A225)+0.35*SQRT(9.80665*(General_Model!$C$4/1000))/A225)*A225))-(A225^2/(2*9.80665*General_Model!$C$7))*((4*(0.3164/((General_Model!$C$14*A225*(General_Model!$C$4/1000)/General_Model!$C$15)^0.25))*General_Model!$C$7/(General_Model!$C$4/1000)+1)+(4*(0.3164/((General_Model!$C$14*A225*(General_Model!$C$4/1000)/General_Model!$C$15)^0.25))*General_Model!$C$7/(General_Model!$C$4/1000)+2)*(General_Model!$C$26/A225))</f>
        <v>8.7004313891144575E-3</v>
      </c>
      <c r="C225" s="13">
        <f t="shared" si="3"/>
        <v>0</v>
      </c>
    </row>
    <row r="226" spans="1:3" x14ac:dyDescent="0.25">
      <c r="A226" s="11">
        <v>0.224</v>
      </c>
      <c r="B226" s="12">
        <f>(General_Model!$C$6/General_Model!$C$7)-1/(1+General_Model!$C$26/((1.2+0.2*(General_Model!$C$26/A226)+0.35*SQRT(9.80665*(General_Model!$C$4/1000))/A226)*A226))-(A226^2/(2*9.80665*General_Model!$C$7))*((4*(0.3164/((General_Model!$C$14*A226*(General_Model!$C$4/1000)/General_Model!$C$15)^0.25))*General_Model!$C$7/(General_Model!$C$4/1000)+1)+(4*(0.3164/((General_Model!$C$14*A226*(General_Model!$C$4/1000)/General_Model!$C$15)^0.25))*General_Model!$C$7/(General_Model!$C$4/1000)+2)*(General_Model!$C$26/A226))</f>
        <v>7.9825054666427947E-3</v>
      </c>
      <c r="C226" s="13">
        <f t="shared" si="3"/>
        <v>0</v>
      </c>
    </row>
    <row r="227" spans="1:3" x14ac:dyDescent="0.25">
      <c r="A227" s="11">
        <v>0.22500000000000001</v>
      </c>
      <c r="B227" s="12">
        <f>(General_Model!$C$6/General_Model!$C$7)-1/(1+General_Model!$C$26/((1.2+0.2*(General_Model!$C$26/A227)+0.35*SQRT(9.80665*(General_Model!$C$4/1000))/A227)*A227))-(A227^2/(2*9.80665*General_Model!$C$7))*((4*(0.3164/((General_Model!$C$14*A227*(General_Model!$C$4/1000)/General_Model!$C$15)^0.25))*General_Model!$C$7/(General_Model!$C$4/1000)+1)+(4*(0.3164/((General_Model!$C$14*A227*(General_Model!$C$4/1000)/General_Model!$C$15)^0.25))*General_Model!$C$7/(General_Model!$C$4/1000)+2)*(General_Model!$C$26/A227))</f>
        <v>7.2655084073525444E-3</v>
      </c>
      <c r="C227" s="13">
        <f t="shared" si="3"/>
        <v>0</v>
      </c>
    </row>
    <row r="228" spans="1:3" x14ac:dyDescent="0.25">
      <c r="A228" s="11">
        <v>0.22600000000000001</v>
      </c>
      <c r="B228" s="12">
        <f>(General_Model!$C$6/General_Model!$C$7)-1/(1+General_Model!$C$26/((1.2+0.2*(General_Model!$C$26/A228)+0.35*SQRT(9.80665*(General_Model!$C$4/1000))/A228)*A228))-(A228^2/(2*9.80665*General_Model!$C$7))*((4*(0.3164/((General_Model!$C$14*A228*(General_Model!$C$4/1000)/General_Model!$C$15)^0.25))*General_Model!$C$7/(General_Model!$C$4/1000)+1)+(4*(0.3164/((General_Model!$C$14*A228*(General_Model!$C$4/1000)/General_Model!$C$15)^0.25))*General_Model!$C$7/(General_Model!$C$4/1000)+2)*(General_Model!$C$26/A228))</f>
        <v>6.5494359711792891E-3</v>
      </c>
      <c r="C228" s="13">
        <f t="shared" si="3"/>
        <v>0</v>
      </c>
    </row>
    <row r="229" spans="1:3" x14ac:dyDescent="0.25">
      <c r="A229" s="11">
        <v>0.22700000000000001</v>
      </c>
      <c r="B229" s="12">
        <f>(General_Model!$C$6/General_Model!$C$7)-1/(1+General_Model!$C$26/((1.2+0.2*(General_Model!$C$26/A229)+0.35*SQRT(9.80665*(General_Model!$C$4/1000))/A229)*A229))-(A229^2/(2*9.80665*General_Model!$C$7))*((4*(0.3164/((General_Model!$C$14*A229*(General_Model!$C$4/1000)/General_Model!$C$15)^0.25))*General_Model!$C$7/(General_Model!$C$4/1000)+1)+(4*(0.3164/((General_Model!$C$14*A229*(General_Model!$C$4/1000)/General_Model!$C$15)^0.25))*General_Model!$C$7/(General_Model!$C$4/1000)+2)*(General_Model!$C$26/A229))</f>
        <v>5.8342839393436333E-3</v>
      </c>
      <c r="C229" s="13">
        <f t="shared" si="3"/>
        <v>0</v>
      </c>
    </row>
    <row r="230" spans="1:3" x14ac:dyDescent="0.25">
      <c r="A230" s="11">
        <v>0.22800000000000001</v>
      </c>
      <c r="B230" s="12">
        <f>(General_Model!$C$6/General_Model!$C$7)-1/(1+General_Model!$C$26/((1.2+0.2*(General_Model!$C$26/A230)+0.35*SQRT(9.80665*(General_Model!$C$4/1000))/A230)*A230))-(A230^2/(2*9.80665*General_Model!$C$7))*((4*(0.3164/((General_Model!$C$14*A230*(General_Model!$C$4/1000)/General_Model!$C$15)^0.25))*General_Model!$C$7/(General_Model!$C$4/1000)+1)+(4*(0.3164/((General_Model!$C$14*A230*(General_Model!$C$4/1000)/General_Model!$C$15)^0.25))*General_Model!$C$7/(General_Model!$C$4/1000)+2)*(General_Model!$C$26/A230))</f>
        <v>5.1200481142022955E-3</v>
      </c>
      <c r="C230" s="13">
        <f t="shared" si="3"/>
        <v>0</v>
      </c>
    </row>
    <row r="231" spans="1:3" x14ac:dyDescent="0.25">
      <c r="A231" s="11">
        <v>0.22900000000000001</v>
      </c>
      <c r="B231" s="12">
        <f>(General_Model!$C$6/General_Model!$C$7)-1/(1+General_Model!$C$26/((1.2+0.2*(General_Model!$C$26/A231)+0.35*SQRT(9.80665*(General_Model!$C$4/1000))/A231)*A231))-(A231^2/(2*9.80665*General_Model!$C$7))*((4*(0.3164/((General_Model!$C$14*A231*(General_Model!$C$4/1000)/General_Model!$C$15)^0.25))*General_Model!$C$7/(General_Model!$C$4/1000)+1)+(4*(0.3164/((General_Model!$C$14*A231*(General_Model!$C$4/1000)/General_Model!$C$15)^0.25))*General_Model!$C$7/(General_Model!$C$4/1000)+2)*(General_Model!$C$26/A231))</f>
        <v>4.4067243191008992E-3</v>
      </c>
      <c r="C231" s="13">
        <f t="shared" si="3"/>
        <v>0</v>
      </c>
    </row>
    <row r="232" spans="1:3" x14ac:dyDescent="0.25">
      <c r="A232" s="11">
        <v>0.23</v>
      </c>
      <c r="B232" s="12">
        <f>(General_Model!$C$6/General_Model!$C$7)-1/(1+General_Model!$C$26/((1.2+0.2*(General_Model!$C$26/A232)+0.35*SQRT(9.80665*(General_Model!$C$4/1000))/A232)*A232))-(A232^2/(2*9.80665*General_Model!$C$7))*((4*(0.3164/((General_Model!$C$14*A232*(General_Model!$C$4/1000)/General_Model!$C$15)^0.25))*General_Model!$C$7/(General_Model!$C$4/1000)+1)+(4*(0.3164/((General_Model!$C$14*A232*(General_Model!$C$4/1000)/General_Model!$C$15)^0.25))*General_Model!$C$7/(General_Model!$C$4/1000)+2)*(General_Model!$C$26/A232))</f>
        <v>3.6943083982286865E-3</v>
      </c>
      <c r="C232" s="13">
        <f t="shared" si="3"/>
        <v>0</v>
      </c>
    </row>
    <row r="233" spans="1:3" x14ac:dyDescent="0.25">
      <c r="A233" s="11">
        <v>0.23100000000000001</v>
      </c>
      <c r="B233" s="12">
        <f>(General_Model!$C$6/General_Model!$C$7)-1/(1+General_Model!$C$26/((1.2+0.2*(General_Model!$C$26/A233)+0.35*SQRT(9.80665*(General_Model!$C$4/1000))/A233)*A233))-(A233^2/(2*9.80665*General_Model!$C$7))*((4*(0.3164/((General_Model!$C$14*A233*(General_Model!$C$4/1000)/General_Model!$C$15)^0.25))*General_Model!$C$7/(General_Model!$C$4/1000)+1)+(4*(0.3164/((General_Model!$C$14*A233*(General_Model!$C$4/1000)/General_Model!$C$15)^0.25))*General_Model!$C$7/(General_Model!$C$4/1000)+2)*(General_Model!$C$26/A233))</f>
        <v>2.9827962164746882E-3</v>
      </c>
      <c r="C233" s="13">
        <f t="shared" si="3"/>
        <v>0</v>
      </c>
    </row>
    <row r="234" spans="1:3" x14ac:dyDescent="0.25">
      <c r="A234" s="11">
        <v>0.23200000000000001</v>
      </c>
      <c r="B234" s="12">
        <f>(General_Model!$C$6/General_Model!$C$7)-1/(1+General_Model!$C$26/((1.2+0.2*(General_Model!$C$26/A234)+0.35*SQRT(9.80665*(General_Model!$C$4/1000))/A234)*A234))-(A234^2/(2*9.80665*General_Model!$C$7))*((4*(0.3164/((General_Model!$C$14*A234*(General_Model!$C$4/1000)/General_Model!$C$15)^0.25))*General_Model!$C$7/(General_Model!$C$4/1000)+1)+(4*(0.3164/((General_Model!$C$14*A234*(General_Model!$C$4/1000)/General_Model!$C$15)^0.25))*General_Model!$C$7/(General_Model!$C$4/1000)+2)*(General_Model!$C$26/A234))</f>
        <v>2.2721836592841799E-3</v>
      </c>
      <c r="C234" s="13">
        <f t="shared" si="3"/>
        <v>0</v>
      </c>
    </row>
    <row r="235" spans="1:3" x14ac:dyDescent="0.25">
      <c r="A235" s="11">
        <v>0.23300000000000001</v>
      </c>
      <c r="B235" s="12">
        <f>(General_Model!$C$6/General_Model!$C$7)-1/(1+General_Model!$C$26/((1.2+0.2*(General_Model!$C$26/A235)+0.35*SQRT(9.80665*(General_Model!$C$4/1000))/A235)*A235))-(A235^2/(2*9.80665*General_Model!$C$7))*((4*(0.3164/((General_Model!$C$14*A235*(General_Model!$C$4/1000)/General_Model!$C$15)^0.25))*General_Model!$C$7/(General_Model!$C$4/1000)+1)+(4*(0.3164/((General_Model!$C$14*A235*(General_Model!$C$4/1000)/General_Model!$C$15)^0.25))*General_Model!$C$7/(General_Model!$C$4/1000)+2)*(General_Model!$C$26/A235))</f>
        <v>1.5624666325190426E-3</v>
      </c>
      <c r="C235" s="13">
        <f t="shared" si="3"/>
        <v>0</v>
      </c>
    </row>
    <row r="236" spans="1:3" x14ac:dyDescent="0.25">
      <c r="A236" s="11">
        <v>0.23400000000000001</v>
      </c>
      <c r="B236" s="12">
        <f>(General_Model!$C$6/General_Model!$C$7)-1/(1+General_Model!$C$26/((1.2+0.2*(General_Model!$C$26/A236)+0.35*SQRT(9.80665*(General_Model!$C$4/1000))/A236)*A236))-(A236^2/(2*9.80665*General_Model!$C$7))*((4*(0.3164/((General_Model!$C$14*A236*(General_Model!$C$4/1000)/General_Model!$C$15)^0.25))*General_Model!$C$7/(General_Model!$C$4/1000)+1)+(4*(0.3164/((General_Model!$C$14*A236*(General_Model!$C$4/1000)/General_Model!$C$15)^0.25))*General_Model!$C$7/(General_Model!$C$4/1000)+2)*(General_Model!$C$26/A236))</f>
        <v>8.5364106231673037E-4</v>
      </c>
      <c r="C236" s="13">
        <f t="shared" si="3"/>
        <v>0</v>
      </c>
    </row>
    <row r="237" spans="1:3" x14ac:dyDescent="0.25">
      <c r="A237" s="11">
        <v>0.23499999999999999</v>
      </c>
      <c r="B237" s="12">
        <f>(General_Model!$C$6/General_Model!$C$7)-1/(1+General_Model!$C$26/((1.2+0.2*(General_Model!$C$26/A237)+0.35*SQRT(9.80665*(General_Model!$C$4/1000))/A237)*A237))-(A237^2/(2*9.80665*General_Model!$C$7))*((4*(0.3164/((General_Model!$C$14*A237*(General_Model!$C$4/1000)/General_Model!$C$15)^0.25))*General_Model!$C$7/(General_Model!$C$4/1000)+1)+(4*(0.3164/((General_Model!$C$14*A237*(General_Model!$C$4/1000)/General_Model!$C$15)^0.25))*General_Model!$C$7/(General_Model!$C$4/1000)+2)*(General_Model!$C$26/A237))</f>
        <v>1.4570289495269978E-4</v>
      </c>
      <c r="C237" s="13">
        <f t="shared" si="3"/>
        <v>1</v>
      </c>
    </row>
    <row r="238" spans="1:3" x14ac:dyDescent="0.25">
      <c r="A238" s="11">
        <v>0.23599999999999999</v>
      </c>
      <c r="B238" s="12">
        <f>(General_Model!$C$6/General_Model!$C$7)-1/(1+General_Model!$C$26/((1.2+0.2*(General_Model!$C$26/A238)+0.35*SQRT(9.80665*(General_Model!$C$4/1000))/A238)*A238))-(A238^2/(2*9.80665*General_Model!$C$7))*((4*(0.3164/((General_Model!$C$14*A238*(General_Model!$C$4/1000)/General_Model!$C$15)^0.25))*General_Model!$C$7/(General_Model!$C$4/1000)+1)+(4*(0.3164/((General_Model!$C$14*A238*(General_Model!$C$4/1000)/General_Model!$C$15)^0.25))*General_Model!$C$7/(General_Model!$C$4/1000)+2)*(General_Model!$C$26/A238))</f>
        <v>-5.6135190329659884E-4</v>
      </c>
      <c r="C238" s="13">
        <f t="shared" si="3"/>
        <v>0</v>
      </c>
    </row>
    <row r="239" spans="1:3" x14ac:dyDescent="0.25">
      <c r="A239" s="11">
        <v>0.23699999999999999</v>
      </c>
      <c r="B239" s="12">
        <f>(General_Model!$C$6/General_Model!$C$7)-1/(1+General_Model!$C$26/((1.2+0.2*(General_Model!$C$26/A239)+0.35*SQRT(9.80665*(General_Model!$C$4/1000))/A239)*A239))-(A239^2/(2*9.80665*General_Model!$C$7))*((4*(0.3164/((General_Model!$C$14*A239*(General_Model!$C$4/1000)/General_Model!$C$15)^0.25))*General_Model!$C$7/(General_Model!$C$4/1000)+1)+(4*(0.3164/((General_Model!$C$14*A239*(General_Model!$C$4/1000)/General_Model!$C$15)^0.25))*General_Model!$C$7/(General_Model!$C$4/1000)+2)*(General_Model!$C$26/A239))</f>
        <v>-1.2675273462890643E-3</v>
      </c>
      <c r="C239" s="13">
        <f t="shared" si="3"/>
        <v>0</v>
      </c>
    </row>
    <row r="240" spans="1:3" x14ac:dyDescent="0.25">
      <c r="A240" s="11">
        <v>0.23799999999999999</v>
      </c>
      <c r="B240" s="12">
        <f>(General_Model!$C$6/General_Model!$C$7)-1/(1+General_Model!$C$26/((1.2+0.2*(General_Model!$C$26/A240)+0.35*SQRT(9.80665*(General_Model!$C$4/1000))/A240)*A240))-(A240^2/(2*9.80665*General_Model!$C$7))*((4*(0.3164/((General_Model!$C$14*A240*(General_Model!$C$4/1000)/General_Model!$C$15)^0.25))*General_Model!$C$7/(General_Model!$C$4/1000)+1)+(4*(0.3164/((General_Model!$C$14*A240*(General_Model!$C$4/1000)/General_Model!$C$15)^0.25))*General_Model!$C$7/(General_Model!$C$4/1000)+2)*(General_Model!$C$26/A240))</f>
        <v>-1.972827428151698E-3</v>
      </c>
      <c r="C240" s="13">
        <f t="shared" si="3"/>
        <v>0</v>
      </c>
    </row>
    <row r="241" spans="1:3" x14ac:dyDescent="0.25">
      <c r="A241" s="11">
        <v>0.23899999999999999</v>
      </c>
      <c r="B241" s="12">
        <f>(General_Model!$C$6/General_Model!$C$7)-1/(1+General_Model!$C$26/((1.2+0.2*(General_Model!$C$26/A241)+0.35*SQRT(9.80665*(General_Model!$C$4/1000))/A241)*A241))-(A241^2/(2*9.80665*General_Model!$C$7))*((4*(0.3164/((General_Model!$C$14*A241*(General_Model!$C$4/1000)/General_Model!$C$15)^0.25))*General_Model!$C$7/(General_Model!$C$4/1000)+1)+(4*(0.3164/((General_Model!$C$14*A241*(General_Model!$C$4/1000)/General_Model!$C$15)^0.25))*General_Model!$C$7/(General_Model!$C$4/1000)+2)*(General_Model!$C$26/A241))</f>
        <v>-2.6772561234126233E-3</v>
      </c>
      <c r="C241" s="13">
        <f t="shared" si="3"/>
        <v>0</v>
      </c>
    </row>
    <row r="242" spans="1:3" x14ac:dyDescent="0.25">
      <c r="A242" s="11">
        <v>0.24</v>
      </c>
      <c r="B242" s="12">
        <f>(General_Model!$C$6/General_Model!$C$7)-1/(1+General_Model!$C$26/((1.2+0.2*(General_Model!$C$26/A242)+0.35*SQRT(9.80665*(General_Model!$C$4/1000))/A242)*A242))-(A242^2/(2*9.80665*General_Model!$C$7))*((4*(0.3164/((General_Model!$C$14*A242*(General_Model!$C$4/1000)/General_Model!$C$15)^0.25))*General_Model!$C$7/(General_Model!$C$4/1000)+1)+(4*(0.3164/((General_Model!$C$14*A242*(General_Model!$C$4/1000)/General_Model!$C$15)^0.25))*General_Model!$C$7/(General_Model!$C$4/1000)+2)*(General_Model!$C$26/A242))</f>
        <v>-3.3808173871331115E-3</v>
      </c>
      <c r="C242" s="13">
        <f t="shared" si="3"/>
        <v>0</v>
      </c>
    </row>
    <row r="243" spans="1:3" x14ac:dyDescent="0.25">
      <c r="A243" s="11">
        <v>0.24099999999999999</v>
      </c>
      <c r="B243" s="12">
        <f>(General_Model!$C$6/General_Model!$C$7)-1/(1+General_Model!$C$26/((1.2+0.2*(General_Model!$C$26/A243)+0.35*SQRT(9.80665*(General_Model!$C$4/1000))/A243)*A243))-(A243^2/(2*9.80665*General_Model!$C$7))*((4*(0.3164/((General_Model!$C$14*A243*(General_Model!$C$4/1000)/General_Model!$C$15)^0.25))*General_Model!$C$7/(General_Model!$C$4/1000)+1)+(4*(0.3164/((General_Model!$C$14*A243*(General_Model!$C$4/1000)/General_Model!$C$15)^0.25))*General_Model!$C$7/(General_Model!$C$4/1000)+2)*(General_Model!$C$26/A243))</f>
        <v>-4.0835151550381449E-3</v>
      </c>
      <c r="C243" s="13">
        <f t="shared" si="3"/>
        <v>0</v>
      </c>
    </row>
    <row r="244" spans="1:3" x14ac:dyDescent="0.25">
      <c r="A244" s="11">
        <v>0.24199999999999999</v>
      </c>
      <c r="B244" s="12">
        <f>(General_Model!$C$6/General_Model!$C$7)-1/(1+General_Model!$C$26/((1.2+0.2*(General_Model!$C$26/A244)+0.35*SQRT(9.80665*(General_Model!$C$4/1000))/A244)*A244))-(A244^2/(2*9.80665*General_Model!$C$7))*((4*(0.3164/((General_Model!$C$14*A244*(General_Model!$C$4/1000)/General_Model!$C$15)^0.25))*General_Model!$C$7/(General_Model!$C$4/1000)+1)+(4*(0.3164/((General_Model!$C$14*A244*(General_Model!$C$4/1000)/General_Model!$C$15)^0.25))*General_Model!$C$7/(General_Model!$C$4/1000)+2)*(General_Model!$C$26/A244))</f>
        <v>-4.7853533436443205E-3</v>
      </c>
      <c r="C244" s="13">
        <f t="shared" si="3"/>
        <v>0</v>
      </c>
    </row>
    <row r="245" spans="1:3" x14ac:dyDescent="0.25">
      <c r="A245" s="11">
        <v>0.24299999999999999</v>
      </c>
      <c r="B245" s="12">
        <f>(General_Model!$C$6/General_Model!$C$7)-1/(1+General_Model!$C$26/((1.2+0.2*(General_Model!$C$26/A245)+0.35*SQRT(9.80665*(General_Model!$C$4/1000))/A245)*A245))-(A245^2/(2*9.80665*General_Model!$C$7))*((4*(0.3164/((General_Model!$C$14*A245*(General_Model!$C$4/1000)/General_Model!$C$15)^0.25))*General_Model!$C$7/(General_Model!$C$4/1000)+1)+(4*(0.3164/((General_Model!$C$14*A245*(General_Model!$C$4/1000)/General_Model!$C$15)^0.25))*General_Model!$C$7/(General_Model!$C$4/1000)+2)*(General_Model!$C$26/A245))</f>
        <v>-5.4863358503886225E-3</v>
      </c>
      <c r="C245" s="13">
        <f t="shared" si="3"/>
        <v>0</v>
      </c>
    </row>
    <row r="246" spans="1:3" x14ac:dyDescent="0.25">
      <c r="A246" s="11">
        <v>0.24399999999999999</v>
      </c>
      <c r="B246" s="12">
        <f>(General_Model!$C$6/General_Model!$C$7)-1/(1+General_Model!$C$26/((1.2+0.2*(General_Model!$C$26/A246)+0.35*SQRT(9.80665*(General_Model!$C$4/1000))/A246)*A246))-(A246^2/(2*9.80665*General_Model!$C$7))*((4*(0.3164/((General_Model!$C$14*A246*(General_Model!$C$4/1000)/General_Model!$C$15)^0.25))*General_Model!$C$7/(General_Model!$C$4/1000)+1)+(4*(0.3164/((General_Model!$C$14*A246*(General_Model!$C$4/1000)/General_Model!$C$15)^0.25))*General_Model!$C$7/(General_Model!$C$4/1000)+2)*(General_Model!$C$26/A246))</f>
        <v>-6.1864665537548977E-3</v>
      </c>
      <c r="C246" s="13">
        <f t="shared" si="3"/>
        <v>0</v>
      </c>
    </row>
    <row r="247" spans="1:3" x14ac:dyDescent="0.25">
      <c r="A247" s="11">
        <v>0.245</v>
      </c>
      <c r="B247" s="12">
        <f>(General_Model!$C$6/General_Model!$C$7)-1/(1+General_Model!$C$26/((1.2+0.2*(General_Model!$C$26/A247)+0.35*SQRT(9.80665*(General_Model!$C$4/1000))/A247)*A247))-(A247^2/(2*9.80665*General_Model!$C$7))*((4*(0.3164/((General_Model!$C$14*A247*(General_Model!$C$4/1000)/General_Model!$C$15)^0.25))*General_Model!$C$7/(General_Model!$C$4/1000)+1)+(4*(0.3164/((General_Model!$C$14*A247*(General_Model!$C$4/1000)/General_Model!$C$15)^0.25))*General_Model!$C$7/(General_Model!$C$4/1000)+2)*(General_Model!$C$26/A247))</f>
        <v>-6.8857493133982206E-3</v>
      </c>
      <c r="C247" s="13">
        <f t="shared" si="3"/>
        <v>0</v>
      </c>
    </row>
    <row r="248" spans="1:3" x14ac:dyDescent="0.25">
      <c r="A248" s="11">
        <v>0.246</v>
      </c>
      <c r="B248" s="12">
        <f>(General_Model!$C$6/General_Model!$C$7)-1/(1+General_Model!$C$26/((1.2+0.2*(General_Model!$C$26/A248)+0.35*SQRT(9.80665*(General_Model!$C$4/1000))/A248)*A248))-(A248^2/(2*9.80665*General_Model!$C$7))*((4*(0.3164/((General_Model!$C$14*A248*(General_Model!$C$4/1000)/General_Model!$C$15)^0.25))*General_Model!$C$7/(General_Model!$C$4/1000)+1)+(4*(0.3164/((General_Model!$C$14*A248*(General_Model!$C$4/1000)/General_Model!$C$15)^0.25))*General_Model!$C$7/(General_Model!$C$4/1000)+2)*(General_Model!$C$26/A248))</f>
        <v>-7.5841879702698428E-3</v>
      </c>
      <c r="C248" s="13">
        <f t="shared" si="3"/>
        <v>0</v>
      </c>
    </row>
    <row r="249" spans="1:3" x14ac:dyDescent="0.25">
      <c r="A249" s="11">
        <v>0.247</v>
      </c>
      <c r="B249" s="12">
        <f>(General_Model!$C$6/General_Model!$C$7)-1/(1+General_Model!$C$26/((1.2+0.2*(General_Model!$C$26/A249)+0.35*SQRT(9.80665*(General_Model!$C$4/1000))/A249)*A249))-(A249^2/(2*9.80665*General_Model!$C$7))*((4*(0.3164/((General_Model!$C$14*A249*(General_Model!$C$4/1000)/General_Model!$C$15)^0.25))*General_Model!$C$7/(General_Model!$C$4/1000)+1)+(4*(0.3164/((General_Model!$C$14*A249*(General_Model!$C$4/1000)/General_Model!$C$15)^0.25))*General_Model!$C$7/(General_Model!$C$4/1000)+2)*(General_Model!$C$26/A249))</f>
        <v>-8.2817863467400943E-3</v>
      </c>
      <c r="C249" s="13">
        <f t="shared" si="3"/>
        <v>0</v>
      </c>
    </row>
    <row r="250" spans="1:3" x14ac:dyDescent="0.25">
      <c r="A250" s="11">
        <v>0.248</v>
      </c>
      <c r="B250" s="12">
        <f>(General_Model!$C$6/General_Model!$C$7)-1/(1+General_Model!$C$26/((1.2+0.2*(General_Model!$C$26/A250)+0.35*SQRT(9.80665*(General_Model!$C$4/1000))/A250)*A250))-(A250^2/(2*9.80665*General_Model!$C$7))*((4*(0.3164/((General_Model!$C$14*A250*(General_Model!$C$4/1000)/General_Model!$C$15)^0.25))*General_Model!$C$7/(General_Model!$C$4/1000)+1)+(4*(0.3164/((General_Model!$C$14*A250*(General_Model!$C$4/1000)/General_Model!$C$15)^0.25))*General_Model!$C$7/(General_Model!$C$4/1000)+2)*(General_Model!$C$26/A250))</f>
        <v>-8.9785482467195921E-3</v>
      </c>
      <c r="C250" s="13">
        <f t="shared" si="3"/>
        <v>0</v>
      </c>
    </row>
    <row r="251" spans="1:3" x14ac:dyDescent="0.25">
      <c r="A251" s="11">
        <v>0.249</v>
      </c>
      <c r="B251" s="12">
        <f>(General_Model!$C$6/General_Model!$C$7)-1/(1+General_Model!$C$26/((1.2+0.2*(General_Model!$C$26/A251)+0.35*SQRT(9.80665*(General_Model!$C$4/1000))/A251)*A251))-(A251^2/(2*9.80665*General_Model!$C$7))*((4*(0.3164/((General_Model!$C$14*A251*(General_Model!$C$4/1000)/General_Model!$C$15)^0.25))*General_Model!$C$7/(General_Model!$C$4/1000)+1)+(4*(0.3164/((General_Model!$C$14*A251*(General_Model!$C$4/1000)/General_Model!$C$15)^0.25))*General_Model!$C$7/(General_Model!$C$4/1000)+2)*(General_Model!$C$26/A251))</f>
        <v>-9.6744774557802546E-3</v>
      </c>
      <c r="C251" s="13">
        <f t="shared" si="3"/>
        <v>0</v>
      </c>
    </row>
    <row r="252" spans="1:3" x14ac:dyDescent="0.25">
      <c r="A252" s="11">
        <v>0.25</v>
      </c>
      <c r="B252" s="12">
        <f>(General_Model!$C$6/General_Model!$C$7)-1/(1+General_Model!$C$26/((1.2+0.2*(General_Model!$C$26/A252)+0.35*SQRT(9.80665*(General_Model!$C$4/1000))/A252)*A252))-(A252^2/(2*9.80665*General_Model!$C$7))*((4*(0.3164/((General_Model!$C$14*A252*(General_Model!$C$4/1000)/General_Model!$C$15)^0.25))*General_Model!$C$7/(General_Model!$C$4/1000)+1)+(4*(0.3164/((General_Model!$C$14*A252*(General_Model!$C$4/1000)/General_Model!$C$15)^0.25))*General_Model!$C$7/(General_Model!$C$4/1000)+2)*(General_Model!$C$26/A252))</f>
        <v>-1.0369577741274942E-2</v>
      </c>
      <c r="C252" s="13">
        <f t="shared" si="3"/>
        <v>0</v>
      </c>
    </row>
    <row r="253" spans="1:3" x14ac:dyDescent="0.25">
      <c r="A253" s="11">
        <v>0.251</v>
      </c>
      <c r="B253" s="12">
        <f>(General_Model!$C$6/General_Model!$C$7)-1/(1+General_Model!$C$26/((1.2+0.2*(General_Model!$C$26/A253)+0.35*SQRT(9.80665*(General_Model!$C$4/1000))/A253)*A253))-(A253^2/(2*9.80665*General_Model!$C$7))*((4*(0.3164/((General_Model!$C$14*A253*(General_Model!$C$4/1000)/General_Model!$C$15)^0.25))*General_Model!$C$7/(General_Model!$C$4/1000)+1)+(4*(0.3164/((General_Model!$C$14*A253*(General_Model!$C$4/1000)/General_Model!$C$15)^0.25))*General_Model!$C$7/(General_Model!$C$4/1000)+2)*(General_Model!$C$26/A253))</f>
        <v>-1.1063852852455355E-2</v>
      </c>
      <c r="C253" s="13">
        <f t="shared" si="3"/>
        <v>0</v>
      </c>
    </row>
    <row r="254" spans="1:3" x14ac:dyDescent="0.25">
      <c r="A254" s="11">
        <v>0.252</v>
      </c>
      <c r="B254" s="12">
        <f>(General_Model!$C$6/General_Model!$C$7)-1/(1+General_Model!$C$26/((1.2+0.2*(General_Model!$C$26/A254)+0.35*SQRT(9.80665*(General_Model!$C$4/1000))/A254)*A254))-(A254^2/(2*9.80665*General_Model!$C$7))*((4*(0.3164/((General_Model!$C$14*A254*(General_Model!$C$4/1000)/General_Model!$C$15)^0.25))*General_Model!$C$7/(General_Model!$C$4/1000)+1)+(4*(0.3164/((General_Model!$C$14*A254*(General_Model!$C$4/1000)/General_Model!$C$15)^0.25))*General_Model!$C$7/(General_Model!$C$4/1000)+2)*(General_Model!$C$26/A254))</f>
        <v>-1.175730652058974E-2</v>
      </c>
      <c r="C254" s="13">
        <f t="shared" si="3"/>
        <v>0</v>
      </c>
    </row>
    <row r="255" spans="1:3" x14ac:dyDescent="0.25">
      <c r="A255" s="11">
        <v>0.253</v>
      </c>
      <c r="B255" s="12">
        <f>(General_Model!$C$6/General_Model!$C$7)-1/(1+General_Model!$C$26/((1.2+0.2*(General_Model!$C$26/A255)+0.35*SQRT(9.80665*(General_Model!$C$4/1000))/A255)*A255))-(A255^2/(2*9.80665*General_Model!$C$7))*((4*(0.3164/((General_Model!$C$14*A255*(General_Model!$C$4/1000)/General_Model!$C$15)^0.25))*General_Model!$C$7/(General_Model!$C$4/1000)+1)+(4*(0.3164/((General_Model!$C$14*A255*(General_Model!$C$4/1000)/General_Model!$C$15)^0.25))*General_Model!$C$7/(General_Model!$C$4/1000)+2)*(General_Model!$C$26/A255))</f>
        <v>-1.2449942459079107E-2</v>
      </c>
      <c r="C255" s="13">
        <f t="shared" si="3"/>
        <v>0</v>
      </c>
    </row>
    <row r="256" spans="1:3" x14ac:dyDescent="0.25">
      <c r="A256" s="11">
        <v>0.254</v>
      </c>
      <c r="B256" s="12">
        <f>(General_Model!$C$6/General_Model!$C$7)-1/(1+General_Model!$C$26/((1.2+0.2*(General_Model!$C$26/A256)+0.35*SQRT(9.80665*(General_Model!$C$4/1000))/A256)*A256))-(A256^2/(2*9.80665*General_Model!$C$7))*((4*(0.3164/((General_Model!$C$14*A256*(General_Model!$C$4/1000)/General_Model!$C$15)^0.25))*General_Model!$C$7/(General_Model!$C$4/1000)+1)+(4*(0.3164/((General_Model!$C$14*A256*(General_Model!$C$4/1000)/General_Model!$C$15)^0.25))*General_Model!$C$7/(General_Model!$C$4/1000)+2)*(General_Model!$C$26/A256))</f>
        <v>-1.314176436357177E-2</v>
      </c>
      <c r="C256" s="13">
        <f t="shared" si="3"/>
        <v>0</v>
      </c>
    </row>
    <row r="257" spans="1:3" x14ac:dyDescent="0.25">
      <c r="A257" s="11">
        <v>0.255</v>
      </c>
      <c r="B257" s="12">
        <f>(General_Model!$C$6/General_Model!$C$7)-1/(1+General_Model!$C$26/((1.2+0.2*(General_Model!$C$26/A257)+0.35*SQRT(9.80665*(General_Model!$C$4/1000))/A257)*A257))-(A257^2/(2*9.80665*General_Model!$C$7))*((4*(0.3164/((General_Model!$C$14*A257*(General_Model!$C$4/1000)/General_Model!$C$15)^0.25))*General_Model!$C$7/(General_Model!$C$4/1000)+1)+(4*(0.3164/((General_Model!$C$14*A257*(General_Model!$C$4/1000)/General_Model!$C$15)^0.25))*General_Model!$C$7/(General_Model!$C$4/1000)+2)*(General_Model!$C$26/A257))</f>
        <v>-1.3832775912078349E-2</v>
      </c>
      <c r="C257" s="13">
        <f t="shared" si="3"/>
        <v>0</v>
      </c>
    </row>
    <row r="258" spans="1:3" x14ac:dyDescent="0.25">
      <c r="A258" s="11">
        <v>0.25600000000000001</v>
      </c>
      <c r="B258" s="12">
        <f>(General_Model!$C$6/General_Model!$C$7)-1/(1+General_Model!$C$26/((1.2+0.2*(General_Model!$C$26/A258)+0.35*SQRT(9.80665*(General_Model!$C$4/1000))/A258)*A258))-(A258^2/(2*9.80665*General_Model!$C$7))*((4*(0.3164/((General_Model!$C$14*A258*(General_Model!$C$4/1000)/General_Model!$C$15)^0.25))*General_Model!$C$7/(General_Model!$C$4/1000)+1)+(4*(0.3164/((General_Model!$C$14*A258*(General_Model!$C$4/1000)/General_Model!$C$15)^0.25))*General_Model!$C$7/(General_Model!$C$4/1000)+2)*(General_Model!$C$26/A258))</f>
        <v>-1.4522980765084278E-2</v>
      </c>
      <c r="C258" s="13">
        <f t="shared" si="3"/>
        <v>0</v>
      </c>
    </row>
    <row r="259" spans="1:3" x14ac:dyDescent="0.25">
      <c r="A259" s="11">
        <v>0.25700000000000001</v>
      </c>
      <c r="B259" s="12">
        <f>(General_Model!$C$6/General_Model!$C$7)-1/(1+General_Model!$C$26/((1.2+0.2*(General_Model!$C$26/A259)+0.35*SQRT(9.80665*(General_Model!$C$4/1000))/A259)*A259))-(A259^2/(2*9.80665*General_Model!$C$7))*((4*(0.3164/((General_Model!$C$14*A259*(General_Model!$C$4/1000)/General_Model!$C$15)^0.25))*General_Model!$C$7/(General_Model!$C$4/1000)+1)+(4*(0.3164/((General_Model!$C$14*A259*(General_Model!$C$4/1000)/General_Model!$C$15)^0.25))*General_Model!$C$7/(General_Model!$C$4/1000)+2)*(General_Model!$C$26/A259))</f>
        <v>-1.5212382565661799E-2</v>
      </c>
      <c r="C259" s="13">
        <f t="shared" ref="C259:C322" si="4">IF(B259*B260&lt;=0,1,0)</f>
        <v>0</v>
      </c>
    </row>
    <row r="260" spans="1:3" x14ac:dyDescent="0.25">
      <c r="A260" s="11">
        <v>0.25800000000000001</v>
      </c>
      <c r="B260" s="12">
        <f>(General_Model!$C$6/General_Model!$C$7)-1/(1+General_Model!$C$26/((1.2+0.2*(General_Model!$C$26/A260)+0.35*SQRT(9.80665*(General_Model!$C$4/1000))/A260)*A260))-(A260^2/(2*9.80665*General_Model!$C$7))*((4*(0.3164/((General_Model!$C$14*A260*(General_Model!$C$4/1000)/General_Model!$C$15)^0.25))*General_Model!$C$7/(General_Model!$C$4/1000)+1)+(4*(0.3164/((General_Model!$C$14*A260*(General_Model!$C$4/1000)/General_Model!$C$15)^0.25))*General_Model!$C$7/(General_Model!$C$4/1000)+2)*(General_Model!$C$26/A260))</f>
        <v>-1.5900984939581024E-2</v>
      </c>
      <c r="C260" s="13">
        <f t="shared" si="4"/>
        <v>0</v>
      </c>
    </row>
    <row r="261" spans="1:3" x14ac:dyDescent="0.25">
      <c r="A261" s="11">
        <v>0.25900000000000001</v>
      </c>
      <c r="B261" s="12">
        <f>(General_Model!$C$6/General_Model!$C$7)-1/(1+General_Model!$C$26/((1.2+0.2*(General_Model!$C$26/A261)+0.35*SQRT(9.80665*(General_Model!$C$4/1000))/A261)*A261))-(A261^2/(2*9.80665*General_Model!$C$7))*((4*(0.3164/((General_Model!$C$14*A261*(General_Model!$C$4/1000)/General_Model!$C$15)^0.25))*General_Model!$C$7/(General_Model!$C$4/1000)+1)+(4*(0.3164/((General_Model!$C$14*A261*(General_Model!$C$4/1000)/General_Model!$C$15)^0.25))*General_Model!$C$7/(General_Model!$C$4/1000)+2)*(General_Model!$C$26/A261))</f>
        <v>-1.6588791495420467E-2</v>
      </c>
      <c r="C261" s="13">
        <f t="shared" si="4"/>
        <v>0</v>
      </c>
    </row>
    <row r="262" spans="1:3" x14ac:dyDescent="0.25">
      <c r="A262" s="11">
        <v>0.26</v>
      </c>
      <c r="B262" s="12">
        <f>(General_Model!$C$6/General_Model!$C$7)-1/(1+General_Model!$C$26/((1.2+0.2*(General_Model!$C$26/A262)+0.35*SQRT(9.80665*(General_Model!$C$4/1000))/A262)*A262))-(A262^2/(2*9.80665*General_Model!$C$7))*((4*(0.3164/((General_Model!$C$14*A262*(General_Model!$C$4/1000)/General_Model!$C$15)^0.25))*General_Model!$C$7/(General_Model!$C$4/1000)+1)+(4*(0.3164/((General_Model!$C$14*A262*(General_Model!$C$4/1000)/General_Model!$C$15)^0.25))*General_Model!$C$7/(General_Model!$C$4/1000)+2)*(General_Model!$C$26/A262))</f>
        <v>-1.7275805824675361E-2</v>
      </c>
      <c r="C262" s="13">
        <f t="shared" si="4"/>
        <v>0</v>
      </c>
    </row>
    <row r="263" spans="1:3" x14ac:dyDescent="0.25">
      <c r="A263" s="11">
        <v>0.26100000000000001</v>
      </c>
      <c r="B263" s="12">
        <f>(General_Model!$C$6/General_Model!$C$7)-1/(1+General_Model!$C$26/((1.2+0.2*(General_Model!$C$26/A263)+0.35*SQRT(9.80665*(General_Model!$C$4/1000))/A263)*A263))-(A263^2/(2*9.80665*General_Model!$C$7))*((4*(0.3164/((General_Model!$C$14*A263*(General_Model!$C$4/1000)/General_Model!$C$15)^0.25))*General_Model!$C$7/(General_Model!$C$4/1000)+1)+(4*(0.3164/((General_Model!$C$14*A263*(General_Model!$C$4/1000)/General_Model!$C$15)^0.25))*General_Model!$C$7/(General_Model!$C$4/1000)+2)*(General_Model!$C$26/A263))</f>
        <v>-1.7962031501866212E-2</v>
      </c>
      <c r="C263" s="13">
        <f t="shared" si="4"/>
        <v>0</v>
      </c>
    </row>
    <row r="264" spans="1:3" x14ac:dyDescent="0.25">
      <c r="A264" s="11">
        <v>0.26200000000000001</v>
      </c>
      <c r="B264" s="12">
        <f>(General_Model!$C$6/General_Model!$C$7)-1/(1+General_Model!$C$26/((1.2+0.2*(General_Model!$C$26/A264)+0.35*SQRT(9.80665*(General_Model!$C$4/1000))/A264)*A264))-(A264^2/(2*9.80665*General_Model!$C$7))*((4*(0.3164/((General_Model!$C$14*A264*(General_Model!$C$4/1000)/General_Model!$C$15)^0.25))*General_Model!$C$7/(General_Model!$C$4/1000)+1)+(4*(0.3164/((General_Model!$C$14*A264*(General_Model!$C$4/1000)/General_Model!$C$15)^0.25))*General_Model!$C$7/(General_Model!$C$4/1000)+2)*(General_Model!$C$26/A264))</f>
        <v>-1.8647472084645608E-2</v>
      </c>
      <c r="C264" s="13">
        <f t="shared" si="4"/>
        <v>0</v>
      </c>
    </row>
    <row r="265" spans="1:3" x14ac:dyDescent="0.25">
      <c r="A265" s="11">
        <v>0.26300000000000001</v>
      </c>
      <c r="B265" s="12">
        <f>(General_Model!$C$6/General_Model!$C$7)-1/(1+General_Model!$C$26/((1.2+0.2*(General_Model!$C$26/A265)+0.35*SQRT(9.80665*(General_Model!$C$4/1000))/A265)*A265))-(A265^2/(2*9.80665*General_Model!$C$7))*((4*(0.3164/((General_Model!$C$14*A265*(General_Model!$C$4/1000)/General_Model!$C$15)^0.25))*General_Model!$C$7/(General_Model!$C$4/1000)+1)+(4*(0.3164/((General_Model!$C$14*A265*(General_Model!$C$4/1000)/General_Model!$C$15)^0.25))*General_Model!$C$7/(General_Model!$C$4/1000)+2)*(General_Model!$C$26/A265))</f>
        <v>-1.9332131113904874E-2</v>
      </c>
      <c r="C265" s="13">
        <f t="shared" si="4"/>
        <v>0</v>
      </c>
    </row>
    <row r="266" spans="1:3" x14ac:dyDescent="0.25">
      <c r="A266" s="11">
        <v>0.26400000000000001</v>
      </c>
      <c r="B266" s="12">
        <f>(General_Model!$C$6/General_Model!$C$7)-1/(1+General_Model!$C$26/((1.2+0.2*(General_Model!$C$26/A266)+0.35*SQRT(9.80665*(General_Model!$C$4/1000))/A266)*A266))-(A266^2/(2*9.80665*General_Model!$C$7))*((4*(0.3164/((General_Model!$C$14*A266*(General_Model!$C$4/1000)/General_Model!$C$15)^0.25))*General_Model!$C$7/(General_Model!$C$4/1000)+1)+(4*(0.3164/((General_Model!$C$14*A266*(General_Model!$C$4/1000)/General_Model!$C$15)^0.25))*General_Model!$C$7/(General_Model!$C$4/1000)+2)*(General_Model!$C$26/A266))</f>
        <v>-2.0016012113878968E-2</v>
      </c>
      <c r="C266" s="13">
        <f t="shared" si="4"/>
        <v>0</v>
      </c>
    </row>
    <row r="267" spans="1:3" x14ac:dyDescent="0.25">
      <c r="A267" s="11">
        <v>0.26500000000000001</v>
      </c>
      <c r="B267" s="12">
        <f>(General_Model!$C$6/General_Model!$C$7)-1/(1+General_Model!$C$26/((1.2+0.2*(General_Model!$C$26/A267)+0.35*SQRT(9.80665*(General_Model!$C$4/1000))/A267)*A267))-(A267^2/(2*9.80665*General_Model!$C$7))*((4*(0.3164/((General_Model!$C$14*A267*(General_Model!$C$4/1000)/General_Model!$C$15)^0.25))*General_Model!$C$7/(General_Model!$C$4/1000)+1)+(4*(0.3164/((General_Model!$C$14*A267*(General_Model!$C$4/1000)/General_Model!$C$15)^0.25))*General_Model!$C$7/(General_Model!$C$4/1000)+2)*(General_Model!$C$26/A267))</f>
        <v>-2.0699118592250654E-2</v>
      </c>
      <c r="C267" s="13">
        <f t="shared" si="4"/>
        <v>0</v>
      </c>
    </row>
    <row r="268" spans="1:3" x14ac:dyDescent="0.25">
      <c r="A268" s="11">
        <v>0.26600000000000001</v>
      </c>
      <c r="B268" s="12">
        <f>(General_Model!$C$6/General_Model!$C$7)-1/(1+General_Model!$C$26/((1.2+0.2*(General_Model!$C$26/A268)+0.35*SQRT(9.80665*(General_Model!$C$4/1000))/A268)*A268))-(A268^2/(2*9.80665*General_Model!$C$7))*((4*(0.3164/((General_Model!$C$14*A268*(General_Model!$C$4/1000)/General_Model!$C$15)^0.25))*General_Model!$C$7/(General_Model!$C$4/1000)+1)+(4*(0.3164/((General_Model!$C$14*A268*(General_Model!$C$4/1000)/General_Model!$C$15)^0.25))*General_Model!$C$7/(General_Model!$C$4/1000)+2)*(General_Model!$C$26/A268))</f>
        <v>-2.1381454040254197E-2</v>
      </c>
      <c r="C268" s="13">
        <f t="shared" si="4"/>
        <v>0</v>
      </c>
    </row>
    <row r="269" spans="1:3" x14ac:dyDescent="0.25">
      <c r="A269" s="11">
        <v>0.26700000000000002</v>
      </c>
      <c r="B269" s="12">
        <f>(General_Model!$C$6/General_Model!$C$7)-1/(1+General_Model!$C$26/((1.2+0.2*(General_Model!$C$26/A269)+0.35*SQRT(9.80665*(General_Model!$C$4/1000))/A269)*A269))-(A269^2/(2*9.80665*General_Model!$C$7))*((4*(0.3164/((General_Model!$C$14*A269*(General_Model!$C$4/1000)/General_Model!$C$15)^0.25))*General_Model!$C$7/(General_Model!$C$4/1000)+1)+(4*(0.3164/((General_Model!$C$14*A269*(General_Model!$C$4/1000)/General_Model!$C$15)^0.25))*General_Model!$C$7/(General_Model!$C$4/1000)+2)*(General_Model!$C$26/A269))</f>
        <v>-2.2063021932778072E-2</v>
      </c>
      <c r="C269" s="13">
        <f t="shared" si="4"/>
        <v>0</v>
      </c>
    </row>
    <row r="270" spans="1:3" x14ac:dyDescent="0.25">
      <c r="A270" s="11">
        <v>0.26800000000000002</v>
      </c>
      <c r="B270" s="12">
        <f>(General_Model!$C$6/General_Model!$C$7)-1/(1+General_Model!$C$26/((1.2+0.2*(General_Model!$C$26/A270)+0.35*SQRT(9.80665*(General_Model!$C$4/1000))/A270)*A270))-(A270^2/(2*9.80665*General_Model!$C$7))*((4*(0.3164/((General_Model!$C$14*A270*(General_Model!$C$4/1000)/General_Model!$C$15)^0.25))*General_Model!$C$7/(General_Model!$C$4/1000)+1)+(4*(0.3164/((General_Model!$C$14*A270*(General_Model!$C$4/1000)/General_Model!$C$15)^0.25))*General_Model!$C$7/(General_Model!$C$4/1000)+2)*(General_Model!$C$26/A270))</f>
        <v>-2.2743825728466227E-2</v>
      </c>
      <c r="C270" s="13">
        <f t="shared" si="4"/>
        <v>0</v>
      </c>
    </row>
    <row r="271" spans="1:3" x14ac:dyDescent="0.25">
      <c r="A271" s="11">
        <v>0.26900000000000002</v>
      </c>
      <c r="B271" s="12">
        <f>(General_Model!$C$6/General_Model!$C$7)-1/(1+General_Model!$C$26/((1.2+0.2*(General_Model!$C$26/A271)+0.35*SQRT(9.80665*(General_Model!$C$4/1000))/A271)*A271))-(A271^2/(2*9.80665*General_Model!$C$7))*((4*(0.3164/((General_Model!$C$14*A271*(General_Model!$C$4/1000)/General_Model!$C$15)^0.25))*General_Model!$C$7/(General_Model!$C$4/1000)+1)+(4*(0.3164/((General_Model!$C$14*A271*(General_Model!$C$4/1000)/General_Model!$C$15)^0.25))*General_Model!$C$7/(General_Model!$C$4/1000)+2)*(General_Model!$C$26/A271))</f>
        <v>-2.3423868869819002E-2</v>
      </c>
      <c r="C271" s="13">
        <f t="shared" si="4"/>
        <v>0</v>
      </c>
    </row>
    <row r="272" spans="1:3" x14ac:dyDescent="0.25">
      <c r="A272" s="11">
        <v>0.27</v>
      </c>
      <c r="B272" s="12">
        <f>(General_Model!$C$6/General_Model!$C$7)-1/(1+General_Model!$C$26/((1.2+0.2*(General_Model!$C$26/A272)+0.35*SQRT(9.80665*(General_Model!$C$4/1000))/A272)*A272))-(A272^2/(2*9.80665*General_Model!$C$7))*((4*(0.3164/((General_Model!$C$14*A272*(General_Model!$C$4/1000)/General_Model!$C$15)^0.25))*General_Model!$C$7/(General_Model!$C$4/1000)+1)+(4*(0.3164/((General_Model!$C$14*A272*(General_Model!$C$4/1000)/General_Model!$C$15)^0.25))*General_Model!$C$7/(General_Model!$C$4/1000)+2)*(General_Model!$C$26/A272))</f>
        <v>-2.4103154783292981E-2</v>
      </c>
      <c r="C272" s="13">
        <f t="shared" si="4"/>
        <v>0</v>
      </c>
    </row>
    <row r="273" spans="1:3" x14ac:dyDescent="0.25">
      <c r="A273" s="11">
        <v>0.27100000000000002</v>
      </c>
      <c r="B273" s="12">
        <f>(General_Model!$C$6/General_Model!$C$7)-1/(1+General_Model!$C$26/((1.2+0.2*(General_Model!$C$26/A273)+0.35*SQRT(9.80665*(General_Model!$C$4/1000))/A273)*A273))-(A273^2/(2*9.80665*General_Model!$C$7))*((4*(0.3164/((General_Model!$C$14*A273*(General_Model!$C$4/1000)/General_Model!$C$15)^0.25))*General_Model!$C$7/(General_Model!$C$4/1000)+1)+(4*(0.3164/((General_Model!$C$14*A273*(General_Model!$C$4/1000)/General_Model!$C$15)^0.25))*General_Model!$C$7/(General_Model!$C$4/1000)+2)*(General_Model!$C$26/A273))</f>
        <v>-2.4781686879400272E-2</v>
      </c>
      <c r="C273" s="13">
        <f t="shared" si="4"/>
        <v>0</v>
      </c>
    </row>
    <row r="274" spans="1:3" x14ac:dyDescent="0.25">
      <c r="A274" s="11">
        <v>0.27200000000000002</v>
      </c>
      <c r="B274" s="12">
        <f>(General_Model!$C$6/General_Model!$C$7)-1/(1+General_Model!$C$26/((1.2+0.2*(General_Model!$C$26/A274)+0.35*SQRT(9.80665*(General_Model!$C$4/1000))/A274)*A274))-(A274^2/(2*9.80665*General_Model!$C$7))*((4*(0.3164/((General_Model!$C$14*A274*(General_Model!$C$4/1000)/General_Model!$C$15)^0.25))*General_Model!$C$7/(General_Model!$C$4/1000)+1)+(4*(0.3164/((General_Model!$C$14*A274*(General_Model!$C$4/1000)/General_Model!$C$15)^0.25))*General_Model!$C$7/(General_Model!$C$4/1000)+2)*(General_Model!$C$26/A274))</f>
        <v>-2.5459468552806681E-2</v>
      </c>
      <c r="C274" s="13">
        <f t="shared" si="4"/>
        <v>0</v>
      </c>
    </row>
    <row r="275" spans="1:3" x14ac:dyDescent="0.25">
      <c r="A275" s="11">
        <v>0.27300000000000002</v>
      </c>
      <c r="B275" s="12">
        <f>(General_Model!$C$6/General_Model!$C$7)-1/(1+General_Model!$C$26/((1.2+0.2*(General_Model!$C$26/A275)+0.35*SQRT(9.80665*(General_Model!$C$4/1000))/A275)*A275))-(A275^2/(2*9.80665*General_Model!$C$7))*((4*(0.3164/((General_Model!$C$14*A275*(General_Model!$C$4/1000)/General_Model!$C$15)^0.25))*General_Model!$C$7/(General_Model!$C$4/1000)+1)+(4*(0.3164/((General_Model!$C$14*A275*(General_Model!$C$4/1000)/General_Model!$C$15)^0.25))*General_Model!$C$7/(General_Model!$C$4/1000)+2)*(General_Model!$C$26/A275))</f>
        <v>-2.6136503182428703E-2</v>
      </c>
      <c r="C275" s="13">
        <f t="shared" si="4"/>
        <v>0</v>
      </c>
    </row>
    <row r="276" spans="1:3" x14ac:dyDescent="0.25">
      <c r="A276" s="11">
        <v>0.27400000000000002</v>
      </c>
      <c r="B276" s="12">
        <f>(General_Model!$C$6/General_Model!$C$7)-1/(1+General_Model!$C$26/((1.2+0.2*(General_Model!$C$26/A276)+0.35*SQRT(9.80665*(General_Model!$C$4/1000))/A276)*A276))-(A276^2/(2*9.80665*General_Model!$C$7))*((4*(0.3164/((General_Model!$C$14*A276*(General_Model!$C$4/1000)/General_Model!$C$15)^0.25))*General_Model!$C$7/(General_Model!$C$4/1000)+1)+(4*(0.3164/((General_Model!$C$14*A276*(General_Model!$C$4/1000)/General_Model!$C$15)^0.25))*General_Model!$C$7/(General_Model!$C$4/1000)+2)*(General_Model!$C$26/A276))</f>
        <v>-2.6812794131530482E-2</v>
      </c>
      <c r="C276" s="13">
        <f t="shared" si="4"/>
        <v>0</v>
      </c>
    </row>
    <row r="277" spans="1:3" x14ac:dyDescent="0.25">
      <c r="A277" s="11">
        <v>0.27500000000000002</v>
      </c>
      <c r="B277" s="12">
        <f>(General_Model!$C$6/General_Model!$C$7)-1/(1+General_Model!$C$26/((1.2+0.2*(General_Model!$C$26/A277)+0.35*SQRT(9.80665*(General_Model!$C$4/1000))/A277)*A277))-(A277^2/(2*9.80665*General_Model!$C$7))*((4*(0.3164/((General_Model!$C$14*A277*(General_Model!$C$4/1000)/General_Model!$C$15)^0.25))*General_Model!$C$7/(General_Model!$C$4/1000)+1)+(4*(0.3164/((General_Model!$C$14*A277*(General_Model!$C$4/1000)/General_Model!$C$15)^0.25))*General_Model!$C$7/(General_Model!$C$4/1000)+2)*(General_Model!$C$26/A277))</f>
        <v>-2.7488344747819221E-2</v>
      </c>
      <c r="C277" s="13">
        <f t="shared" si="4"/>
        <v>0</v>
      </c>
    </row>
    <row r="278" spans="1:3" x14ac:dyDescent="0.25">
      <c r="A278" s="11">
        <v>0.27600000000000002</v>
      </c>
      <c r="B278" s="12">
        <f>(General_Model!$C$6/General_Model!$C$7)-1/(1+General_Model!$C$26/((1.2+0.2*(General_Model!$C$26/A278)+0.35*SQRT(9.80665*(General_Model!$C$4/1000))/A278)*A278))-(A278^2/(2*9.80665*General_Model!$C$7))*((4*(0.3164/((General_Model!$C$14*A278*(General_Model!$C$4/1000)/General_Model!$C$15)^0.25))*General_Model!$C$7/(General_Model!$C$4/1000)+1)+(4*(0.3164/((General_Model!$C$14*A278*(General_Model!$C$4/1000)/General_Model!$C$15)^0.25))*General_Model!$C$7/(General_Model!$C$4/1000)+2)*(General_Model!$C$26/A278))</f>
        <v>-2.8163158363541038E-2</v>
      </c>
      <c r="C278" s="13">
        <f t="shared" si="4"/>
        <v>0</v>
      </c>
    </row>
    <row r="279" spans="1:3" x14ac:dyDescent="0.25">
      <c r="A279" s="11">
        <v>0.27700000000000002</v>
      </c>
      <c r="B279" s="12">
        <f>(General_Model!$C$6/General_Model!$C$7)-1/(1+General_Model!$C$26/((1.2+0.2*(General_Model!$C$26/A279)+0.35*SQRT(9.80665*(General_Model!$C$4/1000))/A279)*A279))-(A279^2/(2*9.80665*General_Model!$C$7))*((4*(0.3164/((General_Model!$C$14*A279*(General_Model!$C$4/1000)/General_Model!$C$15)^0.25))*General_Model!$C$7/(General_Model!$C$4/1000)+1)+(4*(0.3164/((General_Model!$C$14*A279*(General_Model!$C$4/1000)/General_Model!$C$15)^0.25))*General_Model!$C$7/(General_Model!$C$4/1000)+2)*(General_Model!$C$26/A279))</f>
        <v>-2.8837238295573796E-2</v>
      </c>
      <c r="C279" s="13">
        <f t="shared" si="4"/>
        <v>0</v>
      </c>
    </row>
    <row r="280" spans="1:3" x14ac:dyDescent="0.25">
      <c r="A280" s="11">
        <v>0.27800000000000002</v>
      </c>
      <c r="B280" s="12">
        <f>(General_Model!$C$6/General_Model!$C$7)-1/(1+General_Model!$C$26/((1.2+0.2*(General_Model!$C$26/A280)+0.35*SQRT(9.80665*(General_Model!$C$4/1000))/A280)*A280))-(A280^2/(2*9.80665*General_Model!$C$7))*((4*(0.3164/((General_Model!$C$14*A280*(General_Model!$C$4/1000)/General_Model!$C$15)^0.25))*General_Model!$C$7/(General_Model!$C$4/1000)+1)+(4*(0.3164/((General_Model!$C$14*A280*(General_Model!$C$4/1000)/General_Model!$C$15)^0.25))*General_Model!$C$7/(General_Model!$C$4/1000)+2)*(General_Model!$C$26/A280))</f>
        <v>-2.9510587845521304E-2</v>
      </c>
      <c r="C280" s="13">
        <f t="shared" si="4"/>
        <v>0</v>
      </c>
    </row>
    <row r="281" spans="1:3" x14ac:dyDescent="0.25">
      <c r="A281" s="11">
        <v>0.27900000000000003</v>
      </c>
      <c r="B281" s="12">
        <f>(General_Model!$C$6/General_Model!$C$7)-1/(1+General_Model!$C$26/((1.2+0.2*(General_Model!$C$26/A281)+0.35*SQRT(9.80665*(General_Model!$C$4/1000))/A281)*A281))-(A281^2/(2*9.80665*General_Model!$C$7))*((4*(0.3164/((General_Model!$C$14*A281*(General_Model!$C$4/1000)/General_Model!$C$15)^0.25))*General_Model!$C$7/(General_Model!$C$4/1000)+1)+(4*(0.3164/((General_Model!$C$14*A281*(General_Model!$C$4/1000)/General_Model!$C$15)^0.25))*General_Model!$C$7/(General_Model!$C$4/1000)+2)*(General_Model!$C$26/A281))</f>
        <v>-3.0183210299806272E-2</v>
      </c>
      <c r="C281" s="13">
        <f t="shared" si="4"/>
        <v>0</v>
      </c>
    </row>
    <row r="282" spans="1:3" x14ac:dyDescent="0.25">
      <c r="A282" s="11">
        <v>0.28000000000000003</v>
      </c>
      <c r="B282" s="12">
        <f>(General_Model!$C$6/General_Model!$C$7)-1/(1+General_Model!$C$26/((1.2+0.2*(General_Model!$C$26/A282)+0.35*SQRT(9.80665*(General_Model!$C$4/1000))/A282)*A282))-(A282^2/(2*9.80665*General_Model!$C$7))*((4*(0.3164/((General_Model!$C$14*A282*(General_Model!$C$4/1000)/General_Model!$C$15)^0.25))*General_Model!$C$7/(General_Model!$C$4/1000)+1)+(4*(0.3164/((General_Model!$C$14*A282*(General_Model!$C$4/1000)/General_Model!$C$15)^0.25))*General_Model!$C$7/(General_Model!$C$4/1000)+2)*(General_Model!$C$26/A282))</f>
        <v>-3.0855108929760969E-2</v>
      </c>
      <c r="C282" s="13">
        <f t="shared" si="4"/>
        <v>0</v>
      </c>
    </row>
    <row r="283" spans="1:3" x14ac:dyDescent="0.25">
      <c r="A283" s="11">
        <v>0.28100000000000003</v>
      </c>
      <c r="B283" s="12">
        <f>(General_Model!$C$6/General_Model!$C$7)-1/(1+General_Model!$C$26/((1.2+0.2*(General_Model!$C$26/A283)+0.35*SQRT(9.80665*(General_Model!$C$4/1000))/A283)*A283))-(A283^2/(2*9.80665*General_Model!$C$7))*((4*(0.3164/((General_Model!$C$14*A283*(General_Model!$C$4/1000)/General_Model!$C$15)^0.25))*General_Model!$C$7/(General_Model!$C$4/1000)+1)+(4*(0.3164/((General_Model!$C$14*A283*(General_Model!$C$4/1000)/General_Model!$C$15)^0.25))*General_Model!$C$7/(General_Model!$C$4/1000)+2)*(General_Model!$C$26/A283))</f>
        <v>-3.1526286991719263E-2</v>
      </c>
      <c r="C283" s="13">
        <f t="shared" si="4"/>
        <v>0</v>
      </c>
    </row>
    <row r="284" spans="1:3" x14ac:dyDescent="0.25">
      <c r="A284" s="11">
        <v>0.28199999999999997</v>
      </c>
      <c r="B284" s="12">
        <f>(General_Model!$C$6/General_Model!$C$7)-1/(1+General_Model!$C$26/((1.2+0.2*(General_Model!$C$26/A284)+0.35*SQRT(9.80665*(General_Model!$C$4/1000))/A284)*A284))-(A284^2/(2*9.80665*General_Model!$C$7))*((4*(0.3164/((General_Model!$C$14*A284*(General_Model!$C$4/1000)/General_Model!$C$15)^0.25))*General_Model!$C$7/(General_Model!$C$4/1000)+1)+(4*(0.3164/((General_Model!$C$14*A284*(General_Model!$C$4/1000)/General_Model!$C$15)^0.25))*General_Model!$C$7/(General_Model!$C$4/1000)+2)*(General_Model!$C$26/A284))</f>
        <v>-3.219674772710697E-2</v>
      </c>
      <c r="C284" s="13">
        <f t="shared" si="4"/>
        <v>0</v>
      </c>
    </row>
    <row r="285" spans="1:3" x14ac:dyDescent="0.25">
      <c r="A285" s="11">
        <v>0.28299999999999997</v>
      </c>
      <c r="B285" s="12">
        <f>(General_Model!$C$6/General_Model!$C$7)-1/(1+General_Model!$C$26/((1.2+0.2*(General_Model!$C$26/A285)+0.35*SQRT(9.80665*(General_Model!$C$4/1000))/A285)*A285))-(A285^2/(2*9.80665*General_Model!$C$7))*((4*(0.3164/((General_Model!$C$14*A285*(General_Model!$C$4/1000)/General_Model!$C$15)^0.25))*General_Model!$C$7/(General_Model!$C$4/1000)+1)+(4*(0.3164/((General_Model!$C$14*A285*(General_Model!$C$4/1000)/General_Model!$C$15)^0.25))*General_Model!$C$7/(General_Model!$C$4/1000)+2)*(General_Model!$C$26/A285))</f>
        <v>-3.2866494362531022E-2</v>
      </c>
      <c r="C285" s="13">
        <f t="shared" si="4"/>
        <v>0</v>
      </c>
    </row>
    <row r="286" spans="1:3" x14ac:dyDescent="0.25">
      <c r="A286" s="11">
        <v>0.28399999999999997</v>
      </c>
      <c r="B286" s="12">
        <f>(General_Model!$C$6/General_Model!$C$7)-1/(1+General_Model!$C$26/((1.2+0.2*(General_Model!$C$26/A286)+0.35*SQRT(9.80665*(General_Model!$C$4/1000))/A286)*A286))-(A286^2/(2*9.80665*General_Model!$C$7))*((4*(0.3164/((General_Model!$C$14*A286*(General_Model!$C$4/1000)/General_Model!$C$15)^0.25))*General_Model!$C$7/(General_Model!$C$4/1000)+1)+(4*(0.3164/((General_Model!$C$14*A286*(General_Model!$C$4/1000)/General_Model!$C$15)^0.25))*General_Model!$C$7/(General_Model!$C$4/1000)+2)*(General_Model!$C$26/A286))</f>
        <v>-3.3535530109868483E-2</v>
      </c>
      <c r="C286" s="13">
        <f t="shared" si="4"/>
        <v>0</v>
      </c>
    </row>
    <row r="287" spans="1:3" x14ac:dyDescent="0.25">
      <c r="A287" s="11">
        <v>0.28499999999999998</v>
      </c>
      <c r="B287" s="12">
        <f>(General_Model!$C$6/General_Model!$C$7)-1/(1+General_Model!$C$26/((1.2+0.2*(General_Model!$C$26/A287)+0.35*SQRT(9.80665*(General_Model!$C$4/1000))/A287)*A287))-(A287^2/(2*9.80665*General_Model!$C$7))*((4*(0.3164/((General_Model!$C$14*A287*(General_Model!$C$4/1000)/General_Model!$C$15)^0.25))*General_Model!$C$7/(General_Model!$C$4/1000)+1)+(4*(0.3164/((General_Model!$C$14*A287*(General_Model!$C$4/1000)/General_Model!$C$15)^0.25))*General_Model!$C$7/(General_Model!$C$4/1000)+2)*(General_Model!$C$26/A287))</f>
        <v>-3.4203858166354927E-2</v>
      </c>
      <c r="C287" s="13">
        <f t="shared" si="4"/>
        <v>0</v>
      </c>
    </row>
    <row r="288" spans="1:3" x14ac:dyDescent="0.25">
      <c r="A288" s="11">
        <v>0.28599999999999998</v>
      </c>
      <c r="B288" s="12">
        <f>(General_Model!$C$6/General_Model!$C$7)-1/(1+General_Model!$C$26/((1.2+0.2*(General_Model!$C$26/A288)+0.35*SQRT(9.80665*(General_Model!$C$4/1000))/A288)*A288))-(A288^2/(2*9.80665*General_Model!$C$7))*((4*(0.3164/((General_Model!$C$14*A288*(General_Model!$C$4/1000)/General_Model!$C$15)^0.25))*General_Model!$C$7/(General_Model!$C$4/1000)+1)+(4*(0.3164/((General_Model!$C$14*A288*(General_Model!$C$4/1000)/General_Model!$C$15)^0.25))*General_Model!$C$7/(General_Model!$C$4/1000)+2)*(General_Model!$C$26/A288))</f>
        <v>-3.4871481714671547E-2</v>
      </c>
      <c r="C288" s="13">
        <f t="shared" si="4"/>
        <v>0</v>
      </c>
    </row>
    <row r="289" spans="1:3" x14ac:dyDescent="0.25">
      <c r="A289" s="11">
        <v>0.28699999999999998</v>
      </c>
      <c r="B289" s="12">
        <f>(General_Model!$C$6/General_Model!$C$7)-1/(1+General_Model!$C$26/((1.2+0.2*(General_Model!$C$26/A289)+0.35*SQRT(9.80665*(General_Model!$C$4/1000))/A289)*A289))-(A289^2/(2*9.80665*General_Model!$C$7))*((4*(0.3164/((General_Model!$C$14*A289*(General_Model!$C$4/1000)/General_Model!$C$15)^0.25))*General_Model!$C$7/(General_Model!$C$4/1000)+1)+(4*(0.3164/((General_Model!$C$14*A289*(General_Model!$C$4/1000)/General_Model!$C$15)^0.25))*General_Model!$C$7/(General_Model!$C$4/1000)+2)*(General_Model!$C$26/A289))</f>
        <v>-3.5538403923032535E-2</v>
      </c>
      <c r="C289" s="13">
        <f t="shared" si="4"/>
        <v>0</v>
      </c>
    </row>
    <row r="290" spans="1:3" x14ac:dyDescent="0.25">
      <c r="A290" s="11">
        <v>0.28799999999999998</v>
      </c>
      <c r="B290" s="12">
        <f>(General_Model!$C$6/General_Model!$C$7)-1/(1+General_Model!$C$26/((1.2+0.2*(General_Model!$C$26/A290)+0.35*SQRT(9.80665*(General_Model!$C$4/1000))/A290)*A290))-(A290^2/(2*9.80665*General_Model!$C$7))*((4*(0.3164/((General_Model!$C$14*A290*(General_Model!$C$4/1000)/General_Model!$C$15)^0.25))*General_Model!$C$7/(General_Model!$C$4/1000)+1)+(4*(0.3164/((General_Model!$C$14*A290*(General_Model!$C$4/1000)/General_Model!$C$15)^0.25))*General_Model!$C$7/(General_Model!$C$4/1000)+2)*(General_Model!$C$26/A290))</f>
        <v>-3.6204627945270018E-2</v>
      </c>
      <c r="C290" s="13">
        <f t="shared" si="4"/>
        <v>0</v>
      </c>
    </row>
    <row r="291" spans="1:3" x14ac:dyDescent="0.25">
      <c r="A291" s="11">
        <v>0.28899999999999998</v>
      </c>
      <c r="B291" s="12">
        <f>(General_Model!$C$6/General_Model!$C$7)-1/(1+General_Model!$C$26/((1.2+0.2*(General_Model!$C$26/A291)+0.35*SQRT(9.80665*(General_Model!$C$4/1000))/A291)*A291))-(A291^2/(2*9.80665*General_Model!$C$7))*((4*(0.3164/((General_Model!$C$14*A291*(General_Model!$C$4/1000)/General_Model!$C$15)^0.25))*General_Model!$C$7/(General_Model!$C$4/1000)+1)+(4*(0.3164/((General_Model!$C$14*A291*(General_Model!$C$4/1000)/General_Model!$C$15)^0.25))*General_Model!$C$7/(General_Model!$C$4/1000)+2)*(General_Model!$C$26/A291))</f>
        <v>-3.6870156920920806E-2</v>
      </c>
      <c r="C291" s="13">
        <f t="shared" si="4"/>
        <v>0</v>
      </c>
    </row>
    <row r="292" spans="1:3" x14ac:dyDescent="0.25">
      <c r="A292" s="11">
        <v>0.28999999999999998</v>
      </c>
      <c r="B292" s="12">
        <f>(General_Model!$C$6/General_Model!$C$7)-1/(1+General_Model!$C$26/((1.2+0.2*(General_Model!$C$26/A292)+0.35*SQRT(9.80665*(General_Model!$C$4/1000))/A292)*A292))-(A292^2/(2*9.80665*General_Model!$C$7))*((4*(0.3164/((General_Model!$C$14*A292*(General_Model!$C$4/1000)/General_Model!$C$15)^0.25))*General_Model!$C$7/(General_Model!$C$4/1000)+1)+(4*(0.3164/((General_Model!$C$14*A292*(General_Model!$C$4/1000)/General_Model!$C$15)^0.25))*General_Model!$C$7/(General_Model!$C$4/1000)+2)*(General_Model!$C$26/A292))</f>
        <v>-3.7534993975310044E-2</v>
      </c>
      <c r="C292" s="13">
        <f t="shared" si="4"/>
        <v>0</v>
      </c>
    </row>
    <row r="293" spans="1:3" x14ac:dyDescent="0.25">
      <c r="A293" s="11">
        <v>0.29099999999999998</v>
      </c>
      <c r="B293" s="12">
        <f>(General_Model!$C$6/General_Model!$C$7)-1/(1+General_Model!$C$26/((1.2+0.2*(General_Model!$C$26/A293)+0.35*SQRT(9.80665*(General_Model!$C$4/1000))/A293)*A293))-(A293^2/(2*9.80665*General_Model!$C$7))*((4*(0.3164/((General_Model!$C$14*A293*(General_Model!$C$4/1000)/General_Model!$C$15)^0.25))*General_Model!$C$7/(General_Model!$C$4/1000)+1)+(4*(0.3164/((General_Model!$C$14*A293*(General_Model!$C$4/1000)/General_Model!$C$15)^0.25))*General_Model!$C$7/(General_Model!$C$4/1000)+2)*(General_Model!$C$26/A293))</f>
        <v>-3.8199142219635503E-2</v>
      </c>
      <c r="C293" s="13">
        <f t="shared" si="4"/>
        <v>0</v>
      </c>
    </row>
    <row r="294" spans="1:3" x14ac:dyDescent="0.25">
      <c r="A294" s="11">
        <v>0.29199999999999998</v>
      </c>
      <c r="B294" s="12">
        <f>(General_Model!$C$6/General_Model!$C$7)-1/(1+General_Model!$C$26/((1.2+0.2*(General_Model!$C$26/A294)+0.35*SQRT(9.80665*(General_Model!$C$4/1000))/A294)*A294))-(A294^2/(2*9.80665*General_Model!$C$7))*((4*(0.3164/((General_Model!$C$14*A294*(General_Model!$C$4/1000)/General_Model!$C$15)^0.25))*General_Model!$C$7/(General_Model!$C$4/1000)+1)+(4*(0.3164/((General_Model!$C$14*A294*(General_Model!$C$4/1000)/General_Model!$C$15)^0.25))*General_Model!$C$7/(General_Model!$C$4/1000)+2)*(General_Model!$C$26/A294))</f>
        <v>-3.8862604751051098E-2</v>
      </c>
      <c r="C294" s="13">
        <f t="shared" si="4"/>
        <v>0</v>
      </c>
    </row>
    <row r="295" spans="1:3" x14ac:dyDescent="0.25">
      <c r="A295" s="11">
        <v>0.29299999999999998</v>
      </c>
      <c r="B295" s="12">
        <f>(General_Model!$C$6/General_Model!$C$7)-1/(1+General_Model!$C$26/((1.2+0.2*(General_Model!$C$26/A295)+0.35*SQRT(9.80665*(General_Model!$C$4/1000))/A295)*A295))-(A295^2/(2*9.80665*General_Model!$C$7))*((4*(0.3164/((General_Model!$C$14*A295*(General_Model!$C$4/1000)/General_Model!$C$15)^0.25))*General_Model!$C$7/(General_Model!$C$4/1000)+1)+(4*(0.3164/((General_Model!$C$14*A295*(General_Model!$C$4/1000)/General_Model!$C$15)^0.25))*General_Model!$C$7/(General_Model!$C$4/1000)+2)*(General_Model!$C$26/A295))</f>
        <v>-3.9525384652749719E-2</v>
      </c>
      <c r="C295" s="13">
        <f t="shared" si="4"/>
        <v>0</v>
      </c>
    </row>
    <row r="296" spans="1:3" x14ac:dyDescent="0.25">
      <c r="A296" s="11">
        <v>0.29399999999999998</v>
      </c>
      <c r="B296" s="12">
        <f>(General_Model!$C$6/General_Model!$C$7)-1/(1+General_Model!$C$26/((1.2+0.2*(General_Model!$C$26/A296)+0.35*SQRT(9.80665*(General_Model!$C$4/1000))/A296)*A296))-(A296^2/(2*9.80665*General_Model!$C$7))*((4*(0.3164/((General_Model!$C$14*A296*(General_Model!$C$4/1000)/General_Model!$C$15)^0.25))*General_Model!$C$7/(General_Model!$C$4/1000)+1)+(4*(0.3164/((General_Model!$C$14*A296*(General_Model!$C$4/1000)/General_Model!$C$15)^0.25))*General_Model!$C$7/(General_Model!$C$4/1000)+2)*(General_Model!$C$26/A296))</f>
        <v>-4.0187484994044745E-2</v>
      </c>
      <c r="C296" s="13">
        <f t="shared" si="4"/>
        <v>0</v>
      </c>
    </row>
    <row r="297" spans="1:3" x14ac:dyDescent="0.25">
      <c r="A297" s="11">
        <v>0.29499999999999998</v>
      </c>
      <c r="B297" s="12">
        <f>(General_Model!$C$6/General_Model!$C$7)-1/(1+General_Model!$C$26/((1.2+0.2*(General_Model!$C$26/A297)+0.35*SQRT(9.80665*(General_Model!$C$4/1000))/A297)*A297))-(A297^2/(2*9.80665*General_Model!$C$7))*((4*(0.3164/((General_Model!$C$14*A297*(General_Model!$C$4/1000)/General_Model!$C$15)^0.25))*General_Model!$C$7/(General_Model!$C$4/1000)+1)+(4*(0.3164/((General_Model!$C$14*A297*(General_Model!$C$4/1000)/General_Model!$C$15)^0.25))*General_Model!$C$7/(General_Model!$C$4/1000)+2)*(General_Model!$C$26/A297))</f>
        <v>-4.0848908830452016E-2</v>
      </c>
      <c r="C297" s="13">
        <f t="shared" si="4"/>
        <v>0</v>
      </c>
    </row>
    <row r="298" spans="1:3" x14ac:dyDescent="0.25">
      <c r="A298" s="11">
        <v>0.29599999999999999</v>
      </c>
      <c r="B298" s="12">
        <f>(General_Model!$C$6/General_Model!$C$7)-1/(1+General_Model!$C$26/((1.2+0.2*(General_Model!$C$26/A298)+0.35*SQRT(9.80665*(General_Model!$C$4/1000))/A298)*A298))-(A298^2/(2*9.80665*General_Model!$C$7))*((4*(0.3164/((General_Model!$C$14*A298*(General_Model!$C$4/1000)/General_Model!$C$15)^0.25))*General_Model!$C$7/(General_Model!$C$4/1000)+1)+(4*(0.3164/((General_Model!$C$14*A298*(General_Model!$C$4/1000)/General_Model!$C$15)^0.25))*General_Model!$C$7/(General_Model!$C$4/1000)+2)*(General_Model!$C$26/A298))</f>
        <v>-4.1509659203769804E-2</v>
      </c>
      <c r="C298" s="13">
        <f t="shared" si="4"/>
        <v>0</v>
      </c>
    </row>
    <row r="299" spans="1:3" x14ac:dyDescent="0.25">
      <c r="A299" s="11">
        <v>0.29699999999999999</v>
      </c>
      <c r="B299" s="12">
        <f>(General_Model!$C$6/General_Model!$C$7)-1/(1+General_Model!$C$26/((1.2+0.2*(General_Model!$C$26/A299)+0.35*SQRT(9.80665*(General_Model!$C$4/1000))/A299)*A299))-(A299^2/(2*9.80665*General_Model!$C$7))*((4*(0.3164/((General_Model!$C$14*A299*(General_Model!$C$4/1000)/General_Model!$C$15)^0.25))*General_Model!$C$7/(General_Model!$C$4/1000)+1)+(4*(0.3164/((General_Model!$C$14*A299*(General_Model!$C$4/1000)/General_Model!$C$15)^0.25))*General_Model!$C$7/(General_Model!$C$4/1000)+2)*(General_Model!$C$26/A299))</f>
        <v>-4.216973914216026E-2</v>
      </c>
      <c r="C299" s="13">
        <f t="shared" si="4"/>
        <v>0</v>
      </c>
    </row>
    <row r="300" spans="1:3" x14ac:dyDescent="0.25">
      <c r="A300" s="11">
        <v>0.29799999999999999</v>
      </c>
      <c r="B300" s="12">
        <f>(General_Model!$C$6/General_Model!$C$7)-1/(1+General_Model!$C$26/((1.2+0.2*(General_Model!$C$26/A300)+0.35*SQRT(9.80665*(General_Model!$C$4/1000))/A300)*A300))-(A300^2/(2*9.80665*General_Model!$C$7))*((4*(0.3164/((General_Model!$C$14*A300*(General_Model!$C$4/1000)/General_Model!$C$15)^0.25))*General_Model!$C$7/(General_Model!$C$4/1000)+1)+(4*(0.3164/((General_Model!$C$14*A300*(General_Model!$C$4/1000)/General_Model!$C$15)^0.25))*General_Model!$C$7/(General_Model!$C$4/1000)+2)*(General_Model!$C$26/A300))</f>
        <v>-4.2829151660227625E-2</v>
      </c>
      <c r="C300" s="13">
        <f t="shared" si="4"/>
        <v>0</v>
      </c>
    </row>
    <row r="301" spans="1:3" x14ac:dyDescent="0.25">
      <c r="A301" s="11">
        <v>0.29899999999999999</v>
      </c>
      <c r="B301" s="12">
        <f>(General_Model!$C$6/General_Model!$C$7)-1/(1+General_Model!$C$26/((1.2+0.2*(General_Model!$C$26/A301)+0.35*SQRT(9.80665*(General_Model!$C$4/1000))/A301)*A301))-(A301^2/(2*9.80665*General_Model!$C$7))*((4*(0.3164/((General_Model!$C$14*A301*(General_Model!$C$4/1000)/General_Model!$C$15)^0.25))*General_Model!$C$7/(General_Model!$C$4/1000)+1)+(4*(0.3164/((General_Model!$C$14*A301*(General_Model!$C$4/1000)/General_Model!$C$15)^0.25))*General_Model!$C$7/(General_Model!$C$4/1000)+2)*(General_Model!$C$26/A301))</f>
        <v>-4.348789975909774E-2</v>
      </c>
      <c r="C301" s="13">
        <f t="shared" si="4"/>
        <v>0</v>
      </c>
    </row>
    <row r="302" spans="1:3" x14ac:dyDescent="0.25">
      <c r="A302" s="11">
        <v>0.3</v>
      </c>
      <c r="B302" s="12">
        <f>(General_Model!$C$6/General_Model!$C$7)-1/(1+General_Model!$C$26/((1.2+0.2*(General_Model!$C$26/A302)+0.35*SQRT(9.80665*(General_Model!$C$4/1000))/A302)*A302))-(A302^2/(2*9.80665*General_Model!$C$7))*((4*(0.3164/((General_Model!$C$14*A302*(General_Model!$C$4/1000)/General_Model!$C$15)^0.25))*General_Model!$C$7/(General_Model!$C$4/1000)+1)+(4*(0.3164/((General_Model!$C$14*A302*(General_Model!$C$4/1000)/General_Model!$C$15)^0.25))*General_Model!$C$7/(General_Model!$C$4/1000)+2)*(General_Model!$C$26/A302))</f>
        <v>-4.4145986426496614E-2</v>
      </c>
      <c r="C302" s="13">
        <f t="shared" si="4"/>
        <v>0</v>
      </c>
    </row>
    <row r="303" spans="1:3" x14ac:dyDescent="0.25">
      <c r="A303" s="11">
        <v>0.30099999999999999</v>
      </c>
      <c r="B303" s="12">
        <f>(General_Model!$C$6/General_Model!$C$7)-1/(1+General_Model!$C$26/((1.2+0.2*(General_Model!$C$26/A303)+0.35*SQRT(9.80665*(General_Model!$C$4/1000))/A303)*A303))-(A303^2/(2*9.80665*General_Model!$C$7))*((4*(0.3164/((General_Model!$C$14*A303*(General_Model!$C$4/1000)/General_Model!$C$15)^0.25))*General_Model!$C$7/(General_Model!$C$4/1000)+1)+(4*(0.3164/((General_Model!$C$14*A303*(General_Model!$C$4/1000)/General_Model!$C$15)^0.25))*General_Model!$C$7/(General_Model!$C$4/1000)+2)*(General_Model!$C$26/A303))</f>
        <v>-4.4803414636827243E-2</v>
      </c>
      <c r="C303" s="13">
        <f t="shared" si="4"/>
        <v>0</v>
      </c>
    </row>
    <row r="304" spans="1:3" x14ac:dyDescent="0.25">
      <c r="A304" s="11">
        <v>0.30199999999999999</v>
      </c>
      <c r="B304" s="12">
        <f>(General_Model!$C$6/General_Model!$C$7)-1/(1+General_Model!$C$26/((1.2+0.2*(General_Model!$C$26/A304)+0.35*SQRT(9.80665*(General_Model!$C$4/1000))/A304)*A304))-(A304^2/(2*9.80665*General_Model!$C$7))*((4*(0.3164/((General_Model!$C$14*A304*(General_Model!$C$4/1000)/General_Model!$C$15)^0.25))*General_Model!$C$7/(General_Model!$C$4/1000)+1)+(4*(0.3164/((General_Model!$C$14*A304*(General_Model!$C$4/1000)/General_Model!$C$15)^0.25))*General_Model!$C$7/(General_Model!$C$4/1000)+2)*(General_Model!$C$26/A304))</f>
        <v>-4.546018735124753E-2</v>
      </c>
      <c r="C304" s="13">
        <f t="shared" si="4"/>
        <v>0</v>
      </c>
    </row>
    <row r="305" spans="1:3" x14ac:dyDescent="0.25">
      <c r="A305" s="11">
        <v>0.30299999999999999</v>
      </c>
      <c r="B305" s="12">
        <f>(General_Model!$C$6/General_Model!$C$7)-1/(1+General_Model!$C$26/((1.2+0.2*(General_Model!$C$26/A305)+0.35*SQRT(9.80665*(General_Model!$C$4/1000))/A305)*A305))-(A305^2/(2*9.80665*General_Model!$C$7))*((4*(0.3164/((General_Model!$C$14*A305*(General_Model!$C$4/1000)/General_Model!$C$15)^0.25))*General_Model!$C$7/(General_Model!$C$4/1000)+1)+(4*(0.3164/((General_Model!$C$14*A305*(General_Model!$C$4/1000)/General_Model!$C$15)^0.25))*General_Model!$C$7/(General_Model!$C$4/1000)+2)*(General_Model!$C$26/A305))</f>
        <v>-4.6116307517746709E-2</v>
      </c>
      <c r="C305" s="13">
        <f t="shared" si="4"/>
        <v>0</v>
      </c>
    </row>
    <row r="306" spans="1:3" x14ac:dyDescent="0.25">
      <c r="A306" s="11">
        <v>0.30399999999999999</v>
      </c>
      <c r="B306" s="12">
        <f>(General_Model!$C$6/General_Model!$C$7)-1/(1+General_Model!$C$26/((1.2+0.2*(General_Model!$C$26/A306)+0.35*SQRT(9.80665*(General_Model!$C$4/1000))/A306)*A306))-(A306^2/(2*9.80665*General_Model!$C$7))*((4*(0.3164/((General_Model!$C$14*A306*(General_Model!$C$4/1000)/General_Model!$C$15)^0.25))*General_Model!$C$7/(General_Model!$C$4/1000)+1)+(4*(0.3164/((General_Model!$C$14*A306*(General_Model!$C$4/1000)/General_Model!$C$15)^0.25))*General_Model!$C$7/(General_Model!$C$4/1000)+2)*(General_Model!$C$26/A306))</f>
        <v>-4.677177807122064E-2</v>
      </c>
      <c r="C306" s="13">
        <f t="shared" si="4"/>
        <v>0</v>
      </c>
    </row>
    <row r="307" spans="1:3" x14ac:dyDescent="0.25">
      <c r="A307" s="11">
        <v>0.30499999999999999</v>
      </c>
      <c r="B307" s="12">
        <f>(General_Model!$C$6/General_Model!$C$7)-1/(1+General_Model!$C$26/((1.2+0.2*(General_Model!$C$26/A307)+0.35*SQRT(9.80665*(General_Model!$C$4/1000))/A307)*A307))-(A307^2/(2*9.80665*General_Model!$C$7))*((4*(0.3164/((General_Model!$C$14*A307*(General_Model!$C$4/1000)/General_Model!$C$15)^0.25))*General_Model!$C$7/(General_Model!$C$4/1000)+1)+(4*(0.3164/((General_Model!$C$14*A307*(General_Model!$C$4/1000)/General_Model!$C$15)^0.25))*General_Model!$C$7/(General_Model!$C$4/1000)+2)*(General_Model!$C$26/A307))</f>
        <v>-4.7426601933547662E-2</v>
      </c>
      <c r="C307" s="13">
        <f t="shared" si="4"/>
        <v>0</v>
      </c>
    </row>
    <row r="308" spans="1:3" x14ac:dyDescent="0.25">
      <c r="A308" s="11">
        <v>0.30599999999999999</v>
      </c>
      <c r="B308" s="12">
        <f>(General_Model!$C$6/General_Model!$C$7)-1/(1+General_Model!$C$26/((1.2+0.2*(General_Model!$C$26/A308)+0.35*SQRT(9.80665*(General_Model!$C$4/1000))/A308)*A308))-(A308^2/(2*9.80665*General_Model!$C$7))*((4*(0.3164/((General_Model!$C$14*A308*(General_Model!$C$4/1000)/General_Model!$C$15)^0.25))*General_Model!$C$7/(General_Model!$C$4/1000)+1)+(4*(0.3164/((General_Model!$C$14*A308*(General_Model!$C$4/1000)/General_Model!$C$15)^0.25))*General_Model!$C$7/(General_Model!$C$4/1000)+2)*(General_Model!$C$26/A308))</f>
        <v>-4.8080782013663503E-2</v>
      </c>
      <c r="C308" s="13">
        <f t="shared" si="4"/>
        <v>0</v>
      </c>
    </row>
    <row r="309" spans="1:3" x14ac:dyDescent="0.25">
      <c r="A309" s="11">
        <v>0.307</v>
      </c>
      <c r="B309" s="12">
        <f>(General_Model!$C$6/General_Model!$C$7)-1/(1+General_Model!$C$26/((1.2+0.2*(General_Model!$C$26/A309)+0.35*SQRT(9.80665*(General_Model!$C$4/1000))/A309)*A309))-(A309^2/(2*9.80665*General_Model!$C$7))*((4*(0.3164/((General_Model!$C$14*A309*(General_Model!$C$4/1000)/General_Model!$C$15)^0.25))*General_Model!$C$7/(General_Model!$C$4/1000)+1)+(4*(0.3164/((General_Model!$C$14*A309*(General_Model!$C$4/1000)/General_Model!$C$15)^0.25))*General_Model!$C$7/(General_Model!$C$4/1000)+2)*(General_Model!$C$26/A309))</f>
        <v>-4.8734321207635163E-2</v>
      </c>
      <c r="C309" s="13">
        <f t="shared" si="4"/>
        <v>0</v>
      </c>
    </row>
    <row r="310" spans="1:3" x14ac:dyDescent="0.25">
      <c r="A310" s="11">
        <v>0.308</v>
      </c>
      <c r="B310" s="12">
        <f>(General_Model!$C$6/General_Model!$C$7)-1/(1+General_Model!$C$26/((1.2+0.2*(General_Model!$C$26/A310)+0.35*SQRT(9.80665*(General_Model!$C$4/1000))/A310)*A310))-(A310^2/(2*9.80665*General_Model!$C$7))*((4*(0.3164/((General_Model!$C$14*A310*(General_Model!$C$4/1000)/General_Model!$C$15)^0.25))*General_Model!$C$7/(General_Model!$C$4/1000)+1)+(4*(0.3164/((General_Model!$C$14*A310*(General_Model!$C$4/1000)/General_Model!$C$15)^0.25))*General_Model!$C$7/(General_Model!$C$4/1000)+2)*(General_Model!$C$26/A310))</f>
        <v>-4.9387222398734651E-2</v>
      </c>
      <c r="C310" s="13">
        <f t="shared" si="4"/>
        <v>0</v>
      </c>
    </row>
    <row r="311" spans="1:3" x14ac:dyDescent="0.25">
      <c r="A311" s="11">
        <v>0.309</v>
      </c>
      <c r="B311" s="12">
        <f>(General_Model!$C$6/General_Model!$C$7)-1/(1+General_Model!$C$26/((1.2+0.2*(General_Model!$C$26/A311)+0.35*SQRT(9.80665*(General_Model!$C$4/1000))/A311)*A311))-(A311^2/(2*9.80665*General_Model!$C$7))*((4*(0.3164/((General_Model!$C$14*A311*(General_Model!$C$4/1000)/General_Model!$C$15)^0.25))*General_Model!$C$7/(General_Model!$C$4/1000)+1)+(4*(0.3164/((General_Model!$C$14*A311*(General_Model!$C$4/1000)/General_Model!$C$15)^0.25))*General_Model!$C$7/(General_Model!$C$4/1000)+2)*(General_Model!$C$26/A311))</f>
        <v>-5.0039488457512223E-2</v>
      </c>
      <c r="C311" s="13">
        <f t="shared" si="4"/>
        <v>0</v>
      </c>
    </row>
    <row r="312" spans="1:3" x14ac:dyDescent="0.25">
      <c r="A312" s="11">
        <v>0.31</v>
      </c>
      <c r="B312" s="12">
        <f>(General_Model!$C$6/General_Model!$C$7)-1/(1+General_Model!$C$26/((1.2+0.2*(General_Model!$C$26/A312)+0.35*SQRT(9.80665*(General_Model!$C$4/1000))/A312)*A312))-(A312^2/(2*9.80665*General_Model!$C$7))*((4*(0.3164/((General_Model!$C$14*A312*(General_Model!$C$4/1000)/General_Model!$C$15)^0.25))*General_Model!$C$7/(General_Model!$C$4/1000)+1)+(4*(0.3164/((General_Model!$C$14*A312*(General_Model!$C$4/1000)/General_Model!$C$15)^0.25))*General_Model!$C$7/(General_Model!$C$4/1000)+2)*(General_Model!$C$26/A312))</f>
        <v>-5.069112224186851E-2</v>
      </c>
      <c r="C312" s="13">
        <f t="shared" si="4"/>
        <v>0</v>
      </c>
    </row>
    <row r="313" spans="1:3" x14ac:dyDescent="0.25">
      <c r="A313" s="11">
        <v>0.311</v>
      </c>
      <c r="B313" s="12">
        <f>(General_Model!$C$6/General_Model!$C$7)-1/(1+General_Model!$C$26/((1.2+0.2*(General_Model!$C$26/A313)+0.35*SQRT(9.80665*(General_Model!$C$4/1000))/A313)*A313))-(A313^2/(2*9.80665*General_Model!$C$7))*((4*(0.3164/((General_Model!$C$14*A313*(General_Model!$C$4/1000)/General_Model!$C$15)^0.25))*General_Model!$C$7/(General_Model!$C$4/1000)+1)+(4*(0.3164/((General_Model!$C$14*A313*(General_Model!$C$4/1000)/General_Model!$C$15)^0.25))*General_Model!$C$7/(General_Model!$C$4/1000)+2)*(General_Model!$C$26/A313))</f>
        <v>-5.1342126597127072E-2</v>
      </c>
      <c r="C313" s="13">
        <f t="shared" si="4"/>
        <v>0</v>
      </c>
    </row>
    <row r="314" spans="1:3" x14ac:dyDescent="0.25">
      <c r="A314" s="11">
        <v>0.312</v>
      </c>
      <c r="B314" s="12">
        <f>(General_Model!$C$6/General_Model!$C$7)-1/(1+General_Model!$C$26/((1.2+0.2*(General_Model!$C$26/A314)+0.35*SQRT(9.80665*(General_Model!$C$4/1000))/A314)*A314))-(A314^2/(2*9.80665*General_Model!$C$7))*((4*(0.3164/((General_Model!$C$14*A314*(General_Model!$C$4/1000)/General_Model!$C$15)^0.25))*General_Model!$C$7/(General_Model!$C$4/1000)+1)+(4*(0.3164/((General_Model!$C$14*A314*(General_Model!$C$4/1000)/General_Model!$C$15)^0.25))*General_Model!$C$7/(General_Model!$C$4/1000)+2)*(General_Model!$C$26/A314))</f>
        <v>-5.1992504356105806E-2</v>
      </c>
      <c r="C314" s="13">
        <f t="shared" si="4"/>
        <v>0</v>
      </c>
    </row>
    <row r="315" spans="1:3" x14ac:dyDescent="0.25">
      <c r="A315" s="11">
        <v>0.313</v>
      </c>
      <c r="B315" s="12">
        <f>(General_Model!$C$6/General_Model!$C$7)-1/(1+General_Model!$C$26/((1.2+0.2*(General_Model!$C$26/A315)+0.35*SQRT(9.80665*(General_Model!$C$4/1000))/A315)*A315))-(A315^2/(2*9.80665*General_Model!$C$7))*((4*(0.3164/((General_Model!$C$14*A315*(General_Model!$C$4/1000)/General_Model!$C$15)^0.25))*General_Model!$C$7/(General_Model!$C$4/1000)+1)+(4*(0.3164/((General_Model!$C$14*A315*(General_Model!$C$4/1000)/General_Model!$C$15)^0.25))*General_Model!$C$7/(General_Model!$C$4/1000)+2)*(General_Model!$C$26/A315))</f>
        <v>-5.264225833918755E-2</v>
      </c>
      <c r="C315" s="13">
        <f t="shared" si="4"/>
        <v>0</v>
      </c>
    </row>
    <row r="316" spans="1:3" x14ac:dyDescent="0.25">
      <c r="A316" s="11">
        <v>0.314</v>
      </c>
      <c r="B316" s="12">
        <f>(General_Model!$C$6/General_Model!$C$7)-1/(1+General_Model!$C$26/((1.2+0.2*(General_Model!$C$26/A316)+0.35*SQRT(9.80665*(General_Model!$C$4/1000))/A316)*A316))-(A316^2/(2*9.80665*General_Model!$C$7))*((4*(0.3164/((General_Model!$C$14*A316*(General_Model!$C$4/1000)/General_Model!$C$15)^0.25))*General_Model!$C$7/(General_Model!$C$4/1000)+1)+(4*(0.3164/((General_Model!$C$14*A316*(General_Model!$C$4/1000)/General_Model!$C$15)^0.25))*General_Model!$C$7/(General_Model!$C$4/1000)+2)*(General_Model!$C$26/A316))</f>
        <v>-5.3291391354390316E-2</v>
      </c>
      <c r="C316" s="13">
        <f t="shared" si="4"/>
        <v>0</v>
      </c>
    </row>
    <row r="317" spans="1:3" x14ac:dyDescent="0.25">
      <c r="A317" s="11">
        <v>0.315</v>
      </c>
      <c r="B317" s="12">
        <f>(General_Model!$C$6/General_Model!$C$7)-1/(1+General_Model!$C$26/((1.2+0.2*(General_Model!$C$26/A317)+0.35*SQRT(9.80665*(General_Model!$C$4/1000))/A317)*A317))-(A317^2/(2*9.80665*General_Model!$C$7))*((4*(0.3164/((General_Model!$C$14*A317*(General_Model!$C$4/1000)/General_Model!$C$15)^0.25))*General_Model!$C$7/(General_Model!$C$4/1000)+1)+(4*(0.3164/((General_Model!$C$14*A317*(General_Model!$C$4/1000)/General_Model!$C$15)^0.25))*General_Model!$C$7/(General_Model!$C$4/1000)+2)*(General_Model!$C$26/A317))</f>
        <v>-5.3939906197438423E-2</v>
      </c>
      <c r="C317" s="13">
        <f t="shared" si="4"/>
        <v>0</v>
      </c>
    </row>
    <row r="318" spans="1:3" x14ac:dyDescent="0.25">
      <c r="A318" s="11">
        <v>0.316</v>
      </c>
      <c r="B318" s="12">
        <f>(General_Model!$C$6/General_Model!$C$7)-1/(1+General_Model!$C$26/((1.2+0.2*(General_Model!$C$26/A318)+0.35*SQRT(9.80665*(General_Model!$C$4/1000))/A318)*A318))-(A318^2/(2*9.80665*General_Model!$C$7))*((4*(0.3164/((General_Model!$C$14*A318*(General_Model!$C$4/1000)/General_Model!$C$15)^0.25))*General_Model!$C$7/(General_Model!$C$4/1000)+1)+(4*(0.3164/((General_Model!$C$14*A318*(General_Model!$C$4/1000)/General_Model!$C$15)^0.25))*General_Model!$C$7/(General_Model!$C$4/1000)+2)*(General_Model!$C$26/A318))</f>
        <v>-5.458780565182994E-2</v>
      </c>
      <c r="C318" s="13">
        <f t="shared" si="4"/>
        <v>0</v>
      </c>
    </row>
    <row r="319" spans="1:3" x14ac:dyDescent="0.25">
      <c r="A319" s="11">
        <v>0.317</v>
      </c>
      <c r="B319" s="12">
        <f>(General_Model!$C$6/General_Model!$C$7)-1/(1+General_Model!$C$26/((1.2+0.2*(General_Model!$C$26/A319)+0.35*SQRT(9.80665*(General_Model!$C$4/1000))/A319)*A319))-(A319^2/(2*9.80665*General_Model!$C$7))*((4*(0.3164/((General_Model!$C$14*A319*(General_Model!$C$4/1000)/General_Model!$C$15)^0.25))*General_Model!$C$7/(General_Model!$C$4/1000)+1)+(4*(0.3164/((General_Model!$C$14*A319*(General_Model!$C$4/1000)/General_Model!$C$15)^0.25))*General_Model!$C$7/(General_Model!$C$4/1000)+2)*(General_Model!$C$26/A319))</f>
        <v>-5.5235092488907546E-2</v>
      </c>
      <c r="C319" s="13">
        <f t="shared" si="4"/>
        <v>0</v>
      </c>
    </row>
    <row r="320" spans="1:3" x14ac:dyDescent="0.25">
      <c r="A320" s="11">
        <v>0.318</v>
      </c>
      <c r="B320" s="12">
        <f>(General_Model!$C$6/General_Model!$C$7)-1/(1+General_Model!$C$26/((1.2+0.2*(General_Model!$C$26/A320)+0.35*SQRT(9.80665*(General_Model!$C$4/1000))/A320)*A320))-(A320^2/(2*9.80665*General_Model!$C$7))*((4*(0.3164/((General_Model!$C$14*A320*(General_Model!$C$4/1000)/General_Model!$C$15)^0.25))*General_Model!$C$7/(General_Model!$C$4/1000)+1)+(4*(0.3164/((General_Model!$C$14*A320*(General_Model!$C$4/1000)/General_Model!$C$15)^0.25))*General_Model!$C$7/(General_Model!$C$4/1000)+2)*(General_Model!$C$26/A320))</f>
        <v>-5.5881769467925356E-2</v>
      </c>
      <c r="C320" s="13">
        <f t="shared" si="4"/>
        <v>0</v>
      </c>
    </row>
    <row r="321" spans="1:3" x14ac:dyDescent="0.25">
      <c r="A321" s="11">
        <v>0.31900000000000001</v>
      </c>
      <c r="B321" s="12">
        <f>(General_Model!$C$6/General_Model!$C$7)-1/(1+General_Model!$C$26/((1.2+0.2*(General_Model!$C$26/A321)+0.35*SQRT(9.80665*(General_Model!$C$4/1000))/A321)*A321))-(A321^2/(2*9.80665*General_Model!$C$7))*((4*(0.3164/((General_Model!$C$14*A321*(General_Model!$C$4/1000)/General_Model!$C$15)^0.25))*General_Model!$C$7/(General_Model!$C$4/1000)+1)+(4*(0.3164/((General_Model!$C$14*A321*(General_Model!$C$4/1000)/General_Model!$C$15)^0.25))*General_Model!$C$7/(General_Model!$C$4/1000)+2)*(General_Model!$C$26/A321))</f>
        <v>-5.6527839336117609E-2</v>
      </c>
      <c r="C321" s="13">
        <f t="shared" si="4"/>
        <v>0</v>
      </c>
    </row>
    <row r="322" spans="1:3" x14ac:dyDescent="0.25">
      <c r="A322" s="11">
        <v>0.32</v>
      </c>
      <c r="B322" s="12">
        <f>(General_Model!$C$6/General_Model!$C$7)-1/(1+General_Model!$C$26/((1.2+0.2*(General_Model!$C$26/A322)+0.35*SQRT(9.80665*(General_Model!$C$4/1000))/A322)*A322))-(A322^2/(2*9.80665*General_Model!$C$7))*((4*(0.3164/((General_Model!$C$14*A322*(General_Model!$C$4/1000)/General_Model!$C$15)^0.25))*General_Model!$C$7/(General_Model!$C$4/1000)+1)+(4*(0.3164/((General_Model!$C$14*A322*(General_Model!$C$4/1000)/General_Model!$C$15)^0.25))*General_Model!$C$7/(General_Model!$C$4/1000)+2)*(General_Model!$C$26/A322))</f>
        <v>-5.7173304828765856E-2</v>
      </c>
      <c r="C322" s="13">
        <f t="shared" si="4"/>
        <v>0</v>
      </c>
    </row>
    <row r="323" spans="1:3" x14ac:dyDescent="0.25">
      <c r="A323" s="11">
        <v>0.32100000000000001</v>
      </c>
      <c r="B323" s="12">
        <f>(General_Model!$C$6/General_Model!$C$7)-1/(1+General_Model!$C$26/((1.2+0.2*(General_Model!$C$26/A323)+0.35*SQRT(9.80665*(General_Model!$C$4/1000))/A323)*A323))-(A323^2/(2*9.80665*General_Model!$C$7))*((4*(0.3164/((General_Model!$C$14*A323*(General_Model!$C$4/1000)/General_Model!$C$15)^0.25))*General_Model!$C$7/(General_Model!$C$4/1000)+1)+(4*(0.3164/((General_Model!$C$14*A323*(General_Model!$C$4/1000)/General_Model!$C$15)^0.25))*General_Model!$C$7/(General_Model!$C$4/1000)+2)*(General_Model!$C$26/A323))</f>
        <v>-5.7818168669265937E-2</v>
      </c>
      <c r="C323" s="13">
        <f t="shared" ref="C323:C386" si="5">IF(B323*B324&lt;=0,1,0)</f>
        <v>0</v>
      </c>
    </row>
    <row r="324" spans="1:3" x14ac:dyDescent="0.25">
      <c r="A324" s="11">
        <v>0.32200000000000001</v>
      </c>
      <c r="B324" s="12">
        <f>(General_Model!$C$6/General_Model!$C$7)-1/(1+General_Model!$C$26/((1.2+0.2*(General_Model!$C$26/A324)+0.35*SQRT(9.80665*(General_Model!$C$4/1000))/A324)*A324))-(A324^2/(2*9.80665*General_Model!$C$7))*((4*(0.3164/((General_Model!$C$14*A324*(General_Model!$C$4/1000)/General_Model!$C$15)^0.25))*General_Model!$C$7/(General_Model!$C$4/1000)+1)+(4*(0.3164/((General_Model!$C$14*A324*(General_Model!$C$4/1000)/General_Model!$C$15)^0.25))*General_Model!$C$7/(General_Model!$C$4/1000)+2)*(General_Model!$C$26/A324))</f>
        <v>-5.846243356919377E-2</v>
      </c>
      <c r="C324" s="13">
        <f t="shared" si="5"/>
        <v>0</v>
      </c>
    </row>
    <row r="325" spans="1:3" x14ac:dyDescent="0.25">
      <c r="A325" s="11">
        <v>0.32300000000000001</v>
      </c>
      <c r="B325" s="12">
        <f>(General_Model!$C$6/General_Model!$C$7)-1/(1+General_Model!$C$26/((1.2+0.2*(General_Model!$C$26/A325)+0.35*SQRT(9.80665*(General_Model!$C$4/1000))/A325)*A325))-(A325^2/(2*9.80665*General_Model!$C$7))*((4*(0.3164/((General_Model!$C$14*A325*(General_Model!$C$4/1000)/General_Model!$C$15)^0.25))*General_Model!$C$7/(General_Model!$C$4/1000)+1)+(4*(0.3164/((General_Model!$C$14*A325*(General_Model!$C$4/1000)/General_Model!$C$15)^0.25))*General_Model!$C$7/(General_Model!$C$4/1000)+2)*(General_Model!$C$26/A325))</f>
        <v>-5.910610222837237E-2</v>
      </c>
      <c r="C325" s="13">
        <f t="shared" si="5"/>
        <v>0</v>
      </c>
    </row>
    <row r="326" spans="1:3" x14ac:dyDescent="0.25">
      <c r="A326" s="11">
        <v>0.32400000000000001</v>
      </c>
      <c r="B326" s="12">
        <f>(General_Model!$C$6/General_Model!$C$7)-1/(1+General_Model!$C$26/((1.2+0.2*(General_Model!$C$26/A326)+0.35*SQRT(9.80665*(General_Model!$C$4/1000))/A326)*A326))-(A326^2/(2*9.80665*General_Model!$C$7))*((4*(0.3164/((General_Model!$C$14*A326*(General_Model!$C$4/1000)/General_Model!$C$15)^0.25))*General_Model!$C$7/(General_Model!$C$4/1000)+1)+(4*(0.3164/((General_Model!$C$14*A326*(General_Model!$C$4/1000)/General_Model!$C$15)^0.25))*General_Model!$C$7/(General_Model!$C$4/1000)+2)*(General_Model!$C$26/A326))</f>
        <v>-5.9749177334936163E-2</v>
      </c>
      <c r="C326" s="13">
        <f t="shared" si="5"/>
        <v>0</v>
      </c>
    </row>
    <row r="327" spans="1:3" x14ac:dyDescent="0.25">
      <c r="A327" s="11">
        <v>0.32500000000000001</v>
      </c>
      <c r="B327" s="12">
        <f>(General_Model!$C$6/General_Model!$C$7)-1/(1+General_Model!$C$26/((1.2+0.2*(General_Model!$C$26/A327)+0.35*SQRT(9.80665*(General_Model!$C$4/1000))/A327)*A327))-(A327^2/(2*9.80665*General_Model!$C$7))*((4*(0.3164/((General_Model!$C$14*A327*(General_Model!$C$4/1000)/General_Model!$C$15)^0.25))*General_Model!$C$7/(General_Model!$C$4/1000)+1)+(4*(0.3164/((General_Model!$C$14*A327*(General_Model!$C$4/1000)/General_Model!$C$15)^0.25))*General_Model!$C$7/(General_Model!$C$4/1000)+2)*(General_Model!$C$26/A327))</f>
        <v>-6.0391661565396722E-2</v>
      </c>
      <c r="C327" s="13">
        <f t="shared" si="5"/>
        <v>0</v>
      </c>
    </row>
    <row r="328" spans="1:3" x14ac:dyDescent="0.25">
      <c r="A328" s="11">
        <v>0.32600000000000001</v>
      </c>
      <c r="B328" s="12">
        <f>(General_Model!$C$6/General_Model!$C$7)-1/(1+General_Model!$C$26/((1.2+0.2*(General_Model!$C$26/A328)+0.35*SQRT(9.80665*(General_Model!$C$4/1000))/A328)*A328))-(A328^2/(2*9.80665*General_Model!$C$7))*((4*(0.3164/((General_Model!$C$14*A328*(General_Model!$C$4/1000)/General_Model!$C$15)^0.25))*General_Model!$C$7/(General_Model!$C$4/1000)+1)+(4*(0.3164/((General_Model!$C$14*A328*(General_Model!$C$4/1000)/General_Model!$C$15)^0.25))*General_Model!$C$7/(General_Model!$C$4/1000)+2)*(General_Model!$C$26/A328))</f>
        <v>-6.1033557584707125E-2</v>
      </c>
      <c r="C328" s="13">
        <f t="shared" si="5"/>
        <v>0</v>
      </c>
    </row>
    <row r="329" spans="1:3" x14ac:dyDescent="0.25">
      <c r="A329" s="11">
        <v>0.32700000000000001</v>
      </c>
      <c r="B329" s="12">
        <f>(General_Model!$C$6/General_Model!$C$7)-1/(1+General_Model!$C$26/((1.2+0.2*(General_Model!$C$26/A329)+0.35*SQRT(9.80665*(General_Model!$C$4/1000))/A329)*A329))-(A329^2/(2*9.80665*General_Model!$C$7))*((4*(0.3164/((General_Model!$C$14*A329*(General_Model!$C$4/1000)/General_Model!$C$15)^0.25))*General_Model!$C$7/(General_Model!$C$4/1000)+1)+(4*(0.3164/((General_Model!$C$14*A329*(General_Model!$C$4/1000)/General_Model!$C$15)^0.25))*General_Model!$C$7/(General_Model!$C$4/1000)+2)*(General_Model!$C$26/A329))</f>
        <v>-6.1674868046325479E-2</v>
      </c>
      <c r="C329" s="13">
        <f t="shared" si="5"/>
        <v>0</v>
      </c>
    </row>
    <row r="330" spans="1:3" x14ac:dyDescent="0.25">
      <c r="A330" s="11">
        <v>0.32800000000000001</v>
      </c>
      <c r="B330" s="12">
        <f>(General_Model!$C$6/General_Model!$C$7)-1/(1+General_Model!$C$26/((1.2+0.2*(General_Model!$C$26/A330)+0.35*SQRT(9.80665*(General_Model!$C$4/1000))/A330)*A330))-(A330^2/(2*9.80665*General_Model!$C$7))*((4*(0.3164/((General_Model!$C$14*A330*(General_Model!$C$4/1000)/General_Model!$C$15)^0.25))*General_Model!$C$7/(General_Model!$C$4/1000)+1)+(4*(0.3164/((General_Model!$C$14*A330*(General_Model!$C$4/1000)/General_Model!$C$15)^0.25))*General_Model!$C$7/(General_Model!$C$4/1000)+2)*(General_Model!$C$26/A330))</f>
        <v>-6.2315595592279296E-2</v>
      </c>
      <c r="C330" s="13">
        <f t="shared" si="5"/>
        <v>0</v>
      </c>
    </row>
    <row r="331" spans="1:3" x14ac:dyDescent="0.25">
      <c r="A331" s="11">
        <v>0.32900000000000001</v>
      </c>
      <c r="B331" s="12">
        <f>(General_Model!$C$6/General_Model!$C$7)-1/(1+General_Model!$C$26/((1.2+0.2*(General_Model!$C$26/A331)+0.35*SQRT(9.80665*(General_Model!$C$4/1000))/A331)*A331))-(A331^2/(2*9.80665*General_Model!$C$7))*((4*(0.3164/((General_Model!$C$14*A331*(General_Model!$C$4/1000)/General_Model!$C$15)^0.25))*General_Model!$C$7/(General_Model!$C$4/1000)+1)+(4*(0.3164/((General_Model!$C$14*A331*(General_Model!$C$4/1000)/General_Model!$C$15)^0.25))*General_Model!$C$7/(General_Model!$C$4/1000)+2)*(General_Model!$C$26/A331))</f>
        <v>-6.2955742853227845E-2</v>
      </c>
      <c r="C331" s="13">
        <f t="shared" si="5"/>
        <v>0</v>
      </c>
    </row>
    <row r="332" spans="1:3" x14ac:dyDescent="0.25">
      <c r="A332" s="11">
        <v>0.33</v>
      </c>
      <c r="B332" s="12">
        <f>(General_Model!$C$6/General_Model!$C$7)-1/(1+General_Model!$C$26/((1.2+0.2*(General_Model!$C$26/A332)+0.35*SQRT(9.80665*(General_Model!$C$4/1000))/A332)*A332))-(A332^2/(2*9.80665*General_Model!$C$7))*((4*(0.3164/((General_Model!$C$14*A332*(General_Model!$C$4/1000)/General_Model!$C$15)^0.25))*General_Model!$C$7/(General_Model!$C$4/1000)+1)+(4*(0.3164/((General_Model!$C$14*A332*(General_Model!$C$4/1000)/General_Model!$C$15)^0.25))*General_Model!$C$7/(General_Model!$C$4/1000)+2)*(General_Model!$C$26/A332))</f>
        <v>-6.3595312448525579E-2</v>
      </c>
      <c r="C332" s="13">
        <f t="shared" si="5"/>
        <v>0</v>
      </c>
    </row>
    <row r="333" spans="1:3" x14ac:dyDescent="0.25">
      <c r="A333" s="11">
        <v>0.33100000000000002</v>
      </c>
      <c r="B333" s="12">
        <f>(General_Model!$C$6/General_Model!$C$7)-1/(1+General_Model!$C$26/((1.2+0.2*(General_Model!$C$26/A333)+0.35*SQRT(9.80665*(General_Model!$C$4/1000))/A333)*A333))-(A333^2/(2*9.80665*General_Model!$C$7))*((4*(0.3164/((General_Model!$C$14*A333*(General_Model!$C$4/1000)/General_Model!$C$15)^0.25))*General_Model!$C$7/(General_Model!$C$4/1000)+1)+(4*(0.3164/((General_Model!$C$14*A333*(General_Model!$C$4/1000)/General_Model!$C$15)^0.25))*General_Model!$C$7/(General_Model!$C$4/1000)+2)*(General_Model!$C$26/A333))</f>
        <v>-6.4234306986283837E-2</v>
      </c>
      <c r="C333" s="13">
        <f t="shared" si="5"/>
        <v>0</v>
      </c>
    </row>
    <row r="334" spans="1:3" x14ac:dyDescent="0.25">
      <c r="A334" s="11">
        <v>0.33200000000000002</v>
      </c>
      <c r="B334" s="12">
        <f>(General_Model!$C$6/General_Model!$C$7)-1/(1+General_Model!$C$26/((1.2+0.2*(General_Model!$C$26/A334)+0.35*SQRT(9.80665*(General_Model!$C$4/1000))/A334)*A334))-(A334^2/(2*9.80665*General_Model!$C$7))*((4*(0.3164/((General_Model!$C$14*A334*(General_Model!$C$4/1000)/General_Model!$C$15)^0.25))*General_Model!$C$7/(General_Model!$C$4/1000)+1)+(4*(0.3164/((General_Model!$C$14*A334*(General_Model!$C$4/1000)/General_Model!$C$15)^0.25))*General_Model!$C$7/(General_Model!$C$4/1000)+2)*(General_Model!$C$26/A334))</f>
        <v>-6.4872729063432735E-2</v>
      </c>
      <c r="C334" s="13">
        <f t="shared" si="5"/>
        <v>0</v>
      </c>
    </row>
    <row r="335" spans="1:3" x14ac:dyDescent="0.25">
      <c r="A335" s="11">
        <v>0.33300000000000002</v>
      </c>
      <c r="B335" s="12">
        <f>(General_Model!$C$6/General_Model!$C$7)-1/(1+General_Model!$C$26/((1.2+0.2*(General_Model!$C$26/A335)+0.35*SQRT(9.80665*(General_Model!$C$4/1000))/A335)*A335))-(A335^2/(2*9.80665*General_Model!$C$7))*((4*(0.3164/((General_Model!$C$14*A335*(General_Model!$C$4/1000)/General_Model!$C$15)^0.25))*General_Model!$C$7/(General_Model!$C$4/1000)+1)+(4*(0.3164/((General_Model!$C$14*A335*(General_Model!$C$4/1000)/General_Model!$C$15)^0.25))*General_Model!$C$7/(General_Model!$C$4/1000)+2)*(General_Model!$C$26/A335))</f>
        <v>-6.5510581265782422E-2</v>
      </c>
      <c r="C335" s="13">
        <f t="shared" si="5"/>
        <v>0</v>
      </c>
    </row>
    <row r="336" spans="1:3" x14ac:dyDescent="0.25">
      <c r="A336" s="11">
        <v>0.33400000000000002</v>
      </c>
      <c r="B336" s="12">
        <f>(General_Model!$C$6/General_Model!$C$7)-1/(1+General_Model!$C$26/((1.2+0.2*(General_Model!$C$26/A336)+0.35*SQRT(9.80665*(General_Model!$C$4/1000))/A336)*A336))-(A336^2/(2*9.80665*General_Model!$C$7))*((4*(0.3164/((General_Model!$C$14*A336*(General_Model!$C$4/1000)/General_Model!$C$15)^0.25))*General_Model!$C$7/(General_Model!$C$4/1000)+1)+(4*(0.3164/((General_Model!$C$14*A336*(General_Model!$C$4/1000)/General_Model!$C$15)^0.25))*General_Model!$C$7/(General_Model!$C$4/1000)+2)*(General_Model!$C$26/A336))</f>
        <v>-6.6147866168084712E-2</v>
      </c>
      <c r="C336" s="13">
        <f t="shared" si="5"/>
        <v>0</v>
      </c>
    </row>
    <row r="337" spans="1:3" x14ac:dyDescent="0.25">
      <c r="A337" s="11">
        <v>0.33500000000000002</v>
      </c>
      <c r="B337" s="12">
        <f>(General_Model!$C$6/General_Model!$C$7)-1/(1+General_Model!$C$26/((1.2+0.2*(General_Model!$C$26/A337)+0.35*SQRT(9.80665*(General_Model!$C$4/1000))/A337)*A337))-(A337^2/(2*9.80665*General_Model!$C$7))*((4*(0.3164/((General_Model!$C$14*A337*(General_Model!$C$4/1000)/General_Model!$C$15)^0.25))*General_Model!$C$7/(General_Model!$C$4/1000)+1)+(4*(0.3164/((General_Model!$C$14*A337*(General_Model!$C$4/1000)/General_Model!$C$15)^0.25))*General_Model!$C$7/(General_Model!$C$4/1000)+2)*(General_Model!$C$26/A337))</f>
        <v>-6.6784586334092483E-2</v>
      </c>
      <c r="C337" s="13">
        <f t="shared" si="5"/>
        <v>0</v>
      </c>
    </row>
    <row r="338" spans="1:3" x14ac:dyDescent="0.25">
      <c r="A338" s="11">
        <v>0.33600000000000002</v>
      </c>
      <c r="B338" s="12">
        <f>(General_Model!$C$6/General_Model!$C$7)-1/(1+General_Model!$C$26/((1.2+0.2*(General_Model!$C$26/A338)+0.35*SQRT(9.80665*(General_Model!$C$4/1000))/A338)*A338))-(A338^2/(2*9.80665*General_Model!$C$7))*((4*(0.3164/((General_Model!$C$14*A338*(General_Model!$C$4/1000)/General_Model!$C$15)^0.25))*General_Model!$C$7/(General_Model!$C$4/1000)+1)+(4*(0.3164/((General_Model!$C$14*A338*(General_Model!$C$4/1000)/General_Model!$C$15)^0.25))*General_Model!$C$7/(General_Model!$C$4/1000)+2)*(General_Model!$C$26/A338))</f>
        <v>-6.7420744316620609E-2</v>
      </c>
      <c r="C338" s="13">
        <f t="shared" si="5"/>
        <v>0</v>
      </c>
    </row>
    <row r="339" spans="1:3" x14ac:dyDescent="0.25">
      <c r="A339" s="11">
        <v>0.33700000000000002</v>
      </c>
      <c r="B339" s="12">
        <f>(General_Model!$C$6/General_Model!$C$7)-1/(1+General_Model!$C$26/((1.2+0.2*(General_Model!$C$26/A339)+0.35*SQRT(9.80665*(General_Model!$C$4/1000))/A339)*A339))-(A339^2/(2*9.80665*General_Model!$C$7))*((4*(0.3164/((General_Model!$C$14*A339*(General_Model!$C$4/1000)/General_Model!$C$15)^0.25))*General_Model!$C$7/(General_Model!$C$4/1000)+1)+(4*(0.3164/((General_Model!$C$14*A339*(General_Model!$C$4/1000)/General_Model!$C$15)^0.25))*General_Model!$C$7/(General_Model!$C$4/1000)+2)*(General_Model!$C$26/A339))</f>
        <v>-6.8056342657605032E-2</v>
      </c>
      <c r="C339" s="13">
        <f t="shared" si="5"/>
        <v>0</v>
      </c>
    </row>
    <row r="340" spans="1:3" x14ac:dyDescent="0.25">
      <c r="A340" s="11">
        <v>0.33800000000000002</v>
      </c>
      <c r="B340" s="12">
        <f>(General_Model!$C$6/General_Model!$C$7)-1/(1+General_Model!$C$26/((1.2+0.2*(General_Model!$C$26/A340)+0.35*SQRT(9.80665*(General_Model!$C$4/1000))/A340)*A340))-(A340^2/(2*9.80665*General_Model!$C$7))*((4*(0.3164/((General_Model!$C$14*A340*(General_Model!$C$4/1000)/General_Model!$C$15)^0.25))*General_Model!$C$7/(General_Model!$C$4/1000)+1)+(4*(0.3164/((General_Model!$C$14*A340*(General_Model!$C$4/1000)/General_Model!$C$15)^0.25))*General_Model!$C$7/(General_Model!$C$4/1000)+2)*(General_Model!$C$26/A340))</f>
        <v>-6.8691383888162552E-2</v>
      </c>
      <c r="C340" s="13">
        <f t="shared" si="5"/>
        <v>0</v>
      </c>
    </row>
    <row r="341" spans="1:3" x14ac:dyDescent="0.25">
      <c r="A341" s="11">
        <v>0.33900000000000002</v>
      </c>
      <c r="B341" s="12">
        <f>(General_Model!$C$6/General_Model!$C$7)-1/(1+General_Model!$C$26/((1.2+0.2*(General_Model!$C$26/A341)+0.35*SQRT(9.80665*(General_Model!$C$4/1000))/A341)*A341))-(A341^2/(2*9.80665*General_Model!$C$7))*((4*(0.3164/((General_Model!$C$14*A341*(General_Model!$C$4/1000)/General_Model!$C$15)^0.25))*General_Model!$C$7/(General_Model!$C$4/1000)+1)+(4*(0.3164/((General_Model!$C$14*A341*(General_Model!$C$4/1000)/General_Model!$C$15)^0.25))*General_Model!$C$7/(General_Model!$C$4/1000)+2)*(General_Model!$C$26/A341))</f>
        <v>-6.9325870528649192E-2</v>
      </c>
      <c r="C341" s="13">
        <f t="shared" si="5"/>
        <v>0</v>
      </c>
    </row>
    <row r="342" spans="1:3" x14ac:dyDescent="0.25">
      <c r="A342" s="11">
        <v>0.34</v>
      </c>
      <c r="B342" s="12">
        <f>(General_Model!$C$6/General_Model!$C$7)-1/(1+General_Model!$C$26/((1.2+0.2*(General_Model!$C$26/A342)+0.35*SQRT(9.80665*(General_Model!$C$4/1000))/A342)*A342))-(A342^2/(2*9.80665*General_Model!$C$7))*((4*(0.3164/((General_Model!$C$14*A342*(General_Model!$C$4/1000)/General_Model!$C$15)^0.25))*General_Model!$C$7/(General_Model!$C$4/1000)+1)+(4*(0.3164/((General_Model!$C$14*A342*(General_Model!$C$4/1000)/General_Model!$C$15)^0.25))*General_Model!$C$7/(General_Model!$C$4/1000)+2)*(General_Model!$C$26/A342))</f>
        <v>-6.9959805088718782E-2</v>
      </c>
      <c r="C342" s="13">
        <f t="shared" si="5"/>
        <v>0</v>
      </c>
    </row>
    <row r="343" spans="1:3" x14ac:dyDescent="0.25">
      <c r="A343" s="11">
        <v>0.34100000000000003</v>
      </c>
      <c r="B343" s="12">
        <f>(General_Model!$C$6/General_Model!$C$7)-1/(1+General_Model!$C$26/((1.2+0.2*(General_Model!$C$26/A343)+0.35*SQRT(9.80665*(General_Model!$C$4/1000))/A343)*A343))-(A343^2/(2*9.80665*General_Model!$C$7))*((4*(0.3164/((General_Model!$C$14*A343*(General_Model!$C$4/1000)/General_Model!$C$15)^0.25))*General_Model!$C$7/(General_Model!$C$4/1000)+1)+(4*(0.3164/((General_Model!$C$14*A343*(General_Model!$C$4/1000)/General_Model!$C$15)^0.25))*General_Model!$C$7/(General_Model!$C$4/1000)+2)*(General_Model!$C$26/A343))</f>
        <v>-7.0593190067380879E-2</v>
      </c>
      <c r="C343" s="13">
        <f t="shared" si="5"/>
        <v>0</v>
      </c>
    </row>
    <row r="344" spans="1:3" x14ac:dyDescent="0.25">
      <c r="A344" s="11">
        <v>0.34200000000000003</v>
      </c>
      <c r="B344" s="12">
        <f>(General_Model!$C$6/General_Model!$C$7)-1/(1+General_Model!$C$26/((1.2+0.2*(General_Model!$C$26/A344)+0.35*SQRT(9.80665*(General_Model!$C$4/1000))/A344)*A344))-(A344^2/(2*9.80665*General_Model!$C$7))*((4*(0.3164/((General_Model!$C$14*A344*(General_Model!$C$4/1000)/General_Model!$C$15)^0.25))*General_Model!$C$7/(General_Model!$C$4/1000)+1)+(4*(0.3164/((General_Model!$C$14*A344*(General_Model!$C$4/1000)/General_Model!$C$15)^0.25))*General_Model!$C$7/(General_Model!$C$4/1000)+2)*(General_Model!$C$26/A344))</f>
        <v>-7.122602795305874E-2</v>
      </c>
      <c r="C344" s="13">
        <f t="shared" si="5"/>
        <v>0</v>
      </c>
    </row>
    <row r="345" spans="1:3" x14ac:dyDescent="0.25">
      <c r="A345" s="11">
        <v>0.34300000000000003</v>
      </c>
      <c r="B345" s="12">
        <f>(General_Model!$C$6/General_Model!$C$7)-1/(1+General_Model!$C$26/((1.2+0.2*(General_Model!$C$26/A345)+0.35*SQRT(9.80665*(General_Model!$C$4/1000))/A345)*A345))-(A345^2/(2*9.80665*General_Model!$C$7))*((4*(0.3164/((General_Model!$C$14*A345*(General_Model!$C$4/1000)/General_Model!$C$15)^0.25))*General_Model!$C$7/(General_Model!$C$4/1000)+1)+(4*(0.3164/((General_Model!$C$14*A345*(General_Model!$C$4/1000)/General_Model!$C$15)^0.25))*General_Model!$C$7/(General_Model!$C$4/1000)+2)*(General_Model!$C$26/A345))</f>
        <v>-7.1858321223645938E-2</v>
      </c>
      <c r="C345" s="13">
        <f t="shared" si="5"/>
        <v>0</v>
      </c>
    </row>
    <row r="346" spans="1:3" x14ac:dyDescent="0.25">
      <c r="A346" s="11">
        <v>0.34399999999999997</v>
      </c>
      <c r="B346" s="12">
        <f>(General_Model!$C$6/General_Model!$C$7)-1/(1+General_Model!$C$26/((1.2+0.2*(General_Model!$C$26/A346)+0.35*SQRT(9.80665*(General_Model!$C$4/1000))/A346)*A346))-(A346^2/(2*9.80665*General_Model!$C$7))*((4*(0.3164/((General_Model!$C$14*A346*(General_Model!$C$4/1000)/General_Model!$C$15)^0.25))*General_Model!$C$7/(General_Model!$C$4/1000)+1)+(4*(0.3164/((General_Model!$C$14*A346*(General_Model!$C$4/1000)/General_Model!$C$15)^0.25))*General_Model!$C$7/(General_Model!$C$4/1000)+2)*(General_Model!$C$26/A346))</f>
        <v>-7.2490072346563503E-2</v>
      </c>
      <c r="C346" s="13">
        <f t="shared" si="5"/>
        <v>0</v>
      </c>
    </row>
    <row r="347" spans="1:3" x14ac:dyDescent="0.25">
      <c r="A347" s="11">
        <v>0.34499999999999997</v>
      </c>
      <c r="B347" s="12">
        <f>(General_Model!$C$6/General_Model!$C$7)-1/(1+General_Model!$C$26/((1.2+0.2*(General_Model!$C$26/A347)+0.35*SQRT(9.80665*(General_Model!$C$4/1000))/A347)*A347))-(A347^2/(2*9.80665*General_Model!$C$7))*((4*(0.3164/((General_Model!$C$14*A347*(General_Model!$C$4/1000)/General_Model!$C$15)^0.25))*General_Model!$C$7/(General_Model!$C$4/1000)+1)+(4*(0.3164/((General_Model!$C$14*A347*(General_Model!$C$4/1000)/General_Model!$C$15)^0.25))*General_Model!$C$7/(General_Model!$C$4/1000)+2)*(General_Model!$C$26/A347))</f>
        <v>-7.3121283778816618E-2</v>
      </c>
      <c r="C347" s="13">
        <f t="shared" si="5"/>
        <v>0</v>
      </c>
    </row>
    <row r="348" spans="1:3" x14ac:dyDescent="0.25">
      <c r="A348" s="11">
        <v>0.34599999999999997</v>
      </c>
      <c r="B348" s="12">
        <f>(General_Model!$C$6/General_Model!$C$7)-1/(1+General_Model!$C$26/((1.2+0.2*(General_Model!$C$26/A348)+0.35*SQRT(9.80665*(General_Model!$C$4/1000))/A348)*A348))-(A348^2/(2*9.80665*General_Model!$C$7))*((4*(0.3164/((General_Model!$C$14*A348*(General_Model!$C$4/1000)/General_Model!$C$15)^0.25))*General_Model!$C$7/(General_Model!$C$4/1000)+1)+(4*(0.3164/((General_Model!$C$14*A348*(General_Model!$C$4/1000)/General_Model!$C$15)^0.25))*General_Model!$C$7/(General_Model!$C$4/1000)+2)*(General_Model!$C$26/A348))</f>
        <v>-7.3751957967049725E-2</v>
      </c>
      <c r="C348" s="13">
        <f t="shared" si="5"/>
        <v>0</v>
      </c>
    </row>
    <row r="349" spans="1:3" x14ac:dyDescent="0.25">
      <c r="A349" s="11">
        <v>0.34699999999999998</v>
      </c>
      <c r="B349" s="12">
        <f>(General_Model!$C$6/General_Model!$C$7)-1/(1+General_Model!$C$26/((1.2+0.2*(General_Model!$C$26/A349)+0.35*SQRT(9.80665*(General_Model!$C$4/1000))/A349)*A349))-(A349^2/(2*9.80665*General_Model!$C$7))*((4*(0.3164/((General_Model!$C$14*A349*(General_Model!$C$4/1000)/General_Model!$C$15)^0.25))*General_Model!$C$7/(General_Model!$C$4/1000)+1)+(4*(0.3164/((General_Model!$C$14*A349*(General_Model!$C$4/1000)/General_Model!$C$15)^0.25))*General_Model!$C$7/(General_Model!$C$4/1000)+2)*(General_Model!$C$26/A349))</f>
        <v>-7.4382097347603579E-2</v>
      </c>
      <c r="C349" s="13">
        <f t="shared" si="5"/>
        <v>0</v>
      </c>
    </row>
    <row r="350" spans="1:3" x14ac:dyDescent="0.25">
      <c r="A350" s="11">
        <v>0.34799999999999998</v>
      </c>
      <c r="B350" s="12">
        <f>(General_Model!$C$6/General_Model!$C$7)-1/(1+General_Model!$C$26/((1.2+0.2*(General_Model!$C$26/A350)+0.35*SQRT(9.80665*(General_Model!$C$4/1000))/A350)*A350))-(A350^2/(2*9.80665*General_Model!$C$7))*((4*(0.3164/((General_Model!$C$14*A350*(General_Model!$C$4/1000)/General_Model!$C$15)^0.25))*General_Model!$C$7/(General_Model!$C$4/1000)+1)+(4*(0.3164/((General_Model!$C$14*A350*(General_Model!$C$4/1000)/General_Model!$C$15)^0.25))*General_Model!$C$7/(General_Model!$C$4/1000)+2)*(General_Model!$C$26/A350))</f>
        <v>-7.501170434656898E-2</v>
      </c>
      <c r="C350" s="13">
        <f t="shared" si="5"/>
        <v>0</v>
      </c>
    </row>
    <row r="351" spans="1:3" x14ac:dyDescent="0.25">
      <c r="A351" s="11">
        <v>0.34899999999999998</v>
      </c>
      <c r="B351" s="12">
        <f>(General_Model!$C$6/General_Model!$C$7)-1/(1+General_Model!$C$26/((1.2+0.2*(General_Model!$C$26/A351)+0.35*SQRT(9.80665*(General_Model!$C$4/1000))/A351)*A351))-(A351^2/(2*9.80665*General_Model!$C$7))*((4*(0.3164/((General_Model!$C$14*A351*(General_Model!$C$4/1000)/General_Model!$C$15)^0.25))*General_Model!$C$7/(General_Model!$C$4/1000)+1)+(4*(0.3164/((General_Model!$C$14*A351*(General_Model!$C$4/1000)/General_Model!$C$15)^0.25))*General_Model!$C$7/(General_Model!$C$4/1000)+2)*(General_Model!$C$26/A351))</f>
        <v>-7.5640781379843064E-2</v>
      </c>
      <c r="C351" s="13">
        <f t="shared" si="5"/>
        <v>0</v>
      </c>
    </row>
    <row r="352" spans="1:3" x14ac:dyDescent="0.25">
      <c r="A352" s="11">
        <v>0.35</v>
      </c>
      <c r="B352" s="12">
        <f>(General_Model!$C$6/General_Model!$C$7)-1/(1+General_Model!$C$26/((1.2+0.2*(General_Model!$C$26/A352)+0.35*SQRT(9.80665*(General_Model!$C$4/1000))/A352)*A352))-(A352^2/(2*9.80665*General_Model!$C$7))*((4*(0.3164/((General_Model!$C$14*A352*(General_Model!$C$4/1000)/General_Model!$C$15)^0.25))*General_Model!$C$7/(General_Model!$C$4/1000)+1)+(4*(0.3164/((General_Model!$C$14*A352*(General_Model!$C$4/1000)/General_Model!$C$15)^0.25))*General_Model!$C$7/(General_Model!$C$4/1000)+2)*(General_Model!$C$26/A352))</f>
        <v>-7.6269330853182771E-2</v>
      </c>
      <c r="C352" s="13">
        <f t="shared" si="5"/>
        <v>0</v>
      </c>
    </row>
    <row r="353" spans="1:3" x14ac:dyDescent="0.25">
      <c r="A353" s="11">
        <v>0.35099999999999998</v>
      </c>
      <c r="B353" s="12">
        <f>(General_Model!$C$6/General_Model!$C$7)-1/(1+General_Model!$C$26/((1.2+0.2*(General_Model!$C$26/A353)+0.35*SQRT(9.80665*(General_Model!$C$4/1000))/A353)*A353))-(A353^2/(2*9.80665*General_Model!$C$7))*((4*(0.3164/((General_Model!$C$14*A353*(General_Model!$C$4/1000)/General_Model!$C$15)^0.25))*General_Model!$C$7/(General_Model!$C$4/1000)+1)+(4*(0.3164/((General_Model!$C$14*A353*(General_Model!$C$4/1000)/General_Model!$C$15)^0.25))*General_Model!$C$7/(General_Model!$C$4/1000)+2)*(General_Model!$C$26/A353))</f>
        <v>-7.6897355162259706E-2</v>
      </c>
      <c r="C353" s="13">
        <f t="shared" si="5"/>
        <v>0</v>
      </c>
    </row>
    <row r="354" spans="1:3" x14ac:dyDescent="0.25">
      <c r="A354" s="11">
        <v>0.35199999999999998</v>
      </c>
      <c r="B354" s="12">
        <f>(General_Model!$C$6/General_Model!$C$7)-1/(1+General_Model!$C$26/((1.2+0.2*(General_Model!$C$26/A354)+0.35*SQRT(9.80665*(General_Model!$C$4/1000))/A354)*A354))-(A354^2/(2*9.80665*General_Model!$C$7))*((4*(0.3164/((General_Model!$C$14*A354*(General_Model!$C$4/1000)/General_Model!$C$15)^0.25))*General_Model!$C$7/(General_Model!$C$4/1000)+1)+(4*(0.3164/((General_Model!$C$14*A354*(General_Model!$C$4/1000)/General_Model!$C$15)^0.25))*General_Model!$C$7/(General_Model!$C$4/1000)+2)*(General_Model!$C$26/A354))</f>
        <v>-7.7524856692713043E-2</v>
      </c>
      <c r="C354" s="13">
        <f t="shared" si="5"/>
        <v>0</v>
      </c>
    </row>
    <row r="355" spans="1:3" x14ac:dyDescent="0.25">
      <c r="A355" s="11">
        <v>0.35299999999999998</v>
      </c>
      <c r="B355" s="12">
        <f>(General_Model!$C$6/General_Model!$C$7)-1/(1+General_Model!$C$26/((1.2+0.2*(General_Model!$C$26/A355)+0.35*SQRT(9.80665*(General_Model!$C$4/1000))/A355)*A355))-(A355^2/(2*9.80665*General_Model!$C$7))*((4*(0.3164/((General_Model!$C$14*A355*(General_Model!$C$4/1000)/General_Model!$C$15)^0.25))*General_Model!$C$7/(General_Model!$C$4/1000)+1)+(4*(0.3164/((General_Model!$C$14*A355*(General_Model!$C$4/1000)/General_Model!$C$15)^0.25))*General_Model!$C$7/(General_Model!$C$4/1000)+2)*(General_Model!$C$26/A355))</f>
        <v>-7.8151837820204115E-2</v>
      </c>
      <c r="C355" s="13">
        <f t="shared" si="5"/>
        <v>0</v>
      </c>
    </row>
    <row r="356" spans="1:3" x14ac:dyDescent="0.25">
      <c r="A356" s="11">
        <v>0.35399999999999998</v>
      </c>
      <c r="B356" s="12">
        <f>(General_Model!$C$6/General_Model!$C$7)-1/(1+General_Model!$C$26/((1.2+0.2*(General_Model!$C$26/A356)+0.35*SQRT(9.80665*(General_Model!$C$4/1000))/A356)*A356))-(A356^2/(2*9.80665*General_Model!$C$7))*((4*(0.3164/((General_Model!$C$14*A356*(General_Model!$C$4/1000)/General_Model!$C$15)^0.25))*General_Model!$C$7/(General_Model!$C$4/1000)+1)+(4*(0.3164/((General_Model!$C$14*A356*(General_Model!$C$4/1000)/General_Model!$C$15)^0.25))*General_Model!$C$7/(General_Model!$C$4/1000)+2)*(General_Model!$C$26/A356))</f>
        <v>-7.8778300910468918E-2</v>
      </c>
      <c r="C356" s="13">
        <f t="shared" si="5"/>
        <v>0</v>
      </c>
    </row>
    <row r="357" spans="1:3" x14ac:dyDescent="0.25">
      <c r="A357" s="11">
        <v>0.35499999999999998</v>
      </c>
      <c r="B357" s="12">
        <f>(General_Model!$C$6/General_Model!$C$7)-1/(1+General_Model!$C$26/((1.2+0.2*(General_Model!$C$26/A357)+0.35*SQRT(9.80665*(General_Model!$C$4/1000))/A357)*A357))-(A357^2/(2*9.80665*General_Model!$C$7))*((4*(0.3164/((General_Model!$C$14*A357*(General_Model!$C$4/1000)/General_Model!$C$15)^0.25))*General_Model!$C$7/(General_Model!$C$4/1000)+1)+(4*(0.3164/((General_Model!$C$14*A357*(General_Model!$C$4/1000)/General_Model!$C$15)^0.25))*General_Model!$C$7/(General_Model!$C$4/1000)+2)*(General_Model!$C$26/A357))</f>
        <v>-7.940424831937018E-2</v>
      </c>
      <c r="C357" s="13">
        <f t="shared" si="5"/>
        <v>0</v>
      </c>
    </row>
    <row r="358" spans="1:3" x14ac:dyDescent="0.25">
      <c r="A358" s="11">
        <v>0.35599999999999998</v>
      </c>
      <c r="B358" s="12">
        <f>(General_Model!$C$6/General_Model!$C$7)-1/(1+General_Model!$C$26/((1.2+0.2*(General_Model!$C$26/A358)+0.35*SQRT(9.80665*(General_Model!$C$4/1000))/A358)*A358))-(A358^2/(2*9.80665*General_Model!$C$7))*((4*(0.3164/((General_Model!$C$14*A358*(General_Model!$C$4/1000)/General_Model!$C$15)^0.25))*General_Model!$C$7/(General_Model!$C$4/1000)+1)+(4*(0.3164/((General_Model!$C$14*A358*(General_Model!$C$4/1000)/General_Model!$C$15)^0.25))*General_Model!$C$7/(General_Model!$C$4/1000)+2)*(General_Model!$C$26/A358))</f>
        <v>-8.0029682392950968E-2</v>
      </c>
      <c r="C358" s="13">
        <f t="shared" si="5"/>
        <v>0</v>
      </c>
    </row>
    <row r="359" spans="1:3" x14ac:dyDescent="0.25">
      <c r="A359" s="11">
        <v>0.35699999999999998</v>
      </c>
      <c r="B359" s="12">
        <f>(General_Model!$C$6/General_Model!$C$7)-1/(1+General_Model!$C$26/((1.2+0.2*(General_Model!$C$26/A359)+0.35*SQRT(9.80665*(General_Model!$C$4/1000))/A359)*A359))-(A359^2/(2*9.80665*General_Model!$C$7))*((4*(0.3164/((General_Model!$C$14*A359*(General_Model!$C$4/1000)/General_Model!$C$15)^0.25))*General_Model!$C$7/(General_Model!$C$4/1000)+1)+(4*(0.3164/((General_Model!$C$14*A359*(General_Model!$C$4/1000)/General_Model!$C$15)^0.25))*General_Model!$C$7/(General_Model!$C$4/1000)+2)*(General_Model!$C$26/A359))</f>
        <v>-8.0654605467485166E-2</v>
      </c>
      <c r="C359" s="13">
        <f t="shared" si="5"/>
        <v>0</v>
      </c>
    </row>
    <row r="360" spans="1:3" x14ac:dyDescent="0.25">
      <c r="A360" s="11">
        <v>0.35799999999999998</v>
      </c>
      <c r="B360" s="12">
        <f>(General_Model!$C$6/General_Model!$C$7)-1/(1+General_Model!$C$26/((1.2+0.2*(General_Model!$C$26/A360)+0.35*SQRT(9.80665*(General_Model!$C$4/1000))/A360)*A360))-(A360^2/(2*9.80665*General_Model!$C$7))*((4*(0.3164/((General_Model!$C$14*A360*(General_Model!$C$4/1000)/General_Model!$C$15)^0.25))*General_Model!$C$7/(General_Model!$C$4/1000)+1)+(4*(0.3164/((General_Model!$C$14*A360*(General_Model!$C$4/1000)/General_Model!$C$15)^0.25))*General_Model!$C$7/(General_Model!$C$4/1000)+2)*(General_Model!$C$26/A360))</f>
        <v>-8.1279019869530914E-2</v>
      </c>
      <c r="C360" s="13">
        <f t="shared" si="5"/>
        <v>0</v>
      </c>
    </row>
    <row r="361" spans="1:3" x14ac:dyDescent="0.25">
      <c r="A361" s="11">
        <v>0.35899999999999999</v>
      </c>
      <c r="B361" s="12">
        <f>(General_Model!$C$6/General_Model!$C$7)-1/(1+General_Model!$C$26/((1.2+0.2*(General_Model!$C$26/A361)+0.35*SQRT(9.80665*(General_Model!$C$4/1000))/A361)*A361))-(A361^2/(2*9.80665*General_Model!$C$7))*((4*(0.3164/((General_Model!$C$14*A361*(General_Model!$C$4/1000)/General_Model!$C$15)^0.25))*General_Model!$C$7/(General_Model!$C$4/1000)+1)+(4*(0.3164/((General_Model!$C$14*A361*(General_Model!$C$4/1000)/General_Model!$C$15)^0.25))*General_Model!$C$7/(General_Model!$C$4/1000)+2)*(General_Model!$C$26/A361))</f>
        <v>-8.1902927915980389E-2</v>
      </c>
      <c r="C361" s="13">
        <f t="shared" si="5"/>
        <v>0</v>
      </c>
    </row>
    <row r="362" spans="1:3" x14ac:dyDescent="0.25">
      <c r="A362" s="11">
        <v>0.36</v>
      </c>
      <c r="B362" s="12">
        <f>(General_Model!$C$6/General_Model!$C$7)-1/(1+General_Model!$C$26/((1.2+0.2*(General_Model!$C$26/A362)+0.35*SQRT(9.80665*(General_Model!$C$4/1000))/A362)*A362))-(A362^2/(2*9.80665*General_Model!$C$7))*((4*(0.3164/((General_Model!$C$14*A362*(General_Model!$C$4/1000)/General_Model!$C$15)^0.25))*General_Model!$C$7/(General_Model!$C$4/1000)+1)+(4*(0.3164/((General_Model!$C$14*A362*(General_Model!$C$4/1000)/General_Model!$C$15)^0.25))*General_Model!$C$7/(General_Model!$C$4/1000)+2)*(General_Model!$C$26/A362))</f>
        <v>-8.2526331914111295E-2</v>
      </c>
      <c r="C362" s="13">
        <f t="shared" si="5"/>
        <v>0</v>
      </c>
    </row>
    <row r="363" spans="1:3" x14ac:dyDescent="0.25">
      <c r="A363" s="11">
        <v>0.36099999999999999</v>
      </c>
      <c r="B363" s="12">
        <f>(General_Model!$C$6/General_Model!$C$7)-1/(1+General_Model!$C$26/((1.2+0.2*(General_Model!$C$26/A363)+0.35*SQRT(9.80665*(General_Model!$C$4/1000))/A363)*A363))-(A363^2/(2*9.80665*General_Model!$C$7))*((4*(0.3164/((General_Model!$C$14*A363*(General_Model!$C$4/1000)/General_Model!$C$15)^0.25))*General_Model!$C$7/(General_Model!$C$4/1000)+1)+(4*(0.3164/((General_Model!$C$14*A363*(General_Model!$C$4/1000)/General_Model!$C$15)^0.25))*General_Model!$C$7/(General_Model!$C$4/1000)+2)*(General_Model!$C$26/A363))</f>
        <v>-8.3149234161637858E-2</v>
      </c>
      <c r="C363" s="13">
        <f t="shared" si="5"/>
        <v>0</v>
      </c>
    </row>
    <row r="364" spans="1:3" x14ac:dyDescent="0.25">
      <c r="A364" s="11">
        <v>0.36199999999999999</v>
      </c>
      <c r="B364" s="12">
        <f>(General_Model!$C$6/General_Model!$C$7)-1/(1+General_Model!$C$26/((1.2+0.2*(General_Model!$C$26/A364)+0.35*SQRT(9.80665*(General_Model!$C$4/1000))/A364)*A364))-(A364^2/(2*9.80665*General_Model!$C$7))*((4*(0.3164/((General_Model!$C$14*A364*(General_Model!$C$4/1000)/General_Model!$C$15)^0.25))*General_Model!$C$7/(General_Model!$C$4/1000)+1)+(4*(0.3164/((General_Model!$C$14*A364*(General_Model!$C$4/1000)/General_Model!$C$15)^0.25))*General_Model!$C$7/(General_Model!$C$4/1000)+2)*(General_Model!$C$26/A364))</f>
        <v>-8.3771636946760486E-2</v>
      </c>
      <c r="C364" s="13">
        <f t="shared" si="5"/>
        <v>0</v>
      </c>
    </row>
    <row r="365" spans="1:3" x14ac:dyDescent="0.25">
      <c r="A365" s="11">
        <v>0.36299999999999999</v>
      </c>
      <c r="B365" s="12">
        <f>(General_Model!$C$6/General_Model!$C$7)-1/(1+General_Model!$C$26/((1.2+0.2*(General_Model!$C$26/A365)+0.35*SQRT(9.80665*(General_Model!$C$4/1000))/A365)*A365))-(A365^2/(2*9.80665*General_Model!$C$7))*((4*(0.3164/((General_Model!$C$14*A365*(General_Model!$C$4/1000)/General_Model!$C$15)^0.25))*General_Model!$C$7/(General_Model!$C$4/1000)+1)+(4*(0.3164/((General_Model!$C$14*A365*(General_Model!$C$4/1000)/General_Model!$C$15)^0.25))*General_Model!$C$7/(General_Model!$C$4/1000)+2)*(General_Model!$C$26/A365))</f>
        <v>-8.4393542548216169E-2</v>
      </c>
      <c r="C365" s="13">
        <f t="shared" si="5"/>
        <v>0</v>
      </c>
    </row>
    <row r="366" spans="1:3" x14ac:dyDescent="0.25">
      <c r="A366" s="11">
        <v>0.36399999999999999</v>
      </c>
      <c r="B366" s="12">
        <f>(General_Model!$C$6/General_Model!$C$7)-1/(1+General_Model!$C$26/((1.2+0.2*(General_Model!$C$26/A366)+0.35*SQRT(9.80665*(General_Model!$C$4/1000))/A366)*A366))-(A366^2/(2*9.80665*General_Model!$C$7))*((4*(0.3164/((General_Model!$C$14*A366*(General_Model!$C$4/1000)/General_Model!$C$15)^0.25))*General_Model!$C$7/(General_Model!$C$4/1000)+1)+(4*(0.3164/((General_Model!$C$14*A366*(General_Model!$C$4/1000)/General_Model!$C$15)^0.25))*General_Model!$C$7/(General_Model!$C$4/1000)+2)*(General_Model!$C$26/A366))</f>
        <v>-8.5014953235327775E-2</v>
      </c>
      <c r="C366" s="13">
        <f t="shared" si="5"/>
        <v>0</v>
      </c>
    </row>
    <row r="367" spans="1:3" x14ac:dyDescent="0.25">
      <c r="A367" s="11">
        <v>0.36499999999999999</v>
      </c>
      <c r="B367" s="12">
        <f>(General_Model!$C$6/General_Model!$C$7)-1/(1+General_Model!$C$26/((1.2+0.2*(General_Model!$C$26/A367)+0.35*SQRT(9.80665*(General_Model!$C$4/1000))/A367)*A367))-(A367^2/(2*9.80665*General_Model!$C$7))*((4*(0.3164/((General_Model!$C$14*A367*(General_Model!$C$4/1000)/General_Model!$C$15)^0.25))*General_Model!$C$7/(General_Model!$C$4/1000)+1)+(4*(0.3164/((General_Model!$C$14*A367*(General_Model!$C$4/1000)/General_Model!$C$15)^0.25))*General_Model!$C$7/(General_Model!$C$4/1000)+2)*(General_Model!$C$26/A367))</f>
        <v>-8.5635871268053512E-2</v>
      </c>
      <c r="C367" s="13">
        <f t="shared" si="5"/>
        <v>0</v>
      </c>
    </row>
    <row r="368" spans="1:3" x14ac:dyDescent="0.25">
      <c r="A368" s="11">
        <v>0.36599999999999999</v>
      </c>
      <c r="B368" s="12">
        <f>(General_Model!$C$6/General_Model!$C$7)-1/(1+General_Model!$C$26/((1.2+0.2*(General_Model!$C$26/A368)+0.35*SQRT(9.80665*(General_Model!$C$4/1000))/A368)*A368))-(A368^2/(2*9.80665*General_Model!$C$7))*((4*(0.3164/((General_Model!$C$14*A368*(General_Model!$C$4/1000)/General_Model!$C$15)^0.25))*General_Model!$C$7/(General_Model!$C$4/1000)+1)+(4*(0.3164/((General_Model!$C$14*A368*(General_Model!$C$4/1000)/General_Model!$C$15)^0.25))*General_Model!$C$7/(General_Model!$C$4/1000)+2)*(General_Model!$C$26/A368))</f>
        <v>-8.6256298897035968E-2</v>
      </c>
      <c r="C368" s="13">
        <f t="shared" si="5"/>
        <v>0</v>
      </c>
    </row>
    <row r="369" spans="1:3" x14ac:dyDescent="0.25">
      <c r="A369" s="11">
        <v>0.36699999999999999</v>
      </c>
      <c r="B369" s="12">
        <f>(General_Model!$C$6/General_Model!$C$7)-1/(1+General_Model!$C$26/((1.2+0.2*(General_Model!$C$26/A369)+0.35*SQRT(9.80665*(General_Model!$C$4/1000))/A369)*A369))-(A369^2/(2*9.80665*General_Model!$C$7))*((4*(0.3164/((General_Model!$C$14*A369*(General_Model!$C$4/1000)/General_Model!$C$15)^0.25))*General_Model!$C$7/(General_Model!$C$4/1000)+1)+(4*(0.3164/((General_Model!$C$14*A369*(General_Model!$C$4/1000)/General_Model!$C$15)^0.25))*General_Model!$C$7/(General_Model!$C$4/1000)+2)*(General_Model!$C$26/A369))</f>
        <v>-8.6876238363650729E-2</v>
      </c>
      <c r="C369" s="13">
        <f t="shared" si="5"/>
        <v>0</v>
      </c>
    </row>
    <row r="370" spans="1:3" x14ac:dyDescent="0.25">
      <c r="A370" s="11">
        <v>0.36799999999999999</v>
      </c>
      <c r="B370" s="12">
        <f>(General_Model!$C$6/General_Model!$C$7)-1/(1+General_Model!$C$26/((1.2+0.2*(General_Model!$C$26/A370)+0.35*SQRT(9.80665*(General_Model!$C$4/1000))/A370)*A370))-(A370^2/(2*9.80665*General_Model!$C$7))*((4*(0.3164/((General_Model!$C$14*A370*(General_Model!$C$4/1000)/General_Model!$C$15)^0.25))*General_Model!$C$7/(General_Model!$C$4/1000)+1)+(4*(0.3164/((General_Model!$C$14*A370*(General_Model!$C$4/1000)/General_Model!$C$15)^0.25))*General_Model!$C$7/(General_Model!$C$4/1000)+2)*(General_Model!$C$26/A370))</f>
        <v>-8.7495691900054379E-2</v>
      </c>
      <c r="C370" s="13">
        <f t="shared" si="5"/>
        <v>0</v>
      </c>
    </row>
    <row r="371" spans="1:3" x14ac:dyDescent="0.25">
      <c r="A371" s="11">
        <v>0.36899999999999999</v>
      </c>
      <c r="B371" s="12">
        <f>(General_Model!$C$6/General_Model!$C$7)-1/(1+General_Model!$C$26/((1.2+0.2*(General_Model!$C$26/A371)+0.35*SQRT(9.80665*(General_Model!$C$4/1000))/A371)*A371))-(A371^2/(2*9.80665*General_Model!$C$7))*((4*(0.3164/((General_Model!$C$14*A371*(General_Model!$C$4/1000)/General_Model!$C$15)^0.25))*General_Model!$C$7/(General_Model!$C$4/1000)+1)+(4*(0.3164/((General_Model!$C$14*A371*(General_Model!$C$4/1000)/General_Model!$C$15)^0.25))*General_Model!$C$7/(General_Model!$C$4/1000)+2)*(General_Model!$C$26/A371))</f>
        <v>-8.8114661729232949E-2</v>
      </c>
      <c r="C371" s="13">
        <f t="shared" si="5"/>
        <v>0</v>
      </c>
    </row>
    <row r="372" spans="1:3" x14ac:dyDescent="0.25">
      <c r="A372" s="11">
        <v>0.37</v>
      </c>
      <c r="B372" s="12">
        <f>(General_Model!$C$6/General_Model!$C$7)-1/(1+General_Model!$C$26/((1.2+0.2*(General_Model!$C$26/A372)+0.35*SQRT(9.80665*(General_Model!$C$4/1000))/A372)*A372))-(A372^2/(2*9.80665*General_Model!$C$7))*((4*(0.3164/((General_Model!$C$14*A372*(General_Model!$C$4/1000)/General_Model!$C$15)^0.25))*General_Model!$C$7/(General_Model!$C$4/1000)+1)+(4*(0.3164/((General_Model!$C$14*A372*(General_Model!$C$4/1000)/General_Model!$C$15)^0.25))*General_Model!$C$7/(General_Model!$C$4/1000)+2)*(General_Model!$C$26/A372))</f>
        <v>-8.8733150065049504E-2</v>
      </c>
      <c r="C372" s="13">
        <f t="shared" si="5"/>
        <v>0</v>
      </c>
    </row>
    <row r="373" spans="1:3" x14ac:dyDescent="0.25">
      <c r="A373" s="11">
        <v>0.371</v>
      </c>
      <c r="B373" s="12">
        <f>(General_Model!$C$6/General_Model!$C$7)-1/(1+General_Model!$C$26/((1.2+0.2*(General_Model!$C$26/A373)+0.35*SQRT(9.80665*(General_Model!$C$4/1000))/A373)*A373))-(A373^2/(2*9.80665*General_Model!$C$7))*((4*(0.3164/((General_Model!$C$14*A373*(General_Model!$C$4/1000)/General_Model!$C$15)^0.25))*General_Model!$C$7/(General_Model!$C$4/1000)+1)+(4*(0.3164/((General_Model!$C$14*A373*(General_Model!$C$4/1000)/General_Model!$C$15)^0.25))*General_Model!$C$7/(General_Model!$C$4/1000)+2)*(General_Model!$C$26/A373))</f>
        <v>-8.9351159112290912E-2</v>
      </c>
      <c r="C373" s="13">
        <f t="shared" si="5"/>
        <v>0</v>
      </c>
    </row>
    <row r="374" spans="1:3" x14ac:dyDescent="0.25">
      <c r="A374" s="11">
        <v>0.372</v>
      </c>
      <c r="B374" s="12">
        <f>(General_Model!$C$6/General_Model!$C$7)-1/(1+General_Model!$C$26/((1.2+0.2*(General_Model!$C$26/A374)+0.35*SQRT(9.80665*(General_Model!$C$4/1000))/A374)*A374))-(A374^2/(2*9.80665*General_Model!$C$7))*((4*(0.3164/((General_Model!$C$14*A374*(General_Model!$C$4/1000)/General_Model!$C$15)^0.25))*General_Model!$C$7/(General_Model!$C$4/1000)+1)+(4*(0.3164/((General_Model!$C$14*A374*(General_Model!$C$4/1000)/General_Model!$C$15)^0.25))*General_Model!$C$7/(General_Model!$C$4/1000)+2)*(General_Model!$C$26/A374))</f>
        <v>-8.9968691066716455E-2</v>
      </c>
      <c r="C374" s="13">
        <f t="shared" si="5"/>
        <v>0</v>
      </c>
    </row>
    <row r="375" spans="1:3" x14ac:dyDescent="0.25">
      <c r="A375" s="11">
        <v>0.373</v>
      </c>
      <c r="B375" s="12">
        <f>(General_Model!$C$6/General_Model!$C$7)-1/(1+General_Model!$C$26/((1.2+0.2*(General_Model!$C$26/A375)+0.35*SQRT(9.80665*(General_Model!$C$4/1000))/A375)*A375))-(A375^2/(2*9.80665*General_Model!$C$7))*((4*(0.3164/((General_Model!$C$14*A375*(General_Model!$C$4/1000)/General_Model!$C$15)^0.25))*General_Model!$C$7/(General_Model!$C$4/1000)+1)+(4*(0.3164/((General_Model!$C$14*A375*(General_Model!$C$4/1000)/General_Model!$C$15)^0.25))*General_Model!$C$7/(General_Model!$C$4/1000)+2)*(General_Model!$C$26/A375))</f>
        <v>-9.0585748115102449E-2</v>
      </c>
      <c r="C375" s="13">
        <f t="shared" si="5"/>
        <v>0</v>
      </c>
    </row>
    <row r="376" spans="1:3" x14ac:dyDescent="0.25">
      <c r="A376" s="11">
        <v>0.374</v>
      </c>
      <c r="B376" s="12">
        <f>(General_Model!$C$6/General_Model!$C$7)-1/(1+General_Model!$C$26/((1.2+0.2*(General_Model!$C$26/A376)+0.35*SQRT(9.80665*(General_Model!$C$4/1000))/A376)*A376))-(A376^2/(2*9.80665*General_Model!$C$7))*((4*(0.3164/((General_Model!$C$14*A376*(General_Model!$C$4/1000)/General_Model!$C$15)^0.25))*General_Model!$C$7/(General_Model!$C$4/1000)+1)+(4*(0.3164/((General_Model!$C$14*A376*(General_Model!$C$4/1000)/General_Model!$C$15)^0.25))*General_Model!$C$7/(General_Model!$C$4/1000)+2)*(General_Model!$C$26/A376))</f>
        <v>-9.120233243529044E-2</v>
      </c>
      <c r="C376" s="13">
        <f t="shared" si="5"/>
        <v>0</v>
      </c>
    </row>
    <row r="377" spans="1:3" x14ac:dyDescent="0.25">
      <c r="A377" s="11">
        <v>0.375</v>
      </c>
      <c r="B377" s="12">
        <f>(General_Model!$C$6/General_Model!$C$7)-1/(1+General_Model!$C$26/((1.2+0.2*(General_Model!$C$26/A377)+0.35*SQRT(9.80665*(General_Model!$C$4/1000))/A377)*A377))-(A377^2/(2*9.80665*General_Model!$C$7))*((4*(0.3164/((General_Model!$C$14*A377*(General_Model!$C$4/1000)/General_Model!$C$15)^0.25))*General_Model!$C$7/(General_Model!$C$4/1000)+1)+(4*(0.3164/((General_Model!$C$14*A377*(General_Model!$C$4/1000)/General_Model!$C$15)^0.25))*General_Model!$C$7/(General_Model!$C$4/1000)+2)*(General_Model!$C$26/A377))</f>
        <v>-9.1818446196232917E-2</v>
      </c>
      <c r="C377" s="13">
        <f t="shared" si="5"/>
        <v>0</v>
      </c>
    </row>
    <row r="378" spans="1:3" x14ac:dyDescent="0.25">
      <c r="A378" s="11">
        <v>0.376</v>
      </c>
      <c r="B378" s="12">
        <f>(General_Model!$C$6/General_Model!$C$7)-1/(1+General_Model!$C$26/((1.2+0.2*(General_Model!$C$26/A378)+0.35*SQRT(9.80665*(General_Model!$C$4/1000))/A378)*A378))-(A378^2/(2*9.80665*General_Model!$C$7))*((4*(0.3164/((General_Model!$C$14*A378*(General_Model!$C$4/1000)/General_Model!$C$15)^0.25))*General_Model!$C$7/(General_Model!$C$4/1000)+1)+(4*(0.3164/((General_Model!$C$14*A378*(General_Model!$C$4/1000)/General_Model!$C$15)^0.25))*General_Model!$C$7/(General_Model!$C$4/1000)+2)*(General_Model!$C$26/A378))</f>
        <v>-9.2434091558038639E-2</v>
      </c>
      <c r="C378" s="13">
        <f t="shared" si="5"/>
        <v>0</v>
      </c>
    </row>
    <row r="379" spans="1:3" x14ac:dyDescent="0.25">
      <c r="A379" s="11">
        <v>0.377</v>
      </c>
      <c r="B379" s="12">
        <f>(General_Model!$C$6/General_Model!$C$7)-1/(1+General_Model!$C$26/((1.2+0.2*(General_Model!$C$26/A379)+0.35*SQRT(9.80665*(General_Model!$C$4/1000))/A379)*A379))-(A379^2/(2*9.80665*General_Model!$C$7))*((4*(0.3164/((General_Model!$C$14*A379*(General_Model!$C$4/1000)/General_Model!$C$15)^0.25))*General_Model!$C$7/(General_Model!$C$4/1000)+1)+(4*(0.3164/((General_Model!$C$14*A379*(General_Model!$C$4/1000)/General_Model!$C$15)^0.25))*General_Model!$C$7/(General_Model!$C$4/1000)+2)*(General_Model!$C$26/A379))</f>
        <v>-9.3049270672018528E-2</v>
      </c>
      <c r="C379" s="13">
        <f t="shared" si="5"/>
        <v>0</v>
      </c>
    </row>
    <row r="380" spans="1:3" x14ac:dyDescent="0.25">
      <c r="A380" s="11">
        <v>0.378</v>
      </c>
      <c r="B380" s="12">
        <f>(General_Model!$C$6/General_Model!$C$7)-1/(1+General_Model!$C$26/((1.2+0.2*(General_Model!$C$26/A380)+0.35*SQRT(9.80665*(General_Model!$C$4/1000))/A380)*A380))-(A380^2/(2*9.80665*General_Model!$C$7))*((4*(0.3164/((General_Model!$C$14*A380*(General_Model!$C$4/1000)/General_Model!$C$15)^0.25))*General_Model!$C$7/(General_Model!$C$4/1000)+1)+(4*(0.3164/((General_Model!$C$14*A380*(General_Model!$C$4/1000)/General_Model!$C$15)^0.25))*General_Model!$C$7/(General_Model!$C$4/1000)+2)*(General_Model!$C$26/A380))</f>
        <v>-9.3663985680731421E-2</v>
      </c>
      <c r="C380" s="13">
        <f t="shared" si="5"/>
        <v>0</v>
      </c>
    </row>
    <row r="381" spans="1:3" x14ac:dyDescent="0.25">
      <c r="A381" s="11">
        <v>0.379</v>
      </c>
      <c r="B381" s="12">
        <f>(General_Model!$C$6/General_Model!$C$7)-1/(1+General_Model!$C$26/((1.2+0.2*(General_Model!$C$26/A381)+0.35*SQRT(9.80665*(General_Model!$C$4/1000))/A381)*A381))-(A381^2/(2*9.80665*General_Model!$C$7))*((4*(0.3164/((General_Model!$C$14*A381*(General_Model!$C$4/1000)/General_Model!$C$15)^0.25))*General_Model!$C$7/(General_Model!$C$4/1000)+1)+(4*(0.3164/((General_Model!$C$14*A381*(General_Model!$C$4/1000)/General_Model!$C$15)^0.25))*General_Model!$C$7/(General_Model!$C$4/1000)+2)*(General_Model!$C$26/A381))</f>
        <v>-9.4278238718028179E-2</v>
      </c>
      <c r="C381" s="13">
        <f t="shared" si="5"/>
        <v>0</v>
      </c>
    </row>
    <row r="382" spans="1:3" x14ac:dyDescent="0.25">
      <c r="A382" s="11">
        <v>0.38</v>
      </c>
      <c r="B382" s="12">
        <f>(General_Model!$C$6/General_Model!$C$7)-1/(1+General_Model!$C$26/((1.2+0.2*(General_Model!$C$26/A382)+0.35*SQRT(9.80665*(General_Model!$C$4/1000))/A382)*A382))-(A382^2/(2*9.80665*General_Model!$C$7))*((4*(0.3164/((General_Model!$C$14*A382*(General_Model!$C$4/1000)/General_Model!$C$15)^0.25))*General_Model!$C$7/(General_Model!$C$4/1000)+1)+(4*(0.3164/((General_Model!$C$14*A382*(General_Model!$C$4/1000)/General_Model!$C$15)^0.25))*General_Model!$C$7/(General_Model!$C$4/1000)+2)*(General_Model!$C$26/A382))</f>
        <v>-9.4892031909097133E-2</v>
      </c>
      <c r="C382" s="13">
        <f t="shared" si="5"/>
        <v>0</v>
      </c>
    </row>
    <row r="383" spans="1:3" x14ac:dyDescent="0.25">
      <c r="A383" s="11">
        <v>0.38100000000000001</v>
      </c>
      <c r="B383" s="12">
        <f>(General_Model!$C$6/General_Model!$C$7)-1/(1+General_Model!$C$26/((1.2+0.2*(General_Model!$C$26/A383)+0.35*SQRT(9.80665*(General_Model!$C$4/1000))/A383)*A383))-(A383^2/(2*9.80665*General_Model!$C$7))*((4*(0.3164/((General_Model!$C$14*A383*(General_Model!$C$4/1000)/General_Model!$C$15)^0.25))*General_Model!$C$7/(General_Model!$C$4/1000)+1)+(4*(0.3164/((General_Model!$C$14*A383*(General_Model!$C$4/1000)/General_Model!$C$15)^0.25))*General_Model!$C$7/(General_Model!$C$4/1000)+2)*(General_Model!$C$26/A383))</f>
        <v>-9.5505367370508007E-2</v>
      </c>
      <c r="C383" s="13">
        <f t="shared" si="5"/>
        <v>0</v>
      </c>
    </row>
    <row r="384" spans="1:3" x14ac:dyDescent="0.25">
      <c r="A384" s="11">
        <v>0.38200000000000001</v>
      </c>
      <c r="B384" s="12">
        <f>(General_Model!$C$6/General_Model!$C$7)-1/(1+General_Model!$C$26/((1.2+0.2*(General_Model!$C$26/A384)+0.35*SQRT(9.80665*(General_Model!$C$4/1000))/A384)*A384))-(A384^2/(2*9.80665*General_Model!$C$7))*((4*(0.3164/((General_Model!$C$14*A384*(General_Model!$C$4/1000)/General_Model!$C$15)^0.25))*General_Model!$C$7/(General_Model!$C$4/1000)+1)+(4*(0.3164/((General_Model!$C$14*A384*(General_Model!$C$4/1000)/General_Model!$C$15)^0.25))*General_Model!$C$7/(General_Model!$C$4/1000)+2)*(General_Model!$C$26/A384))</f>
        <v>-9.6118247210256108E-2</v>
      </c>
      <c r="C384" s="13">
        <f t="shared" si="5"/>
        <v>0</v>
      </c>
    </row>
    <row r="385" spans="1:3" x14ac:dyDescent="0.25">
      <c r="A385" s="11">
        <v>0.38300000000000001</v>
      </c>
      <c r="B385" s="12">
        <f>(General_Model!$C$6/General_Model!$C$7)-1/(1+General_Model!$C$26/((1.2+0.2*(General_Model!$C$26/A385)+0.35*SQRT(9.80665*(General_Model!$C$4/1000))/A385)*A385))-(A385^2/(2*9.80665*General_Model!$C$7))*((4*(0.3164/((General_Model!$C$14*A385*(General_Model!$C$4/1000)/General_Model!$C$15)^0.25))*General_Model!$C$7/(General_Model!$C$4/1000)+1)+(4*(0.3164/((General_Model!$C$14*A385*(General_Model!$C$4/1000)/General_Model!$C$15)^0.25))*General_Model!$C$7/(General_Model!$C$4/1000)+2)*(General_Model!$C$26/A385))</f>
        <v>-9.6730673527806427E-2</v>
      </c>
      <c r="C385" s="13">
        <f t="shared" si="5"/>
        <v>0</v>
      </c>
    </row>
    <row r="386" spans="1:3" x14ac:dyDescent="0.25">
      <c r="A386" s="11">
        <v>0.38400000000000001</v>
      </c>
      <c r="B386" s="12">
        <f>(General_Model!$C$6/General_Model!$C$7)-1/(1+General_Model!$C$26/((1.2+0.2*(General_Model!$C$26/A386)+0.35*SQRT(9.80665*(General_Model!$C$4/1000))/A386)*A386))-(A386^2/(2*9.80665*General_Model!$C$7))*((4*(0.3164/((General_Model!$C$14*A386*(General_Model!$C$4/1000)/General_Model!$C$15)^0.25))*General_Model!$C$7/(General_Model!$C$4/1000)+1)+(4*(0.3164/((General_Model!$C$14*A386*(General_Model!$C$4/1000)/General_Model!$C$15)^0.25))*General_Model!$C$7/(General_Model!$C$4/1000)+2)*(General_Model!$C$26/A386))</f>
        <v>-9.7342648414136923E-2</v>
      </c>
      <c r="C386" s="13">
        <f t="shared" si="5"/>
        <v>0</v>
      </c>
    </row>
    <row r="387" spans="1:3" x14ac:dyDescent="0.25">
      <c r="A387" s="11">
        <v>0.38500000000000001</v>
      </c>
      <c r="B387" s="12">
        <f>(General_Model!$C$6/General_Model!$C$7)-1/(1+General_Model!$C$26/((1.2+0.2*(General_Model!$C$26/A387)+0.35*SQRT(9.80665*(General_Model!$C$4/1000))/A387)*A387))-(A387^2/(2*9.80665*General_Model!$C$7))*((4*(0.3164/((General_Model!$C$14*A387*(General_Model!$C$4/1000)/General_Model!$C$15)^0.25))*General_Model!$C$7/(General_Model!$C$4/1000)+1)+(4*(0.3164/((General_Model!$C$14*A387*(General_Model!$C$4/1000)/General_Model!$C$15)^0.25))*General_Model!$C$7/(General_Model!$C$4/1000)+2)*(General_Model!$C$26/A387))</f>
        <v>-9.7954173951781909E-2</v>
      </c>
      <c r="C387" s="13">
        <f t="shared" ref="C387:C450" si="6">IF(B387*B388&lt;=0,1,0)</f>
        <v>0</v>
      </c>
    </row>
    <row r="388" spans="1:3" x14ac:dyDescent="0.25">
      <c r="A388" s="11">
        <v>0.38600000000000001</v>
      </c>
      <c r="B388" s="12">
        <f>(General_Model!$C$6/General_Model!$C$7)-1/(1+General_Model!$C$26/((1.2+0.2*(General_Model!$C$26/A388)+0.35*SQRT(9.80665*(General_Model!$C$4/1000))/A388)*A388))-(A388^2/(2*9.80665*General_Model!$C$7))*((4*(0.3164/((General_Model!$C$14*A388*(General_Model!$C$4/1000)/General_Model!$C$15)^0.25))*General_Model!$C$7/(General_Model!$C$4/1000)+1)+(4*(0.3164/((General_Model!$C$14*A388*(General_Model!$C$4/1000)/General_Model!$C$15)^0.25))*General_Model!$C$7/(General_Model!$C$4/1000)+2)*(General_Model!$C$26/A388))</f>
        <v>-9.8565252214874874E-2</v>
      </c>
      <c r="C388" s="13">
        <f t="shared" si="6"/>
        <v>0</v>
      </c>
    </row>
    <row r="389" spans="1:3" x14ac:dyDescent="0.25">
      <c r="A389" s="11">
        <v>0.38700000000000001</v>
      </c>
      <c r="B389" s="12">
        <f>(General_Model!$C$6/General_Model!$C$7)-1/(1+General_Model!$C$26/((1.2+0.2*(General_Model!$C$26/A389)+0.35*SQRT(9.80665*(General_Model!$C$4/1000))/A389)*A389))-(A389^2/(2*9.80665*General_Model!$C$7))*((4*(0.3164/((General_Model!$C$14*A389*(General_Model!$C$4/1000)/General_Model!$C$15)^0.25))*General_Model!$C$7/(General_Model!$C$4/1000)+1)+(4*(0.3164/((General_Model!$C$14*A389*(General_Model!$C$4/1000)/General_Model!$C$15)^0.25))*General_Model!$C$7/(General_Model!$C$4/1000)+2)*(General_Model!$C$26/A389))</f>
        <v>-9.9175885269191563E-2</v>
      </c>
      <c r="C389" s="13">
        <f t="shared" si="6"/>
        <v>0</v>
      </c>
    </row>
    <row r="390" spans="1:3" x14ac:dyDescent="0.25">
      <c r="A390" s="11">
        <v>0.38800000000000001</v>
      </c>
      <c r="B390" s="12">
        <f>(General_Model!$C$6/General_Model!$C$7)-1/(1+General_Model!$C$26/((1.2+0.2*(General_Model!$C$26/A390)+0.35*SQRT(9.80665*(General_Model!$C$4/1000))/A390)*A390))-(A390^2/(2*9.80665*General_Model!$C$7))*((4*(0.3164/((General_Model!$C$14*A390*(General_Model!$C$4/1000)/General_Model!$C$15)^0.25))*General_Model!$C$7/(General_Model!$C$4/1000)+1)+(4*(0.3164/((General_Model!$C$14*A390*(General_Model!$C$4/1000)/General_Model!$C$15)^0.25))*General_Model!$C$7/(General_Model!$C$4/1000)+2)*(General_Model!$C$26/A390))</f>
        <v>-9.9786075172192346E-2</v>
      </c>
      <c r="C390" s="13">
        <f t="shared" si="6"/>
        <v>0</v>
      </c>
    </row>
    <row r="391" spans="1:3" x14ac:dyDescent="0.25">
      <c r="A391" s="11">
        <v>0.38900000000000001</v>
      </c>
      <c r="B391" s="12">
        <f>(General_Model!$C$6/General_Model!$C$7)-1/(1+General_Model!$C$26/((1.2+0.2*(General_Model!$C$26/A391)+0.35*SQRT(9.80665*(General_Model!$C$4/1000))/A391)*A391))-(A391^2/(2*9.80665*General_Model!$C$7))*((4*(0.3164/((General_Model!$C$14*A391*(General_Model!$C$4/1000)/General_Model!$C$15)^0.25))*General_Model!$C$7/(General_Model!$C$4/1000)+1)+(4*(0.3164/((General_Model!$C$14*A391*(General_Model!$C$4/1000)/General_Model!$C$15)^0.25))*General_Model!$C$7/(General_Model!$C$4/1000)+2)*(General_Model!$C$26/A391))</f>
        <v>-0.10039582397306403</v>
      </c>
      <c r="C391" s="13">
        <f t="shared" si="6"/>
        <v>0</v>
      </c>
    </row>
    <row r="392" spans="1:3" x14ac:dyDescent="0.25">
      <c r="A392" s="11">
        <v>0.39</v>
      </c>
      <c r="B392" s="12">
        <f>(General_Model!$C$6/General_Model!$C$7)-1/(1+General_Model!$C$26/((1.2+0.2*(General_Model!$C$26/A392)+0.35*SQRT(9.80665*(General_Model!$C$4/1000))/A392)*A392))-(A392^2/(2*9.80665*General_Model!$C$7))*((4*(0.3164/((General_Model!$C$14*A392*(General_Model!$C$4/1000)/General_Model!$C$15)^0.25))*General_Model!$C$7/(General_Model!$C$4/1000)+1)+(4*(0.3164/((General_Model!$C$14*A392*(General_Model!$C$4/1000)/General_Model!$C$15)^0.25))*General_Model!$C$7/(General_Model!$C$4/1000)+2)*(General_Model!$C$26/A392))</f>
        <v>-0.10100513371276225</v>
      </c>
      <c r="C392" s="13">
        <f t="shared" si="6"/>
        <v>0</v>
      </c>
    </row>
    <row r="393" spans="1:3" x14ac:dyDescent="0.25">
      <c r="A393" s="11">
        <v>0.39100000000000001</v>
      </c>
      <c r="B393" s="12">
        <f>(General_Model!$C$6/General_Model!$C$7)-1/(1+General_Model!$C$26/((1.2+0.2*(General_Model!$C$26/A393)+0.35*SQRT(9.80665*(General_Model!$C$4/1000))/A393)*A393))-(A393^2/(2*9.80665*General_Model!$C$7))*((4*(0.3164/((General_Model!$C$14*A393*(General_Model!$C$4/1000)/General_Model!$C$15)^0.25))*General_Model!$C$7/(General_Model!$C$4/1000)+1)+(4*(0.3164/((General_Model!$C$14*A393*(General_Model!$C$4/1000)/General_Model!$C$15)^0.25))*General_Model!$C$7/(General_Model!$C$4/1000)+2)*(General_Model!$C$26/A393))</f>
        <v>-0.10161400642405276</v>
      </c>
      <c r="C393" s="13">
        <f t="shared" si="6"/>
        <v>0</v>
      </c>
    </row>
    <row r="394" spans="1:3" x14ac:dyDescent="0.25">
      <c r="A394" s="11">
        <v>0.39200000000000002</v>
      </c>
      <c r="B394" s="12">
        <f>(General_Model!$C$6/General_Model!$C$7)-1/(1+General_Model!$C$26/((1.2+0.2*(General_Model!$C$26/A394)+0.35*SQRT(9.80665*(General_Model!$C$4/1000))/A394)*A394))-(A394^2/(2*9.80665*General_Model!$C$7))*((4*(0.3164/((General_Model!$C$14*A394*(General_Model!$C$4/1000)/General_Model!$C$15)^0.25))*General_Model!$C$7/(General_Model!$C$4/1000)+1)+(4*(0.3164/((General_Model!$C$14*A394*(General_Model!$C$4/1000)/General_Model!$C$15)^0.25))*General_Model!$C$7/(General_Model!$C$4/1000)+2)*(General_Model!$C$26/A394))</f>
        <v>-0.10222244413155306</v>
      </c>
      <c r="C394" s="13">
        <f t="shared" si="6"/>
        <v>0</v>
      </c>
    </row>
    <row r="395" spans="1:3" x14ac:dyDescent="0.25">
      <c r="A395" s="11">
        <v>0.39300000000000002</v>
      </c>
      <c r="B395" s="12">
        <f>(General_Model!$C$6/General_Model!$C$7)-1/(1+General_Model!$C$26/((1.2+0.2*(General_Model!$C$26/A395)+0.35*SQRT(9.80665*(General_Model!$C$4/1000))/A395)*A395))-(A395^2/(2*9.80665*General_Model!$C$7))*((4*(0.3164/((General_Model!$C$14*A395*(General_Model!$C$4/1000)/General_Model!$C$15)^0.25))*General_Model!$C$7/(General_Model!$C$4/1000)+1)+(4*(0.3164/((General_Model!$C$14*A395*(General_Model!$C$4/1000)/General_Model!$C$15)^0.25))*General_Model!$C$7/(General_Model!$C$4/1000)+2)*(General_Model!$C$26/A395))</f>
        <v>-0.10283044885177373</v>
      </c>
      <c r="C395" s="13">
        <f t="shared" si="6"/>
        <v>0</v>
      </c>
    </row>
    <row r="396" spans="1:3" x14ac:dyDescent="0.25">
      <c r="A396" s="11">
        <v>0.39400000000000002</v>
      </c>
      <c r="B396" s="12">
        <f>(General_Model!$C$6/General_Model!$C$7)-1/(1+General_Model!$C$26/((1.2+0.2*(General_Model!$C$26/A396)+0.35*SQRT(9.80665*(General_Model!$C$4/1000))/A396)*A396))-(A396^2/(2*9.80665*General_Model!$C$7))*((4*(0.3164/((General_Model!$C$14*A396*(General_Model!$C$4/1000)/General_Model!$C$15)^0.25))*General_Model!$C$7/(General_Model!$C$4/1000)+1)+(4*(0.3164/((General_Model!$C$14*A396*(General_Model!$C$4/1000)/General_Model!$C$15)^0.25))*General_Model!$C$7/(General_Model!$C$4/1000)+2)*(General_Model!$C$26/A396))</f>
        <v>-0.10343802259315867</v>
      </c>
      <c r="C396" s="13">
        <f t="shared" si="6"/>
        <v>0</v>
      </c>
    </row>
    <row r="397" spans="1:3" x14ac:dyDescent="0.25">
      <c r="A397" s="11">
        <v>0.39500000000000002</v>
      </c>
      <c r="B397" s="12">
        <f>(General_Model!$C$6/General_Model!$C$7)-1/(1+General_Model!$C$26/((1.2+0.2*(General_Model!$C$26/A397)+0.35*SQRT(9.80665*(General_Model!$C$4/1000))/A397)*A397))-(A397^2/(2*9.80665*General_Model!$C$7))*((4*(0.3164/((General_Model!$C$14*A397*(General_Model!$C$4/1000)/General_Model!$C$15)^0.25))*General_Model!$C$7/(General_Model!$C$4/1000)+1)+(4*(0.3164/((General_Model!$C$14*A397*(General_Model!$C$4/1000)/General_Model!$C$15)^0.25))*General_Model!$C$7/(General_Model!$C$4/1000)+2)*(General_Model!$C$26/A397))</f>
        <v>-0.10404516735612604</v>
      </c>
      <c r="C397" s="13">
        <f t="shared" si="6"/>
        <v>0</v>
      </c>
    </row>
    <row r="398" spans="1:3" x14ac:dyDescent="0.25">
      <c r="A398" s="11">
        <v>0.39600000000000002</v>
      </c>
      <c r="B398" s="12">
        <f>(General_Model!$C$6/General_Model!$C$7)-1/(1+General_Model!$C$26/((1.2+0.2*(General_Model!$C$26/A398)+0.35*SQRT(9.80665*(General_Model!$C$4/1000))/A398)*A398))-(A398^2/(2*9.80665*General_Model!$C$7))*((4*(0.3164/((General_Model!$C$14*A398*(General_Model!$C$4/1000)/General_Model!$C$15)^0.25))*General_Model!$C$7/(General_Model!$C$4/1000)+1)+(4*(0.3164/((General_Model!$C$14*A398*(General_Model!$C$4/1000)/General_Model!$C$15)^0.25))*General_Model!$C$7/(General_Model!$C$4/1000)+2)*(General_Model!$C$26/A398))</f>
        <v>-0.10465188513310925</v>
      </c>
      <c r="C398" s="13">
        <f t="shared" si="6"/>
        <v>0</v>
      </c>
    </row>
    <row r="399" spans="1:3" x14ac:dyDescent="0.25">
      <c r="A399" s="11">
        <v>0.39700000000000002</v>
      </c>
      <c r="B399" s="12">
        <f>(General_Model!$C$6/General_Model!$C$7)-1/(1+General_Model!$C$26/((1.2+0.2*(General_Model!$C$26/A399)+0.35*SQRT(9.80665*(General_Model!$C$4/1000))/A399)*A399))-(A399^2/(2*9.80665*General_Model!$C$7))*((4*(0.3164/((General_Model!$C$14*A399*(General_Model!$C$4/1000)/General_Model!$C$15)^0.25))*General_Model!$C$7/(General_Model!$C$4/1000)+1)+(4*(0.3164/((General_Model!$C$14*A399*(General_Model!$C$4/1000)/General_Model!$C$15)^0.25))*General_Model!$C$7/(General_Model!$C$4/1000)+2)*(General_Model!$C$26/A399))</f>
        <v>-0.10525817790859582</v>
      </c>
      <c r="C399" s="13">
        <f t="shared" si="6"/>
        <v>0</v>
      </c>
    </row>
    <row r="400" spans="1:3" x14ac:dyDescent="0.25">
      <c r="A400" s="11">
        <v>0.39800000000000002</v>
      </c>
      <c r="B400" s="12">
        <f>(General_Model!$C$6/General_Model!$C$7)-1/(1+General_Model!$C$26/((1.2+0.2*(General_Model!$C$26/A400)+0.35*SQRT(9.80665*(General_Model!$C$4/1000))/A400)*A400))-(A400^2/(2*9.80665*General_Model!$C$7))*((4*(0.3164/((General_Model!$C$14*A400*(General_Model!$C$4/1000)/General_Model!$C$15)^0.25))*General_Model!$C$7/(General_Model!$C$4/1000)+1)+(4*(0.3164/((General_Model!$C$14*A400*(General_Model!$C$4/1000)/General_Model!$C$15)^0.25))*General_Model!$C$7/(General_Model!$C$4/1000)+2)*(General_Model!$C$26/A400))</f>
        <v>-0.10586404765916846</v>
      </c>
      <c r="C400" s="13">
        <f t="shared" si="6"/>
        <v>0</v>
      </c>
    </row>
    <row r="401" spans="1:3" x14ac:dyDescent="0.25">
      <c r="A401" s="11">
        <v>0.39900000000000002</v>
      </c>
      <c r="B401" s="12">
        <f>(General_Model!$C$6/General_Model!$C$7)-1/(1+General_Model!$C$26/((1.2+0.2*(General_Model!$C$26/A401)+0.35*SQRT(9.80665*(General_Model!$C$4/1000))/A401)*A401))-(A401^2/(2*9.80665*General_Model!$C$7))*((4*(0.3164/((General_Model!$C$14*A401*(General_Model!$C$4/1000)/General_Model!$C$15)^0.25))*General_Model!$C$7/(General_Model!$C$4/1000)+1)+(4*(0.3164/((General_Model!$C$14*A401*(General_Model!$C$4/1000)/General_Model!$C$15)^0.25))*General_Model!$C$7/(General_Model!$C$4/1000)+2)*(General_Model!$C$26/A401))</f>
        <v>-0.10646949635354375</v>
      </c>
      <c r="C401" s="13">
        <f t="shared" si="6"/>
        <v>0</v>
      </c>
    </row>
    <row r="402" spans="1:3" x14ac:dyDescent="0.25">
      <c r="A402" s="11">
        <v>0.4</v>
      </c>
      <c r="B402" s="12">
        <f>(General_Model!$C$6/General_Model!$C$7)-1/(1+General_Model!$C$26/((1.2+0.2*(General_Model!$C$26/A402)+0.35*SQRT(9.80665*(General_Model!$C$4/1000))/A402)*A402))-(A402^2/(2*9.80665*General_Model!$C$7))*((4*(0.3164/((General_Model!$C$14*A402*(General_Model!$C$4/1000)/General_Model!$C$15)^0.25))*General_Model!$C$7/(General_Model!$C$4/1000)+1)+(4*(0.3164/((General_Model!$C$14*A402*(General_Model!$C$4/1000)/General_Model!$C$15)^0.25))*General_Model!$C$7/(General_Model!$C$4/1000)+2)*(General_Model!$C$26/A402))</f>
        <v>-0.10707452595261201</v>
      </c>
      <c r="C402" s="13">
        <f t="shared" si="6"/>
        <v>0</v>
      </c>
    </row>
    <row r="403" spans="1:3" x14ac:dyDescent="0.25">
      <c r="A403" s="11">
        <v>0.40100000000000002</v>
      </c>
      <c r="B403" s="12">
        <f>(General_Model!$C$6/General_Model!$C$7)-1/(1+General_Model!$C$26/((1.2+0.2*(General_Model!$C$26/A403)+0.35*SQRT(9.80665*(General_Model!$C$4/1000))/A403)*A403))-(A403^2/(2*9.80665*General_Model!$C$7))*((4*(0.3164/((General_Model!$C$14*A403*(General_Model!$C$4/1000)/General_Model!$C$15)^0.25))*General_Model!$C$7/(General_Model!$C$4/1000)+1)+(4*(0.3164/((General_Model!$C$14*A403*(General_Model!$C$4/1000)/General_Model!$C$15)^0.25))*General_Model!$C$7/(General_Model!$C$4/1000)+2)*(General_Model!$C$26/A403))</f>
        <v>-0.10767913840947652</v>
      </c>
      <c r="C403" s="13">
        <f t="shared" si="6"/>
        <v>0</v>
      </c>
    </row>
    <row r="404" spans="1:3" x14ac:dyDescent="0.25">
      <c r="A404" s="11">
        <v>0.40200000000000002</v>
      </c>
      <c r="B404" s="12">
        <f>(General_Model!$C$6/General_Model!$C$7)-1/(1+General_Model!$C$26/((1.2+0.2*(General_Model!$C$26/A404)+0.35*SQRT(9.80665*(General_Model!$C$4/1000))/A404)*A404))-(A404^2/(2*9.80665*General_Model!$C$7))*((4*(0.3164/((General_Model!$C$14*A404*(General_Model!$C$4/1000)/General_Model!$C$15)^0.25))*General_Model!$C$7/(General_Model!$C$4/1000)+1)+(4*(0.3164/((General_Model!$C$14*A404*(General_Model!$C$4/1000)/General_Model!$C$15)^0.25))*General_Model!$C$7/(General_Model!$C$4/1000)+2)*(General_Model!$C$26/A404))</f>
        <v>-0.10828333566949187</v>
      </c>
      <c r="C404" s="13">
        <f t="shared" si="6"/>
        <v>0</v>
      </c>
    </row>
    <row r="405" spans="1:3" x14ac:dyDescent="0.25">
      <c r="A405" s="11">
        <v>0.40300000000000002</v>
      </c>
      <c r="B405" s="12">
        <f>(General_Model!$C$6/General_Model!$C$7)-1/(1+General_Model!$C$26/((1.2+0.2*(General_Model!$C$26/A405)+0.35*SQRT(9.80665*(General_Model!$C$4/1000))/A405)*A405))-(A405^2/(2*9.80665*General_Model!$C$7))*((4*(0.3164/((General_Model!$C$14*A405*(General_Model!$C$4/1000)/General_Model!$C$15)^0.25))*General_Model!$C$7/(General_Model!$C$4/1000)+1)+(4*(0.3164/((General_Model!$C$14*A405*(General_Model!$C$4/1000)/General_Model!$C$15)^0.25))*General_Model!$C$7/(General_Model!$C$4/1000)+2)*(General_Model!$C$26/A405))</f>
        <v>-0.10888711967030329</v>
      </c>
      <c r="C405" s="13">
        <f t="shared" si="6"/>
        <v>0</v>
      </c>
    </row>
    <row r="406" spans="1:3" x14ac:dyDescent="0.25">
      <c r="A406" s="11">
        <v>0.40400000000000003</v>
      </c>
      <c r="B406" s="12">
        <f>(General_Model!$C$6/General_Model!$C$7)-1/(1+General_Model!$C$26/((1.2+0.2*(General_Model!$C$26/A406)+0.35*SQRT(9.80665*(General_Model!$C$4/1000))/A406)*A406))-(A406^2/(2*9.80665*General_Model!$C$7))*((4*(0.3164/((General_Model!$C$14*A406*(General_Model!$C$4/1000)/General_Model!$C$15)^0.25))*General_Model!$C$7/(General_Model!$C$4/1000)+1)+(4*(0.3164/((General_Model!$C$14*A406*(General_Model!$C$4/1000)/General_Model!$C$15)^0.25))*General_Model!$C$7/(General_Model!$C$4/1000)+2)*(General_Model!$C$26/A406))</f>
        <v>-0.10949049234188436</v>
      </c>
      <c r="C406" s="13">
        <f t="shared" si="6"/>
        <v>0</v>
      </c>
    </row>
    <row r="407" spans="1:3" x14ac:dyDescent="0.25">
      <c r="A407" s="11">
        <v>0.40500000000000003</v>
      </c>
      <c r="B407" s="12">
        <f>(General_Model!$C$6/General_Model!$C$7)-1/(1+General_Model!$C$26/((1.2+0.2*(General_Model!$C$26/A407)+0.35*SQRT(9.80665*(General_Model!$C$4/1000))/A407)*A407))-(A407^2/(2*9.80665*General_Model!$C$7))*((4*(0.3164/((General_Model!$C$14*A407*(General_Model!$C$4/1000)/General_Model!$C$15)^0.25))*General_Model!$C$7/(General_Model!$C$4/1000)+1)+(4*(0.3164/((General_Model!$C$14*A407*(General_Model!$C$4/1000)/General_Model!$C$15)^0.25))*General_Model!$C$7/(General_Model!$C$4/1000)+2)*(General_Model!$C$26/A407))</f>
        <v>-0.11009345560657563</v>
      </c>
      <c r="C407" s="13">
        <f t="shared" si="6"/>
        <v>0</v>
      </c>
    </row>
    <row r="408" spans="1:3" x14ac:dyDescent="0.25">
      <c r="A408" s="11">
        <v>0.40600000000000003</v>
      </c>
      <c r="B408" s="12">
        <f>(General_Model!$C$6/General_Model!$C$7)-1/(1+General_Model!$C$26/((1.2+0.2*(General_Model!$C$26/A408)+0.35*SQRT(9.80665*(General_Model!$C$4/1000))/A408)*A408))-(A408^2/(2*9.80665*General_Model!$C$7))*((4*(0.3164/((General_Model!$C$14*A408*(General_Model!$C$4/1000)/General_Model!$C$15)^0.25))*General_Model!$C$7/(General_Model!$C$4/1000)+1)+(4*(0.3164/((General_Model!$C$14*A408*(General_Model!$C$4/1000)/General_Model!$C$15)^0.25))*General_Model!$C$7/(General_Model!$C$4/1000)+2)*(General_Model!$C$26/A408))</f>
        <v>-0.11069601137912227</v>
      </c>
      <c r="C408" s="13">
        <f t="shared" si="6"/>
        <v>0</v>
      </c>
    </row>
    <row r="409" spans="1:3" x14ac:dyDescent="0.25">
      <c r="A409" s="11">
        <v>0.40699999999999997</v>
      </c>
      <c r="B409" s="12">
        <f>(General_Model!$C$6/General_Model!$C$7)-1/(1+General_Model!$C$26/((1.2+0.2*(General_Model!$C$26/A409)+0.35*SQRT(9.80665*(General_Model!$C$4/1000))/A409)*A409))-(A409^2/(2*9.80665*General_Model!$C$7))*((4*(0.3164/((General_Model!$C$14*A409*(General_Model!$C$4/1000)/General_Model!$C$15)^0.25))*General_Model!$C$7/(General_Model!$C$4/1000)+1)+(4*(0.3164/((General_Model!$C$14*A409*(General_Model!$C$4/1000)/General_Model!$C$15)^0.25))*General_Model!$C$7/(General_Model!$C$4/1000)+2)*(General_Model!$C$26/A409))</f>
        <v>-0.11129816156671225</v>
      </c>
      <c r="C409" s="13">
        <f t="shared" si="6"/>
        <v>0</v>
      </c>
    </row>
    <row r="410" spans="1:3" x14ac:dyDescent="0.25">
      <c r="A410" s="11">
        <v>0.40799999999999997</v>
      </c>
      <c r="B410" s="12">
        <f>(General_Model!$C$6/General_Model!$C$7)-1/(1+General_Model!$C$26/((1.2+0.2*(General_Model!$C$26/A410)+0.35*SQRT(9.80665*(General_Model!$C$4/1000))/A410)*A410))-(A410^2/(2*9.80665*General_Model!$C$7))*((4*(0.3164/((General_Model!$C$14*A410*(General_Model!$C$4/1000)/General_Model!$C$15)^0.25))*General_Model!$C$7/(General_Model!$C$4/1000)+1)+(4*(0.3164/((General_Model!$C$14*A410*(General_Model!$C$4/1000)/General_Model!$C$15)^0.25))*General_Model!$C$7/(General_Model!$C$4/1000)+2)*(General_Model!$C$26/A410))</f>
        <v>-0.11189990806901323</v>
      </c>
      <c r="C410" s="13">
        <f t="shared" si="6"/>
        <v>0</v>
      </c>
    </row>
    <row r="411" spans="1:3" x14ac:dyDescent="0.25">
      <c r="A411" s="11">
        <v>0.40899999999999997</v>
      </c>
      <c r="B411" s="12">
        <f>(General_Model!$C$6/General_Model!$C$7)-1/(1+General_Model!$C$26/((1.2+0.2*(General_Model!$C$26/A411)+0.35*SQRT(9.80665*(General_Model!$C$4/1000))/A411)*A411))-(A411^2/(2*9.80665*General_Model!$C$7))*((4*(0.3164/((General_Model!$C$14*A411*(General_Model!$C$4/1000)/General_Model!$C$15)^0.25))*General_Model!$C$7/(General_Model!$C$4/1000)+1)+(4*(0.3164/((General_Model!$C$14*A411*(General_Model!$C$4/1000)/General_Model!$C$15)^0.25))*General_Model!$C$7/(General_Model!$C$4/1000)+2)*(General_Model!$C$26/A411))</f>
        <v>-0.11250125277820987</v>
      </c>
      <c r="C411" s="13">
        <f t="shared" si="6"/>
        <v>0</v>
      </c>
    </row>
    <row r="412" spans="1:3" x14ac:dyDescent="0.25">
      <c r="A412" s="11">
        <v>0.41</v>
      </c>
      <c r="B412" s="12">
        <f>(General_Model!$C$6/General_Model!$C$7)-1/(1+General_Model!$C$26/((1.2+0.2*(General_Model!$C$26/A412)+0.35*SQRT(9.80665*(General_Model!$C$4/1000))/A412)*A412))-(A412^2/(2*9.80665*General_Model!$C$7))*((4*(0.3164/((General_Model!$C$14*A412*(General_Model!$C$4/1000)/General_Model!$C$15)^0.25))*General_Model!$C$7/(General_Model!$C$4/1000)+1)+(4*(0.3164/((General_Model!$C$14*A412*(General_Model!$C$4/1000)/General_Model!$C$15)^0.25))*General_Model!$C$7/(General_Model!$C$4/1000)+2)*(General_Model!$C$26/A412))</f>
        <v>-0.11310219757904119</v>
      </c>
      <c r="C412" s="13">
        <f t="shared" si="6"/>
        <v>0</v>
      </c>
    </row>
    <row r="413" spans="1:3" x14ac:dyDescent="0.25">
      <c r="A413" s="11">
        <v>0.41099999999999998</v>
      </c>
      <c r="B413" s="12">
        <f>(General_Model!$C$6/General_Model!$C$7)-1/(1+General_Model!$C$26/((1.2+0.2*(General_Model!$C$26/A413)+0.35*SQRT(9.80665*(General_Model!$C$4/1000))/A413)*A413))-(A413^2/(2*9.80665*General_Model!$C$7))*((4*(0.3164/((General_Model!$C$14*A413*(General_Model!$C$4/1000)/General_Model!$C$15)^0.25))*General_Model!$C$7/(General_Model!$C$4/1000)+1)+(4*(0.3164/((General_Model!$C$14*A413*(General_Model!$C$4/1000)/General_Model!$C$15)^0.25))*General_Model!$C$7/(General_Model!$C$4/1000)+2)*(General_Model!$C$26/A413))</f>
        <v>-0.11370274434883726</v>
      </c>
      <c r="C413" s="13">
        <f t="shared" si="6"/>
        <v>0</v>
      </c>
    </row>
    <row r="414" spans="1:3" x14ac:dyDescent="0.25">
      <c r="A414" s="11">
        <v>0.41199999999999998</v>
      </c>
      <c r="B414" s="12">
        <f>(General_Model!$C$6/General_Model!$C$7)-1/(1+General_Model!$C$26/((1.2+0.2*(General_Model!$C$26/A414)+0.35*SQRT(9.80665*(General_Model!$C$4/1000))/A414)*A414))-(A414^2/(2*9.80665*General_Model!$C$7))*((4*(0.3164/((General_Model!$C$14*A414*(General_Model!$C$4/1000)/General_Model!$C$15)^0.25))*General_Model!$C$7/(General_Model!$C$4/1000)+1)+(4*(0.3164/((General_Model!$C$14*A414*(General_Model!$C$4/1000)/General_Model!$C$15)^0.25))*General_Model!$C$7/(General_Model!$C$4/1000)+2)*(General_Model!$C$26/A414))</f>
        <v>-0.11430289495755534</v>
      </c>
      <c r="C414" s="13">
        <f t="shared" si="6"/>
        <v>0</v>
      </c>
    </row>
    <row r="415" spans="1:3" x14ac:dyDescent="0.25">
      <c r="A415" s="11">
        <v>0.41299999999999998</v>
      </c>
      <c r="B415" s="12">
        <f>(General_Model!$C$6/General_Model!$C$7)-1/(1+General_Model!$C$26/((1.2+0.2*(General_Model!$C$26/A415)+0.35*SQRT(9.80665*(General_Model!$C$4/1000))/A415)*A415))-(A415^2/(2*9.80665*General_Model!$C$7))*((4*(0.3164/((General_Model!$C$14*A415*(General_Model!$C$4/1000)/General_Model!$C$15)^0.25))*General_Model!$C$7/(General_Model!$C$4/1000)+1)+(4*(0.3164/((General_Model!$C$14*A415*(General_Model!$C$4/1000)/General_Model!$C$15)^0.25))*General_Model!$C$7/(General_Model!$C$4/1000)+2)*(General_Model!$C$26/A415))</f>
        <v>-0.11490265126781668</v>
      </c>
      <c r="C415" s="13">
        <f t="shared" si="6"/>
        <v>0</v>
      </c>
    </row>
    <row r="416" spans="1:3" x14ac:dyDescent="0.25">
      <c r="A416" s="11">
        <v>0.41399999999999998</v>
      </c>
      <c r="B416" s="12">
        <f>(General_Model!$C$6/General_Model!$C$7)-1/(1+General_Model!$C$26/((1.2+0.2*(General_Model!$C$26/A416)+0.35*SQRT(9.80665*(General_Model!$C$4/1000))/A416)*A416))-(A416^2/(2*9.80665*General_Model!$C$7))*((4*(0.3164/((General_Model!$C$14*A416*(General_Model!$C$4/1000)/General_Model!$C$15)^0.25))*General_Model!$C$7/(General_Model!$C$4/1000)+1)+(4*(0.3164/((General_Model!$C$14*A416*(General_Model!$C$4/1000)/General_Model!$C$15)^0.25))*General_Model!$C$7/(General_Model!$C$4/1000)+2)*(General_Model!$C$26/A416))</f>
        <v>-0.11550201513494227</v>
      </c>
      <c r="C416" s="13">
        <f t="shared" si="6"/>
        <v>0</v>
      </c>
    </row>
    <row r="417" spans="1:3" x14ac:dyDescent="0.25">
      <c r="A417" s="11">
        <v>0.41499999999999998</v>
      </c>
      <c r="B417" s="12">
        <f>(General_Model!$C$6/General_Model!$C$7)-1/(1+General_Model!$C$26/((1.2+0.2*(General_Model!$C$26/A417)+0.35*SQRT(9.80665*(General_Model!$C$4/1000))/A417)*A417))-(A417^2/(2*9.80665*General_Model!$C$7))*((4*(0.3164/((General_Model!$C$14*A417*(General_Model!$C$4/1000)/General_Model!$C$15)^0.25))*General_Model!$C$7/(General_Model!$C$4/1000)+1)+(4*(0.3164/((General_Model!$C$14*A417*(General_Model!$C$4/1000)/General_Model!$C$15)^0.25))*General_Model!$C$7/(General_Model!$C$4/1000)+2)*(General_Model!$C$26/A417))</f>
        <v>-0.11610098840698913</v>
      </c>
      <c r="C417" s="13">
        <f t="shared" si="6"/>
        <v>0</v>
      </c>
    </row>
    <row r="418" spans="1:3" x14ac:dyDescent="0.25">
      <c r="A418" s="11">
        <v>0.41599999999999998</v>
      </c>
      <c r="B418" s="12">
        <f>(General_Model!$C$6/General_Model!$C$7)-1/(1+General_Model!$C$26/((1.2+0.2*(General_Model!$C$26/A418)+0.35*SQRT(9.80665*(General_Model!$C$4/1000))/A418)*A418))-(A418^2/(2*9.80665*General_Model!$C$7))*((4*(0.3164/((General_Model!$C$14*A418*(General_Model!$C$4/1000)/General_Model!$C$15)^0.25))*General_Model!$C$7/(General_Model!$C$4/1000)+1)+(4*(0.3164/((General_Model!$C$14*A418*(General_Model!$C$4/1000)/General_Model!$C$15)^0.25))*General_Model!$C$7/(General_Model!$C$4/1000)+2)*(General_Model!$C$26/A418))</f>
        <v>-0.11669957292478589</v>
      </c>
      <c r="C418" s="13">
        <f t="shared" si="6"/>
        <v>0</v>
      </c>
    </row>
    <row r="419" spans="1:3" x14ac:dyDescent="0.25">
      <c r="A419" s="11">
        <v>0.41699999999999998</v>
      </c>
      <c r="B419" s="12">
        <f>(General_Model!$C$6/General_Model!$C$7)-1/(1+General_Model!$C$26/((1.2+0.2*(General_Model!$C$26/A419)+0.35*SQRT(9.80665*(General_Model!$C$4/1000))/A419)*A419))-(A419^2/(2*9.80665*General_Model!$C$7))*((4*(0.3164/((General_Model!$C$14*A419*(General_Model!$C$4/1000)/General_Model!$C$15)^0.25))*General_Model!$C$7/(General_Model!$C$4/1000)+1)+(4*(0.3164/((General_Model!$C$14*A419*(General_Model!$C$4/1000)/General_Model!$C$15)^0.25))*General_Model!$C$7/(General_Model!$C$4/1000)+2)*(General_Model!$C$26/A419))</f>
        <v>-0.11729777052196753</v>
      </c>
      <c r="C419" s="13">
        <f t="shared" si="6"/>
        <v>0</v>
      </c>
    </row>
    <row r="420" spans="1:3" x14ac:dyDescent="0.25">
      <c r="A420" s="11">
        <v>0.41799999999999998</v>
      </c>
      <c r="B420" s="12">
        <f>(General_Model!$C$6/General_Model!$C$7)-1/(1+General_Model!$C$26/((1.2+0.2*(General_Model!$C$26/A420)+0.35*SQRT(9.80665*(General_Model!$C$4/1000))/A420)*A420))-(A420^2/(2*9.80665*General_Model!$C$7))*((4*(0.3164/((General_Model!$C$14*A420*(General_Model!$C$4/1000)/General_Model!$C$15)^0.25))*General_Model!$C$7/(General_Model!$C$4/1000)+1)+(4*(0.3164/((General_Model!$C$14*A420*(General_Model!$C$4/1000)/General_Model!$C$15)^0.25))*General_Model!$C$7/(General_Model!$C$4/1000)+2)*(General_Model!$C$26/A420))</f>
        <v>-0.11789558302501214</v>
      </c>
      <c r="C420" s="13">
        <f t="shared" si="6"/>
        <v>0</v>
      </c>
    </row>
    <row r="421" spans="1:3" x14ac:dyDescent="0.25">
      <c r="A421" s="11">
        <v>0.41899999999999998</v>
      </c>
      <c r="B421" s="12">
        <f>(General_Model!$C$6/General_Model!$C$7)-1/(1+General_Model!$C$26/((1.2+0.2*(General_Model!$C$26/A421)+0.35*SQRT(9.80665*(General_Model!$C$4/1000))/A421)*A421))-(A421^2/(2*9.80665*General_Model!$C$7))*((4*(0.3164/((General_Model!$C$14*A421*(General_Model!$C$4/1000)/General_Model!$C$15)^0.25))*General_Model!$C$7/(General_Model!$C$4/1000)+1)+(4*(0.3164/((General_Model!$C$14*A421*(General_Model!$C$4/1000)/General_Model!$C$15)^0.25))*General_Model!$C$7/(General_Model!$C$4/1000)+2)*(General_Model!$C$26/A421))</f>
        <v>-0.11849301225327392</v>
      </c>
      <c r="C421" s="13">
        <f t="shared" si="6"/>
        <v>0</v>
      </c>
    </row>
    <row r="422" spans="1:3" x14ac:dyDescent="0.25">
      <c r="A422" s="11">
        <v>0.42</v>
      </c>
      <c r="B422" s="12">
        <f>(General_Model!$C$6/General_Model!$C$7)-1/(1+General_Model!$C$26/((1.2+0.2*(General_Model!$C$26/A422)+0.35*SQRT(9.80665*(General_Model!$C$4/1000))/A422)*A422))-(A422^2/(2*9.80665*General_Model!$C$7))*((4*(0.3164/((General_Model!$C$14*A422*(General_Model!$C$4/1000)/General_Model!$C$15)^0.25))*General_Model!$C$7/(General_Model!$C$4/1000)+1)+(4*(0.3164/((General_Model!$C$14*A422*(General_Model!$C$4/1000)/General_Model!$C$15)^0.25))*General_Model!$C$7/(General_Model!$C$4/1000)+2)*(General_Model!$C$26/A422))</f>
        <v>-0.1190900600190198</v>
      </c>
      <c r="C422" s="13">
        <f t="shared" si="6"/>
        <v>0</v>
      </c>
    </row>
    <row r="423" spans="1:3" x14ac:dyDescent="0.25">
      <c r="A423" s="11">
        <v>0.42099999999999999</v>
      </c>
      <c r="B423" s="12">
        <f>(General_Model!$C$6/General_Model!$C$7)-1/(1+General_Model!$C$26/((1.2+0.2*(General_Model!$C$26/A423)+0.35*SQRT(9.80665*(General_Model!$C$4/1000))/A423)*A423))-(A423^2/(2*9.80665*General_Model!$C$7))*((4*(0.3164/((General_Model!$C$14*A423*(General_Model!$C$4/1000)/General_Model!$C$15)^0.25))*General_Model!$C$7/(General_Model!$C$4/1000)+1)+(4*(0.3164/((General_Model!$C$14*A423*(General_Model!$C$4/1000)/General_Model!$C$15)^0.25))*General_Model!$C$7/(General_Model!$C$4/1000)+2)*(General_Model!$C$26/A423))</f>
        <v>-0.11968672812746324</v>
      </c>
      <c r="C423" s="13">
        <f t="shared" si="6"/>
        <v>0</v>
      </c>
    </row>
    <row r="424" spans="1:3" x14ac:dyDescent="0.25">
      <c r="A424" s="11">
        <v>0.42199999999999999</v>
      </c>
      <c r="B424" s="12">
        <f>(General_Model!$C$6/General_Model!$C$7)-1/(1+General_Model!$C$26/((1.2+0.2*(General_Model!$C$26/A424)+0.35*SQRT(9.80665*(General_Model!$C$4/1000))/A424)*A424))-(A424^2/(2*9.80665*General_Model!$C$7))*((4*(0.3164/((General_Model!$C$14*A424*(General_Model!$C$4/1000)/General_Model!$C$15)^0.25))*General_Model!$C$7/(General_Model!$C$4/1000)+1)+(4*(0.3164/((General_Model!$C$14*A424*(General_Model!$C$4/1000)/General_Model!$C$15)^0.25))*General_Model!$C$7/(General_Model!$C$4/1000)+2)*(General_Model!$C$26/A424))</f>
        <v>-0.12028301837679875</v>
      </c>
      <c r="C424" s="13">
        <f t="shared" si="6"/>
        <v>0</v>
      </c>
    </row>
    <row r="425" spans="1:3" x14ac:dyDescent="0.25">
      <c r="A425" s="11">
        <v>0.42299999999999999</v>
      </c>
      <c r="B425" s="12">
        <f>(General_Model!$C$6/General_Model!$C$7)-1/(1+General_Model!$C$26/((1.2+0.2*(General_Model!$C$26/A425)+0.35*SQRT(9.80665*(General_Model!$C$4/1000))/A425)*A425))-(A425^2/(2*9.80665*General_Model!$C$7))*((4*(0.3164/((General_Model!$C$14*A425*(General_Model!$C$4/1000)/General_Model!$C$15)^0.25))*General_Model!$C$7/(General_Model!$C$4/1000)+1)+(4*(0.3164/((General_Model!$C$14*A425*(General_Model!$C$4/1000)/General_Model!$C$15)^0.25))*General_Model!$C$7/(General_Model!$C$4/1000)+2)*(General_Model!$C$26/A425))</f>
        <v>-0.12087893255823581</v>
      </c>
      <c r="C425" s="13">
        <f t="shared" si="6"/>
        <v>0</v>
      </c>
    </row>
    <row r="426" spans="1:3" x14ac:dyDescent="0.25">
      <c r="A426" s="11">
        <v>0.42399999999999999</v>
      </c>
      <c r="B426" s="12">
        <f>(General_Model!$C$6/General_Model!$C$7)-1/(1+General_Model!$C$26/((1.2+0.2*(General_Model!$C$26/A426)+0.35*SQRT(9.80665*(General_Model!$C$4/1000))/A426)*A426))-(A426^2/(2*9.80665*General_Model!$C$7))*((4*(0.3164/((General_Model!$C$14*A426*(General_Model!$C$4/1000)/General_Model!$C$15)^0.25))*General_Model!$C$7/(General_Model!$C$4/1000)+1)+(4*(0.3164/((General_Model!$C$14*A426*(General_Model!$C$4/1000)/General_Model!$C$15)^0.25))*General_Model!$C$7/(General_Model!$C$4/1000)+2)*(General_Model!$C$26/A426))</f>
        <v>-0.12147447245603307</v>
      </c>
      <c r="C426" s="13">
        <f t="shared" si="6"/>
        <v>0</v>
      </c>
    </row>
    <row r="427" spans="1:3" x14ac:dyDescent="0.25">
      <c r="A427" s="11">
        <v>0.42499999999999999</v>
      </c>
      <c r="B427" s="12">
        <f>(General_Model!$C$6/General_Model!$C$7)-1/(1+General_Model!$C$26/((1.2+0.2*(General_Model!$C$26/A427)+0.35*SQRT(9.80665*(General_Model!$C$4/1000))/A427)*A427))-(A427^2/(2*9.80665*General_Model!$C$7))*((4*(0.3164/((General_Model!$C$14*A427*(General_Model!$C$4/1000)/General_Model!$C$15)^0.25))*General_Model!$C$7/(General_Model!$C$4/1000)+1)+(4*(0.3164/((General_Model!$C$14*A427*(General_Model!$C$4/1000)/General_Model!$C$15)^0.25))*General_Model!$C$7/(General_Model!$C$4/1000)+2)*(General_Model!$C$26/A427))</f>
        <v>-0.12206963984753273</v>
      </c>
      <c r="C427" s="13">
        <f t="shared" si="6"/>
        <v>0</v>
      </c>
    </row>
    <row r="428" spans="1:3" x14ac:dyDescent="0.25">
      <c r="A428" s="11">
        <v>0.42599999999999999</v>
      </c>
      <c r="B428" s="12">
        <f>(General_Model!$C$6/General_Model!$C$7)-1/(1+General_Model!$C$26/((1.2+0.2*(General_Model!$C$26/A428)+0.35*SQRT(9.80665*(General_Model!$C$4/1000))/A428)*A428))-(A428^2/(2*9.80665*General_Model!$C$7))*((4*(0.3164/((General_Model!$C$14*A428*(General_Model!$C$4/1000)/General_Model!$C$15)^0.25))*General_Model!$C$7/(General_Model!$C$4/1000)+1)+(4*(0.3164/((General_Model!$C$14*A428*(General_Model!$C$4/1000)/General_Model!$C$15)^0.25))*General_Model!$C$7/(General_Model!$C$4/1000)+2)*(General_Model!$C$26/A428))</f>
        <v>-0.12266443650319281</v>
      </c>
      <c r="C428" s="13">
        <f t="shared" si="6"/>
        <v>0</v>
      </c>
    </row>
    <row r="429" spans="1:3" x14ac:dyDescent="0.25">
      <c r="A429" s="11">
        <v>0.42699999999999999</v>
      </c>
      <c r="B429" s="12">
        <f>(General_Model!$C$6/General_Model!$C$7)-1/(1+General_Model!$C$26/((1.2+0.2*(General_Model!$C$26/A429)+0.35*SQRT(9.80665*(General_Model!$C$4/1000))/A429)*A429))-(A429^2/(2*9.80665*General_Model!$C$7))*((4*(0.3164/((General_Model!$C$14*A429*(General_Model!$C$4/1000)/General_Model!$C$15)^0.25))*General_Model!$C$7/(General_Model!$C$4/1000)+1)+(4*(0.3164/((General_Model!$C$14*A429*(General_Model!$C$4/1000)/General_Model!$C$15)^0.25))*General_Model!$C$7/(General_Model!$C$4/1000)+2)*(General_Model!$C$26/A429))</f>
        <v>-0.12325886418662167</v>
      </c>
      <c r="C429" s="13">
        <f t="shared" si="6"/>
        <v>0</v>
      </c>
    </row>
    <row r="430" spans="1:3" x14ac:dyDescent="0.25">
      <c r="A430" s="11">
        <v>0.42799999999999999</v>
      </c>
      <c r="B430" s="12">
        <f>(General_Model!$C$6/General_Model!$C$7)-1/(1+General_Model!$C$26/((1.2+0.2*(General_Model!$C$26/A430)+0.35*SQRT(9.80665*(General_Model!$C$4/1000))/A430)*A430))-(A430^2/(2*9.80665*General_Model!$C$7))*((4*(0.3164/((General_Model!$C$14*A430*(General_Model!$C$4/1000)/General_Model!$C$15)^0.25))*General_Model!$C$7/(General_Model!$C$4/1000)+1)+(4*(0.3164/((General_Model!$C$14*A430*(General_Model!$C$4/1000)/General_Model!$C$15)^0.25))*General_Model!$C$7/(General_Model!$C$4/1000)+2)*(General_Model!$C$26/A430))</f>
        <v>-0.12385292465461074</v>
      </c>
      <c r="C430" s="13">
        <f t="shared" si="6"/>
        <v>0</v>
      </c>
    </row>
    <row r="431" spans="1:3" x14ac:dyDescent="0.25">
      <c r="A431" s="11">
        <v>0.42899999999999999</v>
      </c>
      <c r="B431" s="12">
        <f>(General_Model!$C$6/General_Model!$C$7)-1/(1+General_Model!$C$26/((1.2+0.2*(General_Model!$C$26/A431)+0.35*SQRT(9.80665*(General_Model!$C$4/1000))/A431)*A431))-(A431^2/(2*9.80665*General_Model!$C$7))*((4*(0.3164/((General_Model!$C$14*A431*(General_Model!$C$4/1000)/General_Model!$C$15)^0.25))*General_Model!$C$7/(General_Model!$C$4/1000)+1)+(4*(0.3164/((General_Model!$C$14*A431*(General_Model!$C$4/1000)/General_Model!$C$15)^0.25))*General_Model!$C$7/(General_Model!$C$4/1000)+2)*(General_Model!$C$26/A431))</f>
        <v>-0.12444661965716737</v>
      </c>
      <c r="C431" s="13">
        <f t="shared" si="6"/>
        <v>0</v>
      </c>
    </row>
    <row r="432" spans="1:3" x14ac:dyDescent="0.25">
      <c r="A432" s="11">
        <v>0.43</v>
      </c>
      <c r="B432" s="12">
        <f>(General_Model!$C$6/General_Model!$C$7)-1/(1+General_Model!$C$26/((1.2+0.2*(General_Model!$C$26/A432)+0.35*SQRT(9.80665*(General_Model!$C$4/1000))/A432)*A432))-(A432^2/(2*9.80665*General_Model!$C$7))*((4*(0.3164/((General_Model!$C$14*A432*(General_Model!$C$4/1000)/General_Model!$C$15)^0.25))*General_Model!$C$7/(General_Model!$C$4/1000)+1)+(4*(0.3164/((General_Model!$C$14*A432*(General_Model!$C$4/1000)/General_Model!$C$15)^0.25))*General_Model!$C$7/(General_Model!$C$4/1000)+2)*(General_Model!$C$26/A432))</f>
        <v>-0.12503995093754813</v>
      </c>
      <c r="C432" s="13">
        <f t="shared" si="6"/>
        <v>0</v>
      </c>
    </row>
    <row r="433" spans="1:3" x14ac:dyDescent="0.25">
      <c r="A433" s="11">
        <v>0.43099999999999999</v>
      </c>
      <c r="B433" s="12">
        <f>(General_Model!$C$6/General_Model!$C$7)-1/(1+General_Model!$C$26/((1.2+0.2*(General_Model!$C$26/A433)+0.35*SQRT(9.80665*(General_Model!$C$4/1000))/A433)*A433))-(A433^2/(2*9.80665*General_Model!$C$7))*((4*(0.3164/((General_Model!$C$14*A433*(General_Model!$C$4/1000)/General_Model!$C$15)^0.25))*General_Model!$C$7/(General_Model!$C$4/1000)+1)+(4*(0.3164/((General_Model!$C$14*A433*(General_Model!$C$4/1000)/General_Model!$C$15)^0.25))*General_Model!$C$7/(General_Model!$C$4/1000)+2)*(General_Model!$C$26/A433))</f>
        <v>-0.1256329202322905</v>
      </c>
      <c r="C433" s="13">
        <f t="shared" si="6"/>
        <v>0</v>
      </c>
    </row>
    <row r="434" spans="1:3" x14ac:dyDescent="0.25">
      <c r="A434" s="11">
        <v>0.432</v>
      </c>
      <c r="B434" s="12">
        <f>(General_Model!$C$6/General_Model!$C$7)-1/(1+General_Model!$C$26/((1.2+0.2*(General_Model!$C$26/A434)+0.35*SQRT(9.80665*(General_Model!$C$4/1000))/A434)*A434))-(A434^2/(2*9.80665*General_Model!$C$7))*((4*(0.3164/((General_Model!$C$14*A434*(General_Model!$C$4/1000)/General_Model!$C$15)^0.25))*General_Model!$C$7/(General_Model!$C$4/1000)+1)+(4*(0.3164/((General_Model!$C$14*A434*(General_Model!$C$4/1000)/General_Model!$C$15)^0.25))*General_Model!$C$7/(General_Model!$C$4/1000)+2)*(General_Model!$C$26/A434))</f>
        <v>-0.12622552927124642</v>
      </c>
      <c r="C434" s="13">
        <f t="shared" si="6"/>
        <v>0</v>
      </c>
    </row>
    <row r="435" spans="1:3" x14ac:dyDescent="0.25">
      <c r="A435" s="11">
        <v>0.433</v>
      </c>
      <c r="B435" s="12">
        <f>(General_Model!$C$6/General_Model!$C$7)-1/(1+General_Model!$C$26/((1.2+0.2*(General_Model!$C$26/A435)+0.35*SQRT(9.80665*(General_Model!$C$4/1000))/A435)*A435))-(A435^2/(2*9.80665*General_Model!$C$7))*((4*(0.3164/((General_Model!$C$14*A435*(General_Model!$C$4/1000)/General_Model!$C$15)^0.25))*General_Model!$C$7/(General_Model!$C$4/1000)+1)+(4*(0.3164/((General_Model!$C$14*A435*(General_Model!$C$4/1000)/General_Model!$C$15)^0.25))*General_Model!$C$7/(General_Model!$C$4/1000)+2)*(General_Model!$C$26/A435))</f>
        <v>-0.12681777977761349</v>
      </c>
      <c r="C435" s="13">
        <f t="shared" si="6"/>
        <v>0</v>
      </c>
    </row>
    <row r="436" spans="1:3" x14ac:dyDescent="0.25">
      <c r="A436" s="11">
        <v>0.434</v>
      </c>
      <c r="B436" s="12">
        <f>(General_Model!$C$6/General_Model!$C$7)-1/(1+General_Model!$C$26/((1.2+0.2*(General_Model!$C$26/A436)+0.35*SQRT(9.80665*(General_Model!$C$4/1000))/A436)*A436))-(A436^2/(2*9.80665*General_Model!$C$7))*((4*(0.3164/((General_Model!$C$14*A436*(General_Model!$C$4/1000)/General_Model!$C$15)^0.25))*General_Model!$C$7/(General_Model!$C$4/1000)+1)+(4*(0.3164/((General_Model!$C$14*A436*(General_Model!$C$4/1000)/General_Model!$C$15)^0.25))*General_Model!$C$7/(General_Model!$C$4/1000)+2)*(General_Model!$C$26/A436))</f>
        <v>-0.12740967346796767</v>
      </c>
      <c r="C436" s="13">
        <f t="shared" si="6"/>
        <v>0</v>
      </c>
    </row>
    <row r="437" spans="1:3" x14ac:dyDescent="0.25">
      <c r="A437" s="11">
        <v>0.435</v>
      </c>
      <c r="B437" s="12">
        <f>(General_Model!$C$6/General_Model!$C$7)-1/(1+General_Model!$C$26/((1.2+0.2*(General_Model!$C$26/A437)+0.35*SQRT(9.80665*(General_Model!$C$4/1000))/A437)*A437))-(A437^2/(2*9.80665*General_Model!$C$7))*((4*(0.3164/((General_Model!$C$14*A437*(General_Model!$C$4/1000)/General_Model!$C$15)^0.25))*General_Model!$C$7/(General_Model!$C$4/1000)+1)+(4*(0.3164/((General_Model!$C$14*A437*(General_Model!$C$4/1000)/General_Model!$C$15)^0.25))*General_Model!$C$7/(General_Model!$C$4/1000)+2)*(General_Model!$C$26/A437))</f>
        <v>-0.12800121205229448</v>
      </c>
      <c r="C437" s="13">
        <f t="shared" si="6"/>
        <v>0</v>
      </c>
    </row>
    <row r="438" spans="1:3" x14ac:dyDescent="0.25">
      <c r="A438" s="11">
        <v>0.436</v>
      </c>
      <c r="B438" s="12">
        <f>(General_Model!$C$6/General_Model!$C$7)-1/(1+General_Model!$C$26/((1.2+0.2*(General_Model!$C$26/A438)+0.35*SQRT(9.80665*(General_Model!$C$4/1000))/A438)*A438))-(A438^2/(2*9.80665*General_Model!$C$7))*((4*(0.3164/((General_Model!$C$14*A438*(General_Model!$C$4/1000)/General_Model!$C$15)^0.25))*General_Model!$C$7/(General_Model!$C$4/1000)+1)+(4*(0.3164/((General_Model!$C$14*A438*(General_Model!$C$4/1000)/General_Model!$C$15)^0.25))*General_Model!$C$7/(General_Model!$C$4/1000)+2)*(General_Model!$C$26/A438))</f>
        <v>-0.12859239723402111</v>
      </c>
      <c r="C438" s="13">
        <f t="shared" si="6"/>
        <v>0</v>
      </c>
    </row>
    <row r="439" spans="1:3" x14ac:dyDescent="0.25">
      <c r="A439" s="11">
        <v>0.437</v>
      </c>
      <c r="B439" s="12">
        <f>(General_Model!$C$6/General_Model!$C$7)-1/(1+General_Model!$C$26/((1.2+0.2*(General_Model!$C$26/A439)+0.35*SQRT(9.80665*(General_Model!$C$4/1000))/A439)*A439))-(A439^2/(2*9.80665*General_Model!$C$7))*((4*(0.3164/((General_Model!$C$14*A439*(General_Model!$C$4/1000)/General_Model!$C$15)^0.25))*General_Model!$C$7/(General_Model!$C$4/1000)+1)+(4*(0.3164/((General_Model!$C$14*A439*(General_Model!$C$4/1000)/General_Model!$C$15)^0.25))*General_Model!$C$7/(General_Model!$C$4/1000)+2)*(General_Model!$C$26/A439))</f>
        <v>-0.12918323071004811</v>
      </c>
      <c r="C439" s="13">
        <f t="shared" si="6"/>
        <v>0</v>
      </c>
    </row>
    <row r="440" spans="1:3" x14ac:dyDescent="0.25">
      <c r="A440" s="11">
        <v>0.438</v>
      </c>
      <c r="B440" s="12">
        <f>(General_Model!$C$6/General_Model!$C$7)-1/(1+General_Model!$C$26/((1.2+0.2*(General_Model!$C$26/A440)+0.35*SQRT(9.80665*(General_Model!$C$4/1000))/A440)*A440))-(A440^2/(2*9.80665*General_Model!$C$7))*((4*(0.3164/((General_Model!$C$14*A440*(General_Model!$C$4/1000)/General_Model!$C$15)^0.25))*General_Model!$C$7/(General_Model!$C$4/1000)+1)+(4*(0.3164/((General_Model!$C$14*A440*(General_Model!$C$4/1000)/General_Model!$C$15)^0.25))*General_Model!$C$7/(General_Model!$C$4/1000)+2)*(General_Model!$C$26/A440))</f>
        <v>-0.12977371417077938</v>
      </c>
      <c r="C440" s="13">
        <f t="shared" si="6"/>
        <v>0</v>
      </c>
    </row>
    <row r="441" spans="1:3" x14ac:dyDescent="0.25">
      <c r="A441" s="11">
        <v>0.439</v>
      </c>
      <c r="B441" s="12">
        <f>(General_Model!$C$6/General_Model!$C$7)-1/(1+General_Model!$C$26/((1.2+0.2*(General_Model!$C$26/A441)+0.35*SQRT(9.80665*(General_Model!$C$4/1000))/A441)*A441))-(A441^2/(2*9.80665*General_Model!$C$7))*((4*(0.3164/((General_Model!$C$14*A441*(General_Model!$C$4/1000)/General_Model!$C$15)^0.25))*General_Model!$C$7/(General_Model!$C$4/1000)+1)+(4*(0.3164/((General_Model!$C$14*A441*(General_Model!$C$4/1000)/General_Model!$C$15)^0.25))*General_Model!$C$7/(General_Model!$C$4/1000)+2)*(General_Model!$C$26/A441))</f>
        <v>-0.13036384930015527</v>
      </c>
      <c r="C441" s="13">
        <f t="shared" si="6"/>
        <v>0</v>
      </c>
    </row>
    <row r="442" spans="1:3" x14ac:dyDescent="0.25">
      <c r="A442" s="11">
        <v>0.44</v>
      </c>
      <c r="B442" s="12">
        <f>(General_Model!$C$6/General_Model!$C$7)-1/(1+General_Model!$C$26/((1.2+0.2*(General_Model!$C$26/A442)+0.35*SQRT(9.80665*(General_Model!$C$4/1000))/A442)*A442))-(A442^2/(2*9.80665*General_Model!$C$7))*((4*(0.3164/((General_Model!$C$14*A442*(General_Model!$C$4/1000)/General_Model!$C$15)^0.25))*General_Model!$C$7/(General_Model!$C$4/1000)+1)+(4*(0.3164/((General_Model!$C$14*A442*(General_Model!$C$4/1000)/General_Model!$C$15)^0.25))*General_Model!$C$7/(General_Model!$C$4/1000)+2)*(General_Model!$C$26/A442))</f>
        <v>-0.13095363777568136</v>
      </c>
      <c r="C442" s="13">
        <f t="shared" si="6"/>
        <v>0</v>
      </c>
    </row>
    <row r="443" spans="1:3" x14ac:dyDescent="0.25">
      <c r="A443" s="11">
        <v>0.441</v>
      </c>
      <c r="B443" s="12">
        <f>(General_Model!$C$6/General_Model!$C$7)-1/(1+General_Model!$C$26/((1.2+0.2*(General_Model!$C$26/A443)+0.35*SQRT(9.80665*(General_Model!$C$4/1000))/A443)*A443))-(A443^2/(2*9.80665*General_Model!$C$7))*((4*(0.3164/((General_Model!$C$14*A443*(General_Model!$C$4/1000)/General_Model!$C$15)^0.25))*General_Model!$C$7/(General_Model!$C$4/1000)+1)+(4*(0.3164/((General_Model!$C$14*A443*(General_Model!$C$4/1000)/General_Model!$C$15)^0.25))*General_Model!$C$7/(General_Model!$C$4/1000)+2)*(General_Model!$C$26/A443))</f>
        <v>-0.13154308126846084</v>
      </c>
      <c r="C443" s="13">
        <f t="shared" si="6"/>
        <v>0</v>
      </c>
    </row>
    <row r="444" spans="1:3" x14ac:dyDescent="0.25">
      <c r="A444" s="11">
        <v>0.442</v>
      </c>
      <c r="B444" s="12">
        <f>(General_Model!$C$6/General_Model!$C$7)-1/(1+General_Model!$C$26/((1.2+0.2*(General_Model!$C$26/A444)+0.35*SQRT(9.80665*(General_Model!$C$4/1000))/A444)*A444))-(A444^2/(2*9.80665*General_Model!$C$7))*((4*(0.3164/((General_Model!$C$14*A444*(General_Model!$C$4/1000)/General_Model!$C$15)^0.25))*General_Model!$C$7/(General_Model!$C$4/1000)+1)+(4*(0.3164/((General_Model!$C$14*A444*(General_Model!$C$4/1000)/General_Model!$C$15)^0.25))*General_Model!$C$7/(General_Model!$C$4/1000)+2)*(General_Model!$C$26/A444))</f>
        <v>-0.13213218144322408</v>
      </c>
      <c r="C444" s="13">
        <f t="shared" si="6"/>
        <v>0</v>
      </c>
    </row>
    <row r="445" spans="1:3" x14ac:dyDescent="0.25">
      <c r="A445" s="11">
        <v>0.443</v>
      </c>
      <c r="B445" s="12">
        <f>(General_Model!$C$6/General_Model!$C$7)-1/(1+General_Model!$C$26/((1.2+0.2*(General_Model!$C$26/A445)+0.35*SQRT(9.80665*(General_Model!$C$4/1000))/A445)*A445))-(A445^2/(2*9.80665*General_Model!$C$7))*((4*(0.3164/((General_Model!$C$14*A445*(General_Model!$C$4/1000)/General_Model!$C$15)^0.25))*General_Model!$C$7/(General_Model!$C$4/1000)+1)+(4*(0.3164/((General_Model!$C$14*A445*(General_Model!$C$4/1000)/General_Model!$C$15)^0.25))*General_Model!$C$7/(General_Model!$C$4/1000)+2)*(General_Model!$C$26/A445))</f>
        <v>-0.13272093995835915</v>
      </c>
      <c r="C445" s="13">
        <f t="shared" si="6"/>
        <v>0</v>
      </c>
    </row>
    <row r="446" spans="1:3" x14ac:dyDescent="0.25">
      <c r="A446" s="11">
        <v>0.44400000000000001</v>
      </c>
      <c r="B446" s="12">
        <f>(General_Model!$C$6/General_Model!$C$7)-1/(1+General_Model!$C$26/((1.2+0.2*(General_Model!$C$26/A446)+0.35*SQRT(9.80665*(General_Model!$C$4/1000))/A446)*A446))-(A446^2/(2*9.80665*General_Model!$C$7))*((4*(0.3164/((General_Model!$C$14*A446*(General_Model!$C$4/1000)/General_Model!$C$15)^0.25))*General_Model!$C$7/(General_Model!$C$4/1000)+1)+(4*(0.3164/((General_Model!$C$14*A446*(General_Model!$C$4/1000)/General_Model!$C$15)^0.25))*General_Model!$C$7/(General_Model!$C$4/1000)+2)*(General_Model!$C$26/A446))</f>
        <v>-0.13330935846594227</v>
      </c>
      <c r="C446" s="13">
        <f t="shared" si="6"/>
        <v>0</v>
      </c>
    </row>
    <row r="447" spans="1:3" x14ac:dyDescent="0.25">
      <c r="A447" s="11">
        <v>0.44500000000000001</v>
      </c>
      <c r="B447" s="12">
        <f>(General_Model!$C$6/General_Model!$C$7)-1/(1+General_Model!$C$26/((1.2+0.2*(General_Model!$C$26/A447)+0.35*SQRT(9.80665*(General_Model!$C$4/1000))/A447)*A447))-(A447^2/(2*9.80665*General_Model!$C$7))*((4*(0.3164/((General_Model!$C$14*A447*(General_Model!$C$4/1000)/General_Model!$C$15)^0.25))*General_Model!$C$7/(General_Model!$C$4/1000)+1)+(4*(0.3164/((General_Model!$C$14*A447*(General_Model!$C$4/1000)/General_Model!$C$15)^0.25))*General_Model!$C$7/(General_Model!$C$4/1000)+2)*(General_Model!$C$26/A447))</f>
        <v>-0.133897438611768</v>
      </c>
      <c r="C447" s="13">
        <f t="shared" si="6"/>
        <v>0</v>
      </c>
    </row>
    <row r="448" spans="1:3" x14ac:dyDescent="0.25">
      <c r="A448" s="11">
        <v>0.44600000000000001</v>
      </c>
      <c r="B448" s="12">
        <f>(General_Model!$C$6/General_Model!$C$7)-1/(1+General_Model!$C$26/((1.2+0.2*(General_Model!$C$26/A448)+0.35*SQRT(9.80665*(General_Model!$C$4/1000))/A448)*A448))-(A448^2/(2*9.80665*General_Model!$C$7))*((4*(0.3164/((General_Model!$C$14*A448*(General_Model!$C$4/1000)/General_Model!$C$15)^0.25))*General_Model!$C$7/(General_Model!$C$4/1000)+1)+(4*(0.3164/((General_Model!$C$14*A448*(General_Model!$C$4/1000)/General_Model!$C$15)^0.25))*General_Model!$C$7/(General_Model!$C$4/1000)+2)*(General_Model!$C$26/A448))</f>
        <v>-0.13448518203537832</v>
      </c>
      <c r="C448" s="13">
        <f t="shared" si="6"/>
        <v>0</v>
      </c>
    </row>
    <row r="449" spans="1:3" x14ac:dyDescent="0.25">
      <c r="A449" s="11">
        <v>0.44700000000000001</v>
      </c>
      <c r="B449" s="12">
        <f>(General_Model!$C$6/General_Model!$C$7)-1/(1+General_Model!$C$26/((1.2+0.2*(General_Model!$C$26/A449)+0.35*SQRT(9.80665*(General_Model!$C$4/1000))/A449)*A449))-(A449^2/(2*9.80665*General_Model!$C$7))*((4*(0.3164/((General_Model!$C$14*A449*(General_Model!$C$4/1000)/General_Model!$C$15)^0.25))*General_Model!$C$7/(General_Model!$C$4/1000)+1)+(4*(0.3164/((General_Model!$C$14*A449*(General_Model!$C$4/1000)/General_Model!$C$15)^0.25))*General_Model!$C$7/(General_Model!$C$4/1000)+2)*(General_Model!$C$26/A449))</f>
        <v>-0.13507259037009245</v>
      </c>
      <c r="C449" s="13">
        <f t="shared" si="6"/>
        <v>0</v>
      </c>
    </row>
    <row r="450" spans="1:3" x14ac:dyDescent="0.25">
      <c r="A450" s="11">
        <v>0.44800000000000001</v>
      </c>
      <c r="B450" s="12">
        <f>(General_Model!$C$6/General_Model!$C$7)-1/(1+General_Model!$C$26/((1.2+0.2*(General_Model!$C$26/A450)+0.35*SQRT(9.80665*(General_Model!$C$4/1000))/A450)*A450))-(A450^2/(2*9.80665*General_Model!$C$7))*((4*(0.3164/((General_Model!$C$14*A450*(General_Model!$C$4/1000)/General_Model!$C$15)^0.25))*General_Model!$C$7/(General_Model!$C$4/1000)+1)+(4*(0.3164/((General_Model!$C$14*A450*(General_Model!$C$4/1000)/General_Model!$C$15)^0.25))*General_Model!$C$7/(General_Model!$C$4/1000)+2)*(General_Model!$C$26/A450))</f>
        <v>-0.13565966524303746</v>
      </c>
      <c r="C450" s="13">
        <f t="shared" si="6"/>
        <v>0</v>
      </c>
    </row>
    <row r="451" spans="1:3" x14ac:dyDescent="0.25">
      <c r="A451" s="11">
        <v>0.44900000000000001</v>
      </c>
      <c r="B451" s="12">
        <f>(General_Model!$C$6/General_Model!$C$7)-1/(1+General_Model!$C$26/((1.2+0.2*(General_Model!$C$26/A451)+0.35*SQRT(9.80665*(General_Model!$C$4/1000))/A451)*A451))-(A451^2/(2*9.80665*General_Model!$C$7))*((4*(0.3164/((General_Model!$C$14*A451*(General_Model!$C$4/1000)/General_Model!$C$15)^0.25))*General_Model!$C$7/(General_Model!$C$4/1000)+1)+(4*(0.3164/((General_Model!$C$14*A451*(General_Model!$C$4/1000)/General_Model!$C$15)^0.25))*General_Model!$C$7/(General_Model!$C$4/1000)+2)*(General_Model!$C$26/A451))</f>
        <v>-0.13624640827517587</v>
      </c>
      <c r="C451" s="13">
        <f t="shared" ref="C451:C514" si="7">IF(B451*B452&lt;=0,1,0)</f>
        <v>0</v>
      </c>
    </row>
    <row r="452" spans="1:3" x14ac:dyDescent="0.25">
      <c r="A452" s="11">
        <v>0.45</v>
      </c>
      <c r="B452" s="12">
        <f>(General_Model!$C$6/General_Model!$C$7)-1/(1+General_Model!$C$26/((1.2+0.2*(General_Model!$C$26/A452)+0.35*SQRT(9.80665*(General_Model!$C$4/1000))/A452)*A452))-(A452^2/(2*9.80665*General_Model!$C$7))*((4*(0.3164/((General_Model!$C$14*A452*(General_Model!$C$4/1000)/General_Model!$C$15)^0.25))*General_Model!$C$7/(General_Model!$C$4/1000)+1)+(4*(0.3164/((General_Model!$C$14*A452*(General_Model!$C$4/1000)/General_Model!$C$15)^0.25))*General_Model!$C$7/(General_Model!$C$4/1000)+2)*(General_Model!$C$26/A452))</f>
        <v>-0.13683282108133599</v>
      </c>
      <c r="C452" s="13">
        <f t="shared" si="7"/>
        <v>0</v>
      </c>
    </row>
    <row r="453" spans="1:3" x14ac:dyDescent="0.25">
      <c r="A453" s="11">
        <v>0.45100000000000001</v>
      </c>
      <c r="B453" s="12">
        <f>(General_Model!$C$6/General_Model!$C$7)-1/(1+General_Model!$C$26/((1.2+0.2*(General_Model!$C$26/A453)+0.35*SQRT(9.80665*(General_Model!$C$4/1000))/A453)*A453))-(A453^2/(2*9.80665*General_Model!$C$7))*((4*(0.3164/((General_Model!$C$14*A453*(General_Model!$C$4/1000)/General_Model!$C$15)^0.25))*General_Model!$C$7/(General_Model!$C$4/1000)+1)+(4*(0.3164/((General_Model!$C$14*A453*(General_Model!$C$4/1000)/General_Model!$C$15)^0.25))*General_Model!$C$7/(General_Model!$C$4/1000)+2)*(General_Model!$C$26/A453))</f>
        <v>-0.1374189052702405</v>
      </c>
      <c r="C453" s="13">
        <f t="shared" si="7"/>
        <v>0</v>
      </c>
    </row>
    <row r="454" spans="1:3" x14ac:dyDescent="0.25">
      <c r="A454" s="11">
        <v>0.45200000000000001</v>
      </c>
      <c r="B454" s="12">
        <f>(General_Model!$C$6/General_Model!$C$7)-1/(1+General_Model!$C$26/((1.2+0.2*(General_Model!$C$26/A454)+0.35*SQRT(9.80665*(General_Model!$C$4/1000))/A454)*A454))-(A454^2/(2*9.80665*General_Model!$C$7))*((4*(0.3164/((General_Model!$C$14*A454*(General_Model!$C$4/1000)/General_Model!$C$15)^0.25))*General_Model!$C$7/(General_Model!$C$4/1000)+1)+(4*(0.3164/((General_Model!$C$14*A454*(General_Model!$C$4/1000)/General_Model!$C$15)^0.25))*General_Model!$C$7/(General_Model!$C$4/1000)+2)*(General_Model!$C$26/A454))</f>
        <v>-0.13800466244453552</v>
      </c>
      <c r="C454" s="13">
        <f t="shared" si="7"/>
        <v>0</v>
      </c>
    </row>
    <row r="455" spans="1:3" x14ac:dyDescent="0.25">
      <c r="A455" s="11">
        <v>0.45300000000000001</v>
      </c>
      <c r="B455" s="12">
        <f>(General_Model!$C$6/General_Model!$C$7)-1/(1+General_Model!$C$26/((1.2+0.2*(General_Model!$C$26/A455)+0.35*SQRT(9.80665*(General_Model!$C$4/1000))/A455)*A455))-(A455^2/(2*9.80665*General_Model!$C$7))*((4*(0.3164/((General_Model!$C$14*A455*(General_Model!$C$4/1000)/General_Model!$C$15)^0.25))*General_Model!$C$7/(General_Model!$C$4/1000)+1)+(4*(0.3164/((General_Model!$C$14*A455*(General_Model!$C$4/1000)/General_Model!$C$15)^0.25))*General_Model!$C$7/(General_Model!$C$4/1000)+2)*(General_Model!$C$26/A455))</f>
        <v>-0.13859009420081825</v>
      </c>
      <c r="C455" s="13">
        <f t="shared" si="7"/>
        <v>0</v>
      </c>
    </row>
    <row r="456" spans="1:3" x14ac:dyDescent="0.25">
      <c r="A456" s="11">
        <v>0.45400000000000001</v>
      </c>
      <c r="B456" s="12">
        <f>(General_Model!$C$6/General_Model!$C$7)-1/(1+General_Model!$C$26/((1.2+0.2*(General_Model!$C$26/A456)+0.35*SQRT(9.80665*(General_Model!$C$4/1000))/A456)*A456))-(A456^2/(2*9.80665*General_Model!$C$7))*((4*(0.3164/((General_Model!$C$14*A456*(General_Model!$C$4/1000)/General_Model!$C$15)^0.25))*General_Model!$C$7/(General_Model!$C$4/1000)+1)+(4*(0.3164/((General_Model!$C$14*A456*(General_Model!$C$4/1000)/General_Model!$C$15)^0.25))*General_Model!$C$7/(General_Model!$C$4/1000)+2)*(General_Model!$C$26/A456))</f>
        <v>-0.13917520212966716</v>
      </c>
      <c r="C456" s="13">
        <f t="shared" si="7"/>
        <v>0</v>
      </c>
    </row>
    <row r="457" spans="1:3" x14ac:dyDescent="0.25">
      <c r="A457" s="11">
        <v>0.45500000000000002</v>
      </c>
      <c r="B457" s="12">
        <f>(General_Model!$C$6/General_Model!$C$7)-1/(1+General_Model!$C$26/((1.2+0.2*(General_Model!$C$26/A457)+0.35*SQRT(9.80665*(General_Model!$C$4/1000))/A457)*A457))-(A457^2/(2*9.80665*General_Model!$C$7))*((4*(0.3164/((General_Model!$C$14*A457*(General_Model!$C$4/1000)/General_Model!$C$15)^0.25))*General_Model!$C$7/(General_Model!$C$4/1000)+1)+(4*(0.3164/((General_Model!$C$14*A457*(General_Model!$C$4/1000)/General_Model!$C$15)^0.25))*General_Model!$C$7/(General_Model!$C$4/1000)+2)*(General_Model!$C$26/A457))</f>
        <v>-0.13975998781566884</v>
      </c>
      <c r="C457" s="13">
        <f t="shared" si="7"/>
        <v>0</v>
      </c>
    </row>
    <row r="458" spans="1:3" x14ac:dyDescent="0.25">
      <c r="A458" s="11">
        <v>0.45600000000000002</v>
      </c>
      <c r="B458" s="12">
        <f>(General_Model!$C$6/General_Model!$C$7)-1/(1+General_Model!$C$26/((1.2+0.2*(General_Model!$C$26/A458)+0.35*SQRT(9.80665*(General_Model!$C$4/1000))/A458)*A458))-(A458^2/(2*9.80665*General_Model!$C$7))*((4*(0.3164/((General_Model!$C$14*A458*(General_Model!$C$4/1000)/General_Model!$C$15)^0.25))*General_Model!$C$7/(General_Model!$C$4/1000)+1)+(4*(0.3164/((General_Model!$C$14*A458*(General_Model!$C$4/1000)/General_Model!$C$15)^0.25))*General_Model!$C$7/(General_Model!$C$4/1000)+2)*(General_Model!$C$26/A458))</f>
        <v>-0.14034445283744634</v>
      </c>
      <c r="C458" s="13">
        <f t="shared" si="7"/>
        <v>0</v>
      </c>
    </row>
    <row r="459" spans="1:3" x14ac:dyDescent="0.25">
      <c r="A459" s="11">
        <v>0.45700000000000002</v>
      </c>
      <c r="B459" s="12">
        <f>(General_Model!$C$6/General_Model!$C$7)-1/(1+General_Model!$C$26/((1.2+0.2*(General_Model!$C$26/A459)+0.35*SQRT(9.80665*(General_Model!$C$4/1000))/A459)*A459))-(A459^2/(2*9.80665*General_Model!$C$7))*((4*(0.3164/((General_Model!$C$14*A459*(General_Model!$C$4/1000)/General_Model!$C$15)^0.25))*General_Model!$C$7/(General_Model!$C$4/1000)+1)+(4*(0.3164/((General_Model!$C$14*A459*(General_Model!$C$4/1000)/General_Model!$C$15)^0.25))*General_Model!$C$7/(General_Model!$C$4/1000)+2)*(General_Model!$C$26/A459))</f>
        <v>-0.14092859876768837</v>
      </c>
      <c r="C459" s="13">
        <f t="shared" si="7"/>
        <v>0</v>
      </c>
    </row>
    <row r="460" spans="1:3" x14ac:dyDescent="0.25">
      <c r="A460" s="11">
        <v>0.45800000000000002</v>
      </c>
      <c r="B460" s="12">
        <f>(General_Model!$C$6/General_Model!$C$7)-1/(1+General_Model!$C$26/((1.2+0.2*(General_Model!$C$26/A460)+0.35*SQRT(9.80665*(General_Model!$C$4/1000))/A460)*A460))-(A460^2/(2*9.80665*General_Model!$C$7))*((4*(0.3164/((General_Model!$C$14*A460*(General_Model!$C$4/1000)/General_Model!$C$15)^0.25))*General_Model!$C$7/(General_Model!$C$4/1000)+1)+(4*(0.3164/((General_Model!$C$14*A460*(General_Model!$C$4/1000)/General_Model!$C$15)^0.25))*General_Model!$C$7/(General_Model!$C$4/1000)+2)*(General_Model!$C$26/A460))</f>
        <v>-0.14151242717317533</v>
      </c>
      <c r="C460" s="13">
        <f t="shared" si="7"/>
        <v>0</v>
      </c>
    </row>
    <row r="461" spans="1:3" x14ac:dyDescent="0.25">
      <c r="A461" s="11">
        <v>0.45900000000000002</v>
      </c>
      <c r="B461" s="12">
        <f>(General_Model!$C$6/General_Model!$C$7)-1/(1+General_Model!$C$26/((1.2+0.2*(General_Model!$C$26/A461)+0.35*SQRT(9.80665*(General_Model!$C$4/1000))/A461)*A461))-(A461^2/(2*9.80665*General_Model!$C$7))*((4*(0.3164/((General_Model!$C$14*A461*(General_Model!$C$4/1000)/General_Model!$C$15)^0.25))*General_Model!$C$7/(General_Model!$C$4/1000)+1)+(4*(0.3164/((General_Model!$C$14*A461*(General_Model!$C$4/1000)/General_Model!$C$15)^0.25))*General_Model!$C$7/(General_Model!$C$4/1000)+2)*(General_Model!$C$26/A461))</f>
        <v>-0.14209593961480821</v>
      </c>
      <c r="C461" s="13">
        <f t="shared" si="7"/>
        <v>0</v>
      </c>
    </row>
    <row r="462" spans="1:3" x14ac:dyDescent="0.25">
      <c r="A462" s="11">
        <v>0.46</v>
      </c>
      <c r="B462" s="12">
        <f>(General_Model!$C$6/General_Model!$C$7)-1/(1+General_Model!$C$26/((1.2+0.2*(General_Model!$C$26/A462)+0.35*SQRT(9.80665*(General_Model!$C$4/1000))/A462)*A462))-(A462^2/(2*9.80665*General_Model!$C$7))*((4*(0.3164/((General_Model!$C$14*A462*(General_Model!$C$4/1000)/General_Model!$C$15)^0.25))*General_Model!$C$7/(General_Model!$C$4/1000)+1)+(4*(0.3164/((General_Model!$C$14*A462*(General_Model!$C$4/1000)/General_Model!$C$15)^0.25))*General_Model!$C$7/(General_Model!$C$4/1000)+2)*(General_Model!$C$26/A462))</f>
        <v>-0.14267913764763612</v>
      </c>
      <c r="C462" s="13">
        <f t="shared" si="7"/>
        <v>0</v>
      </c>
    </row>
    <row r="463" spans="1:3" x14ac:dyDescent="0.25">
      <c r="A463" s="11">
        <v>0.46100000000000002</v>
      </c>
      <c r="B463" s="12">
        <f>(General_Model!$C$6/General_Model!$C$7)-1/(1+General_Model!$C$26/((1.2+0.2*(General_Model!$C$26/A463)+0.35*SQRT(9.80665*(General_Model!$C$4/1000))/A463)*A463))-(A463^2/(2*9.80665*General_Model!$C$7))*((4*(0.3164/((General_Model!$C$14*A463*(General_Model!$C$4/1000)/General_Model!$C$15)^0.25))*General_Model!$C$7/(General_Model!$C$4/1000)+1)+(4*(0.3164/((General_Model!$C$14*A463*(General_Model!$C$4/1000)/General_Model!$C$15)^0.25))*General_Model!$C$7/(General_Model!$C$4/1000)+2)*(General_Model!$C$26/A463))</f>
        <v>-0.14326202282088238</v>
      </c>
      <c r="C463" s="13">
        <f t="shared" si="7"/>
        <v>0</v>
      </c>
    </row>
    <row r="464" spans="1:3" x14ac:dyDescent="0.25">
      <c r="A464" s="11">
        <v>0.46200000000000002</v>
      </c>
      <c r="B464" s="12">
        <f>(General_Model!$C$6/General_Model!$C$7)-1/(1+General_Model!$C$26/((1.2+0.2*(General_Model!$C$26/A464)+0.35*SQRT(9.80665*(General_Model!$C$4/1000))/A464)*A464))-(A464^2/(2*9.80665*General_Model!$C$7))*((4*(0.3164/((General_Model!$C$14*A464*(General_Model!$C$4/1000)/General_Model!$C$15)^0.25))*General_Model!$C$7/(General_Model!$C$4/1000)+1)+(4*(0.3164/((General_Model!$C$14*A464*(General_Model!$C$4/1000)/General_Model!$C$15)^0.25))*General_Model!$C$7/(General_Model!$C$4/1000)+2)*(General_Model!$C$26/A464))</f>
        <v>-0.14384459667797345</v>
      </c>
      <c r="C464" s="13">
        <f t="shared" si="7"/>
        <v>0</v>
      </c>
    </row>
    <row r="465" spans="1:3" x14ac:dyDescent="0.25">
      <c r="A465" s="11">
        <v>0.46300000000000002</v>
      </c>
      <c r="B465" s="12">
        <f>(General_Model!$C$6/General_Model!$C$7)-1/(1+General_Model!$C$26/((1.2+0.2*(General_Model!$C$26/A465)+0.35*SQRT(9.80665*(General_Model!$C$4/1000))/A465)*A465))-(A465^2/(2*9.80665*General_Model!$C$7))*((4*(0.3164/((General_Model!$C$14*A465*(General_Model!$C$4/1000)/General_Model!$C$15)^0.25))*General_Model!$C$7/(General_Model!$C$4/1000)+1)+(4*(0.3164/((General_Model!$C$14*A465*(General_Model!$C$4/1000)/General_Model!$C$15)^0.25))*General_Model!$C$7/(General_Model!$C$4/1000)+2)*(General_Model!$C$26/A465))</f>
        <v>-0.14442686075656466</v>
      </c>
      <c r="C465" s="13">
        <f t="shared" si="7"/>
        <v>0</v>
      </c>
    </row>
    <row r="466" spans="1:3" x14ac:dyDescent="0.25">
      <c r="A466" s="11">
        <v>0.46400000000000002</v>
      </c>
      <c r="B466" s="12">
        <f>(General_Model!$C$6/General_Model!$C$7)-1/(1+General_Model!$C$26/((1.2+0.2*(General_Model!$C$26/A466)+0.35*SQRT(9.80665*(General_Model!$C$4/1000))/A466)*A466))-(A466^2/(2*9.80665*General_Model!$C$7))*((4*(0.3164/((General_Model!$C$14*A466*(General_Model!$C$4/1000)/General_Model!$C$15)^0.25))*General_Model!$C$7/(General_Model!$C$4/1000)+1)+(4*(0.3164/((General_Model!$C$14*A466*(General_Model!$C$4/1000)/General_Model!$C$15)^0.25))*General_Model!$C$7/(General_Model!$C$4/1000)+2)*(General_Model!$C$26/A466))</f>
        <v>-0.14500881658856757</v>
      </c>
      <c r="C466" s="13">
        <f t="shared" si="7"/>
        <v>0</v>
      </c>
    </row>
    <row r="467" spans="1:3" x14ac:dyDescent="0.25">
      <c r="A467" s="11">
        <v>0.46500000000000002</v>
      </c>
      <c r="B467" s="12">
        <f>(General_Model!$C$6/General_Model!$C$7)-1/(1+General_Model!$C$26/((1.2+0.2*(General_Model!$C$26/A467)+0.35*SQRT(9.80665*(General_Model!$C$4/1000))/A467)*A467))-(A467^2/(2*9.80665*General_Model!$C$7))*((4*(0.3164/((General_Model!$C$14*A467*(General_Model!$C$4/1000)/General_Model!$C$15)^0.25))*General_Model!$C$7/(General_Model!$C$4/1000)+1)+(4*(0.3164/((General_Model!$C$14*A467*(General_Model!$C$4/1000)/General_Model!$C$15)^0.25))*General_Model!$C$7/(General_Model!$C$4/1000)+2)*(General_Model!$C$26/A467))</f>
        <v>-0.14559046570017692</v>
      </c>
      <c r="C467" s="13">
        <f t="shared" si="7"/>
        <v>0</v>
      </c>
    </row>
    <row r="468" spans="1:3" x14ac:dyDescent="0.25">
      <c r="A468" s="11">
        <v>0.46600000000000003</v>
      </c>
      <c r="B468" s="12">
        <f>(General_Model!$C$6/General_Model!$C$7)-1/(1+General_Model!$C$26/((1.2+0.2*(General_Model!$C$26/A468)+0.35*SQRT(9.80665*(General_Model!$C$4/1000))/A468)*A468))-(A468^2/(2*9.80665*General_Model!$C$7))*((4*(0.3164/((General_Model!$C$14*A468*(General_Model!$C$4/1000)/General_Model!$C$15)^0.25))*General_Model!$C$7/(General_Model!$C$4/1000)+1)+(4*(0.3164/((General_Model!$C$14*A468*(General_Model!$C$4/1000)/General_Model!$C$15)^0.25))*General_Model!$C$7/(General_Model!$C$4/1000)+2)*(General_Model!$C$26/A468))</f>
        <v>-0.1461718096118968</v>
      </c>
      <c r="C468" s="13">
        <f t="shared" si="7"/>
        <v>0</v>
      </c>
    </row>
    <row r="469" spans="1:3" x14ac:dyDescent="0.25">
      <c r="A469" s="11">
        <v>0.46700000000000003</v>
      </c>
      <c r="B469" s="12">
        <f>(General_Model!$C$6/General_Model!$C$7)-1/(1+General_Model!$C$26/((1.2+0.2*(General_Model!$C$26/A469)+0.35*SQRT(9.80665*(General_Model!$C$4/1000))/A469)*A469))-(A469^2/(2*9.80665*General_Model!$C$7))*((4*(0.3164/((General_Model!$C$14*A469*(General_Model!$C$4/1000)/General_Model!$C$15)^0.25))*General_Model!$C$7/(General_Model!$C$4/1000)+1)+(4*(0.3164/((General_Model!$C$14*A469*(General_Model!$C$4/1000)/General_Model!$C$15)^0.25))*General_Model!$C$7/(General_Model!$C$4/1000)+2)*(General_Model!$C$26/A469))</f>
        <v>-0.14675284983856701</v>
      </c>
      <c r="C469" s="13">
        <f t="shared" si="7"/>
        <v>0</v>
      </c>
    </row>
    <row r="470" spans="1:3" x14ac:dyDescent="0.25">
      <c r="A470" s="11">
        <v>0.46800000000000003</v>
      </c>
      <c r="B470" s="12">
        <f>(General_Model!$C$6/General_Model!$C$7)-1/(1+General_Model!$C$26/((1.2+0.2*(General_Model!$C$26/A470)+0.35*SQRT(9.80665*(General_Model!$C$4/1000))/A470)*A470))-(A470^2/(2*9.80665*General_Model!$C$7))*((4*(0.3164/((General_Model!$C$14*A470*(General_Model!$C$4/1000)/General_Model!$C$15)^0.25))*General_Model!$C$7/(General_Model!$C$4/1000)+1)+(4*(0.3164/((General_Model!$C$14*A470*(General_Model!$C$4/1000)/General_Model!$C$15)^0.25))*General_Model!$C$7/(General_Model!$C$4/1000)+2)*(General_Model!$C$26/A470))</f>
        <v>-0.14733358788939027</v>
      </c>
      <c r="C470" s="13">
        <f t="shared" si="7"/>
        <v>0</v>
      </c>
    </row>
    <row r="471" spans="1:3" x14ac:dyDescent="0.25">
      <c r="A471" s="11">
        <v>0.46899999999999997</v>
      </c>
      <c r="B471" s="12">
        <f>(General_Model!$C$6/General_Model!$C$7)-1/(1+General_Model!$C$26/((1.2+0.2*(General_Model!$C$26/A471)+0.35*SQRT(9.80665*(General_Model!$C$4/1000))/A471)*A471))-(A471^2/(2*9.80665*General_Model!$C$7))*((4*(0.3164/((General_Model!$C$14*A471*(General_Model!$C$4/1000)/General_Model!$C$15)^0.25))*General_Model!$C$7/(General_Model!$C$4/1000)+1)+(4*(0.3164/((General_Model!$C$14*A471*(General_Model!$C$4/1000)/General_Model!$C$15)^0.25))*General_Model!$C$7/(General_Model!$C$4/1000)+2)*(General_Model!$C$26/A471))</f>
        <v>-0.14791402526795655</v>
      </c>
      <c r="C471" s="13">
        <f t="shared" si="7"/>
        <v>0</v>
      </c>
    </row>
    <row r="472" spans="1:3" x14ac:dyDescent="0.25">
      <c r="A472" s="11">
        <v>0.47</v>
      </c>
      <c r="B472" s="12">
        <f>(General_Model!$C$6/General_Model!$C$7)-1/(1+General_Model!$C$26/((1.2+0.2*(General_Model!$C$26/A472)+0.35*SQRT(9.80665*(General_Model!$C$4/1000))/A472)*A472))-(A472^2/(2*9.80665*General_Model!$C$7))*((4*(0.3164/((General_Model!$C$14*A472*(General_Model!$C$4/1000)/General_Model!$C$15)^0.25))*General_Model!$C$7/(General_Model!$C$4/1000)+1)+(4*(0.3164/((General_Model!$C$14*A472*(General_Model!$C$4/1000)/General_Model!$C$15)^0.25))*General_Model!$C$7/(General_Model!$C$4/1000)+2)*(General_Model!$C$26/A472))</f>
        <v>-0.14849416347227137</v>
      </c>
      <c r="C472" s="13">
        <f t="shared" si="7"/>
        <v>0</v>
      </c>
    </row>
    <row r="473" spans="1:3" x14ac:dyDescent="0.25">
      <c r="A473" s="11">
        <v>0.47099999999999997</v>
      </c>
      <c r="B473" s="12">
        <f>(General_Model!$C$6/General_Model!$C$7)-1/(1+General_Model!$C$26/((1.2+0.2*(General_Model!$C$26/A473)+0.35*SQRT(9.80665*(General_Model!$C$4/1000))/A473)*A473))-(A473^2/(2*9.80665*General_Model!$C$7))*((4*(0.3164/((General_Model!$C$14*A473*(General_Model!$C$4/1000)/General_Model!$C$15)^0.25))*General_Model!$C$7/(General_Model!$C$4/1000)+1)+(4*(0.3164/((General_Model!$C$14*A473*(General_Model!$C$4/1000)/General_Model!$C$15)^0.25))*General_Model!$C$7/(General_Model!$C$4/1000)+2)*(General_Model!$C$26/A473))</f>
        <v>-0.14907400399477944</v>
      </c>
      <c r="C473" s="13">
        <f t="shared" si="7"/>
        <v>0</v>
      </c>
    </row>
    <row r="474" spans="1:3" x14ac:dyDescent="0.25">
      <c r="A474" s="11">
        <v>0.47199999999999998</v>
      </c>
      <c r="B474" s="12">
        <f>(General_Model!$C$6/General_Model!$C$7)-1/(1+General_Model!$C$26/((1.2+0.2*(General_Model!$C$26/A474)+0.35*SQRT(9.80665*(General_Model!$C$4/1000))/A474)*A474))-(A474^2/(2*9.80665*General_Model!$C$7))*((4*(0.3164/((General_Model!$C$14*A474*(General_Model!$C$4/1000)/General_Model!$C$15)^0.25))*General_Model!$C$7/(General_Model!$C$4/1000)+1)+(4*(0.3164/((General_Model!$C$14*A474*(General_Model!$C$4/1000)/General_Model!$C$15)^0.25))*General_Model!$C$7/(General_Model!$C$4/1000)+2)*(General_Model!$C$26/A474))</f>
        <v>-0.14965354832239175</v>
      </c>
      <c r="C474" s="13">
        <f t="shared" si="7"/>
        <v>0</v>
      </c>
    </row>
    <row r="475" spans="1:3" x14ac:dyDescent="0.25">
      <c r="A475" s="11">
        <v>0.47299999999999998</v>
      </c>
      <c r="B475" s="12">
        <f>(General_Model!$C$6/General_Model!$C$7)-1/(1+General_Model!$C$26/((1.2+0.2*(General_Model!$C$26/A475)+0.35*SQRT(9.80665*(General_Model!$C$4/1000))/A475)*A475))-(A475^2/(2*9.80665*General_Model!$C$7))*((4*(0.3164/((General_Model!$C$14*A475*(General_Model!$C$4/1000)/General_Model!$C$15)^0.25))*General_Model!$C$7/(General_Model!$C$4/1000)+1)+(4*(0.3164/((General_Model!$C$14*A475*(General_Model!$C$4/1000)/General_Model!$C$15)^0.25))*General_Model!$C$7/(General_Model!$C$4/1000)+2)*(General_Model!$C$26/A475))</f>
        <v>-0.15023279793651059</v>
      </c>
      <c r="C475" s="13">
        <f t="shared" si="7"/>
        <v>0</v>
      </c>
    </row>
    <row r="476" spans="1:3" x14ac:dyDescent="0.25">
      <c r="A476" s="11">
        <v>0.47399999999999998</v>
      </c>
      <c r="B476" s="12">
        <f>(General_Model!$C$6/General_Model!$C$7)-1/(1+General_Model!$C$26/((1.2+0.2*(General_Model!$C$26/A476)+0.35*SQRT(9.80665*(General_Model!$C$4/1000))/A476)*A476))-(A476^2/(2*9.80665*General_Model!$C$7))*((4*(0.3164/((General_Model!$C$14*A476*(General_Model!$C$4/1000)/General_Model!$C$15)^0.25))*General_Model!$C$7/(General_Model!$C$4/1000)+1)+(4*(0.3164/((General_Model!$C$14*A476*(General_Model!$C$4/1000)/General_Model!$C$15)^0.25))*General_Model!$C$7/(General_Model!$C$4/1000)+2)*(General_Model!$C$26/A476))</f>
        <v>-0.15081175431305527</v>
      </c>
      <c r="C476" s="13">
        <f t="shared" si="7"/>
        <v>0</v>
      </c>
    </row>
    <row r="477" spans="1:3" x14ac:dyDescent="0.25">
      <c r="A477" s="11">
        <v>0.47499999999999998</v>
      </c>
      <c r="B477" s="12">
        <f>(General_Model!$C$6/General_Model!$C$7)-1/(1+General_Model!$C$26/((1.2+0.2*(General_Model!$C$26/A477)+0.35*SQRT(9.80665*(General_Model!$C$4/1000))/A477)*A477))-(A477^2/(2*9.80665*General_Model!$C$7))*((4*(0.3164/((General_Model!$C$14*A477*(General_Model!$C$4/1000)/General_Model!$C$15)^0.25))*General_Model!$C$7/(General_Model!$C$4/1000)+1)+(4*(0.3164/((General_Model!$C$14*A477*(General_Model!$C$4/1000)/General_Model!$C$15)^0.25))*General_Model!$C$7/(General_Model!$C$4/1000)+2)*(General_Model!$C$26/A477))</f>
        <v>-0.15139041892248678</v>
      </c>
      <c r="C477" s="13">
        <f t="shared" si="7"/>
        <v>0</v>
      </c>
    </row>
    <row r="478" spans="1:3" x14ac:dyDescent="0.25">
      <c r="A478" s="11">
        <v>0.47599999999999998</v>
      </c>
      <c r="B478" s="12">
        <f>(General_Model!$C$6/General_Model!$C$7)-1/(1+General_Model!$C$26/((1.2+0.2*(General_Model!$C$26/A478)+0.35*SQRT(9.80665*(General_Model!$C$4/1000))/A478)*A478))-(A478^2/(2*9.80665*General_Model!$C$7))*((4*(0.3164/((General_Model!$C$14*A478*(General_Model!$C$4/1000)/General_Model!$C$15)^0.25))*General_Model!$C$7/(General_Model!$C$4/1000)+1)+(4*(0.3164/((General_Model!$C$14*A478*(General_Model!$C$4/1000)/General_Model!$C$15)^0.25))*General_Model!$C$7/(General_Model!$C$4/1000)+2)*(General_Model!$C$26/A478))</f>
        <v>-0.1519687932298332</v>
      </c>
      <c r="C478" s="13">
        <f t="shared" si="7"/>
        <v>0</v>
      </c>
    </row>
    <row r="479" spans="1:3" x14ac:dyDescent="0.25">
      <c r="A479" s="11">
        <v>0.47699999999999998</v>
      </c>
      <c r="B479" s="12">
        <f>(General_Model!$C$6/General_Model!$C$7)-1/(1+General_Model!$C$26/((1.2+0.2*(General_Model!$C$26/A479)+0.35*SQRT(9.80665*(General_Model!$C$4/1000))/A479)*A479))-(A479^2/(2*9.80665*General_Model!$C$7))*((4*(0.3164/((General_Model!$C$14*A479*(General_Model!$C$4/1000)/General_Model!$C$15)^0.25))*General_Model!$C$7/(General_Model!$C$4/1000)+1)+(4*(0.3164/((General_Model!$C$14*A479*(General_Model!$C$4/1000)/General_Model!$C$15)^0.25))*General_Model!$C$7/(General_Model!$C$4/1000)+2)*(General_Model!$C$26/A479))</f>
        <v>-0.15254687869471545</v>
      </c>
      <c r="C479" s="13">
        <f t="shared" si="7"/>
        <v>0</v>
      </c>
    </row>
    <row r="480" spans="1:3" x14ac:dyDescent="0.25">
      <c r="A480" s="11">
        <v>0.47799999999999998</v>
      </c>
      <c r="B480" s="12">
        <f>(General_Model!$C$6/General_Model!$C$7)-1/(1+General_Model!$C$26/((1.2+0.2*(General_Model!$C$26/A480)+0.35*SQRT(9.80665*(General_Model!$C$4/1000))/A480)*A480))-(A480^2/(2*9.80665*General_Model!$C$7))*((4*(0.3164/((General_Model!$C$14*A480*(General_Model!$C$4/1000)/General_Model!$C$15)^0.25))*General_Model!$C$7/(General_Model!$C$4/1000)+1)+(4*(0.3164/((General_Model!$C$14*A480*(General_Model!$C$4/1000)/General_Model!$C$15)^0.25))*General_Model!$C$7/(General_Model!$C$4/1000)+2)*(General_Model!$C$26/A480))</f>
        <v>-0.15312467677137059</v>
      </c>
      <c r="C480" s="13">
        <f t="shared" si="7"/>
        <v>0</v>
      </c>
    </row>
    <row r="481" spans="1:3" x14ac:dyDescent="0.25">
      <c r="A481" s="11">
        <v>0.47899999999999998</v>
      </c>
      <c r="B481" s="12">
        <f>(General_Model!$C$6/General_Model!$C$7)-1/(1+General_Model!$C$26/((1.2+0.2*(General_Model!$C$26/A481)+0.35*SQRT(9.80665*(General_Model!$C$4/1000))/A481)*A481))-(A481^2/(2*9.80665*General_Model!$C$7))*((4*(0.3164/((General_Model!$C$14*A481*(General_Model!$C$4/1000)/General_Model!$C$15)^0.25))*General_Model!$C$7/(General_Model!$C$4/1000)+1)+(4*(0.3164/((General_Model!$C$14*A481*(General_Model!$C$4/1000)/General_Model!$C$15)^0.25))*General_Model!$C$7/(General_Model!$C$4/1000)+2)*(General_Model!$C$26/A481))</f>
        <v>-0.15370218890867771</v>
      </c>
      <c r="C481" s="13">
        <f t="shared" si="7"/>
        <v>0</v>
      </c>
    </row>
    <row r="482" spans="1:3" x14ac:dyDescent="0.25">
      <c r="A482" s="11">
        <v>0.48</v>
      </c>
      <c r="B482" s="12">
        <f>(General_Model!$C$6/General_Model!$C$7)-1/(1+General_Model!$C$26/((1.2+0.2*(General_Model!$C$26/A482)+0.35*SQRT(9.80665*(General_Model!$C$4/1000))/A482)*A482))-(A482^2/(2*9.80665*General_Model!$C$7))*((4*(0.3164/((General_Model!$C$14*A482*(General_Model!$C$4/1000)/General_Model!$C$15)^0.25))*General_Model!$C$7/(General_Model!$C$4/1000)+1)+(4*(0.3164/((General_Model!$C$14*A482*(General_Model!$C$4/1000)/General_Model!$C$15)^0.25))*General_Model!$C$7/(General_Model!$C$4/1000)+2)*(General_Model!$C$26/A482))</f>
        <v>-0.15427941655018207</v>
      </c>
      <c r="C482" s="13">
        <f t="shared" si="7"/>
        <v>0</v>
      </c>
    </row>
    <row r="483" spans="1:3" x14ac:dyDescent="0.25">
      <c r="A483" s="11">
        <v>0.48099999999999998</v>
      </c>
      <c r="B483" s="12">
        <f>(General_Model!$C$6/General_Model!$C$7)-1/(1+General_Model!$C$26/((1.2+0.2*(General_Model!$C$26/A483)+0.35*SQRT(9.80665*(General_Model!$C$4/1000))/A483)*A483))-(A483^2/(2*9.80665*General_Model!$C$7))*((4*(0.3164/((General_Model!$C$14*A483*(General_Model!$C$4/1000)/General_Model!$C$15)^0.25))*General_Model!$C$7/(General_Model!$C$4/1000)+1)+(4*(0.3164/((General_Model!$C$14*A483*(General_Model!$C$4/1000)/General_Model!$C$15)^0.25))*General_Model!$C$7/(General_Model!$C$4/1000)+2)*(General_Model!$C$26/A483))</f>
        <v>-0.15485636113411966</v>
      </c>
      <c r="C483" s="13">
        <f t="shared" si="7"/>
        <v>0</v>
      </c>
    </row>
    <row r="484" spans="1:3" x14ac:dyDescent="0.25">
      <c r="A484" s="11">
        <v>0.48199999999999998</v>
      </c>
      <c r="B484" s="12">
        <f>(General_Model!$C$6/General_Model!$C$7)-1/(1+General_Model!$C$26/((1.2+0.2*(General_Model!$C$26/A484)+0.35*SQRT(9.80665*(General_Model!$C$4/1000))/A484)*A484))-(A484^2/(2*9.80665*General_Model!$C$7))*((4*(0.3164/((General_Model!$C$14*A484*(General_Model!$C$4/1000)/General_Model!$C$15)^0.25))*General_Model!$C$7/(General_Model!$C$4/1000)+1)+(4*(0.3164/((General_Model!$C$14*A484*(General_Model!$C$4/1000)/General_Model!$C$15)^0.25))*General_Model!$C$7/(General_Model!$C$4/1000)+2)*(General_Model!$C$26/A484))</f>
        <v>-0.15543302409344134</v>
      </c>
      <c r="C484" s="13">
        <f t="shared" si="7"/>
        <v>0</v>
      </c>
    </row>
    <row r="485" spans="1:3" x14ac:dyDescent="0.25">
      <c r="A485" s="11">
        <v>0.48299999999999998</v>
      </c>
      <c r="B485" s="12">
        <f>(General_Model!$C$6/General_Model!$C$7)-1/(1+General_Model!$C$26/((1.2+0.2*(General_Model!$C$26/A485)+0.35*SQRT(9.80665*(General_Model!$C$4/1000))/A485)*A485))-(A485^2/(2*9.80665*General_Model!$C$7))*((4*(0.3164/((General_Model!$C$14*A485*(General_Model!$C$4/1000)/General_Model!$C$15)^0.25))*General_Model!$C$7/(General_Model!$C$4/1000)+1)+(4*(0.3164/((General_Model!$C$14*A485*(General_Model!$C$4/1000)/General_Model!$C$15)^0.25))*General_Model!$C$7/(General_Model!$C$4/1000)+2)*(General_Model!$C$26/A485))</f>
        <v>-0.15600940685583681</v>
      </c>
      <c r="C485" s="13">
        <f t="shared" si="7"/>
        <v>0</v>
      </c>
    </row>
    <row r="486" spans="1:3" x14ac:dyDescent="0.25">
      <c r="A486" s="11">
        <v>0.48399999999999999</v>
      </c>
      <c r="B486" s="12">
        <f>(General_Model!$C$6/General_Model!$C$7)-1/(1+General_Model!$C$26/((1.2+0.2*(General_Model!$C$26/A486)+0.35*SQRT(9.80665*(General_Model!$C$4/1000))/A486)*A486))-(A486^2/(2*9.80665*General_Model!$C$7))*((4*(0.3164/((General_Model!$C$14*A486*(General_Model!$C$4/1000)/General_Model!$C$15)^0.25))*General_Model!$C$7/(General_Model!$C$4/1000)+1)+(4*(0.3164/((General_Model!$C$14*A486*(General_Model!$C$4/1000)/General_Model!$C$15)^0.25))*General_Model!$C$7/(General_Model!$C$4/1000)+2)*(General_Model!$C$26/A486))</f>
        <v>-0.15658551084375905</v>
      </c>
      <c r="C486" s="13">
        <f t="shared" si="7"/>
        <v>0</v>
      </c>
    </row>
    <row r="487" spans="1:3" x14ac:dyDescent="0.25">
      <c r="A487" s="11">
        <v>0.48499999999999999</v>
      </c>
      <c r="B487" s="12">
        <f>(General_Model!$C$6/General_Model!$C$7)-1/(1+General_Model!$C$26/((1.2+0.2*(General_Model!$C$26/A487)+0.35*SQRT(9.80665*(General_Model!$C$4/1000))/A487)*A487))-(A487^2/(2*9.80665*General_Model!$C$7))*((4*(0.3164/((General_Model!$C$14*A487*(General_Model!$C$4/1000)/General_Model!$C$15)^0.25))*General_Model!$C$7/(General_Model!$C$4/1000)+1)+(4*(0.3164/((General_Model!$C$14*A487*(General_Model!$C$4/1000)/General_Model!$C$15)^0.25))*General_Model!$C$7/(General_Model!$C$4/1000)+2)*(General_Model!$C$26/A487))</f>
        <v>-0.15716133747444822</v>
      </c>
      <c r="C487" s="13">
        <f t="shared" si="7"/>
        <v>0</v>
      </c>
    </row>
    <row r="488" spans="1:3" x14ac:dyDescent="0.25">
      <c r="A488" s="11">
        <v>0.48599999999999999</v>
      </c>
      <c r="B488" s="12">
        <f>(General_Model!$C$6/General_Model!$C$7)-1/(1+General_Model!$C$26/((1.2+0.2*(General_Model!$C$26/A488)+0.35*SQRT(9.80665*(General_Model!$C$4/1000))/A488)*A488))-(A488^2/(2*9.80665*General_Model!$C$7))*((4*(0.3164/((General_Model!$C$14*A488*(General_Model!$C$4/1000)/General_Model!$C$15)^0.25))*General_Model!$C$7/(General_Model!$C$4/1000)+1)+(4*(0.3164/((General_Model!$C$14*A488*(General_Model!$C$4/1000)/General_Model!$C$15)^0.25))*General_Model!$C$7/(General_Model!$C$4/1000)+2)*(General_Model!$C$26/A488))</f>
        <v>-0.15773688815995474</v>
      </c>
      <c r="C488" s="13">
        <f t="shared" si="7"/>
        <v>0</v>
      </c>
    </row>
    <row r="489" spans="1:3" x14ac:dyDescent="0.25">
      <c r="A489" s="11">
        <v>0.48699999999999999</v>
      </c>
      <c r="B489" s="12">
        <f>(General_Model!$C$6/General_Model!$C$7)-1/(1+General_Model!$C$26/((1.2+0.2*(General_Model!$C$26/A489)+0.35*SQRT(9.80665*(General_Model!$C$4/1000))/A489)*A489))-(A489^2/(2*9.80665*General_Model!$C$7))*((4*(0.3164/((General_Model!$C$14*A489*(General_Model!$C$4/1000)/General_Model!$C$15)^0.25))*General_Model!$C$7/(General_Model!$C$4/1000)+1)+(4*(0.3164/((General_Model!$C$14*A489*(General_Model!$C$4/1000)/General_Model!$C$15)^0.25))*General_Model!$C$7/(General_Model!$C$4/1000)+2)*(General_Model!$C$26/A489))</f>
        <v>-0.15831216430716344</v>
      </c>
      <c r="C489" s="13">
        <f t="shared" si="7"/>
        <v>0</v>
      </c>
    </row>
    <row r="490" spans="1:3" x14ac:dyDescent="0.25">
      <c r="A490" s="11">
        <v>0.48799999999999999</v>
      </c>
      <c r="B490" s="12">
        <f>(General_Model!$C$6/General_Model!$C$7)-1/(1+General_Model!$C$26/((1.2+0.2*(General_Model!$C$26/A490)+0.35*SQRT(9.80665*(General_Model!$C$4/1000))/A490)*A490))-(A490^2/(2*9.80665*General_Model!$C$7))*((4*(0.3164/((General_Model!$C$14*A490*(General_Model!$C$4/1000)/General_Model!$C$15)^0.25))*General_Model!$C$7/(General_Model!$C$4/1000)+1)+(4*(0.3164/((General_Model!$C$14*A490*(General_Model!$C$4/1000)/General_Model!$C$15)^0.25))*General_Model!$C$7/(General_Model!$C$4/1000)+2)*(General_Model!$C$26/A490))</f>
        <v>-0.15888716731781738</v>
      </c>
      <c r="C490" s="13">
        <f t="shared" si="7"/>
        <v>0</v>
      </c>
    </row>
    <row r="491" spans="1:3" x14ac:dyDescent="0.25">
      <c r="A491" s="11">
        <v>0.48899999999999999</v>
      </c>
      <c r="B491" s="12">
        <f>(General_Model!$C$6/General_Model!$C$7)-1/(1+General_Model!$C$26/((1.2+0.2*(General_Model!$C$26/A491)+0.35*SQRT(9.80665*(General_Model!$C$4/1000))/A491)*A491))-(A491^2/(2*9.80665*General_Model!$C$7))*((4*(0.3164/((General_Model!$C$14*A491*(General_Model!$C$4/1000)/General_Model!$C$15)^0.25))*General_Model!$C$7/(General_Model!$C$4/1000)+1)+(4*(0.3164/((General_Model!$C$14*A491*(General_Model!$C$4/1000)/General_Model!$C$15)^0.25))*General_Model!$C$7/(General_Model!$C$4/1000)+2)*(General_Model!$C$26/A491))</f>
        <v>-0.15946189858854026</v>
      </c>
      <c r="C491" s="13">
        <f t="shared" si="7"/>
        <v>0</v>
      </c>
    </row>
    <row r="492" spans="1:3" x14ac:dyDescent="0.25">
      <c r="A492" s="11">
        <v>0.49</v>
      </c>
      <c r="B492" s="12">
        <f>(General_Model!$C$6/General_Model!$C$7)-1/(1+General_Model!$C$26/((1.2+0.2*(General_Model!$C$26/A492)+0.35*SQRT(9.80665*(General_Model!$C$4/1000))/A492)*A492))-(A492^2/(2*9.80665*General_Model!$C$7))*((4*(0.3164/((General_Model!$C$14*A492*(General_Model!$C$4/1000)/General_Model!$C$15)^0.25))*General_Model!$C$7/(General_Model!$C$4/1000)+1)+(4*(0.3164/((General_Model!$C$14*A492*(General_Model!$C$4/1000)/General_Model!$C$15)^0.25))*General_Model!$C$7/(General_Model!$C$4/1000)+2)*(General_Model!$C$26/A492))</f>
        <v>-0.16003635951086054</v>
      </c>
      <c r="C492" s="13">
        <f t="shared" si="7"/>
        <v>0</v>
      </c>
    </row>
    <row r="493" spans="1:3" x14ac:dyDescent="0.25">
      <c r="A493" s="11">
        <v>0.49099999999999999</v>
      </c>
      <c r="B493" s="12">
        <f>(General_Model!$C$6/General_Model!$C$7)-1/(1+General_Model!$C$26/((1.2+0.2*(General_Model!$C$26/A493)+0.35*SQRT(9.80665*(General_Model!$C$4/1000))/A493)*A493))-(A493^2/(2*9.80665*General_Model!$C$7))*((4*(0.3164/((General_Model!$C$14*A493*(General_Model!$C$4/1000)/General_Model!$C$15)^0.25))*General_Model!$C$7/(General_Model!$C$4/1000)+1)+(4*(0.3164/((General_Model!$C$14*A493*(General_Model!$C$4/1000)/General_Model!$C$15)^0.25))*General_Model!$C$7/(General_Model!$C$4/1000)+2)*(General_Model!$C$26/A493))</f>
        <v>-0.16061055147123365</v>
      </c>
      <c r="C493" s="13">
        <f t="shared" si="7"/>
        <v>0</v>
      </c>
    </row>
    <row r="494" spans="1:3" x14ac:dyDescent="0.25">
      <c r="A494" s="11">
        <v>0.49199999999999999</v>
      </c>
      <c r="B494" s="12">
        <f>(General_Model!$C$6/General_Model!$C$7)-1/(1+General_Model!$C$26/((1.2+0.2*(General_Model!$C$26/A494)+0.35*SQRT(9.80665*(General_Model!$C$4/1000))/A494)*A494))-(A494^2/(2*9.80665*General_Model!$C$7))*((4*(0.3164/((General_Model!$C$14*A494*(General_Model!$C$4/1000)/General_Model!$C$15)^0.25))*General_Model!$C$7/(General_Model!$C$4/1000)+1)+(4*(0.3164/((General_Model!$C$14*A494*(General_Model!$C$4/1000)/General_Model!$C$15)^0.25))*General_Model!$C$7/(General_Model!$C$4/1000)+2)*(General_Model!$C$26/A494))</f>
        <v>-0.16118447585106629</v>
      </c>
      <c r="C494" s="13">
        <f t="shared" si="7"/>
        <v>0</v>
      </c>
    </row>
    <row r="495" spans="1:3" x14ac:dyDescent="0.25">
      <c r="A495" s="11">
        <v>0.49299999999999999</v>
      </c>
      <c r="B495" s="12">
        <f>(General_Model!$C$6/General_Model!$C$7)-1/(1+General_Model!$C$26/((1.2+0.2*(General_Model!$C$26/A495)+0.35*SQRT(9.80665*(General_Model!$C$4/1000))/A495)*A495))-(A495^2/(2*9.80665*General_Model!$C$7))*((4*(0.3164/((General_Model!$C$14*A495*(General_Model!$C$4/1000)/General_Model!$C$15)^0.25))*General_Model!$C$7/(General_Model!$C$4/1000)+1)+(4*(0.3164/((General_Model!$C$14*A495*(General_Model!$C$4/1000)/General_Model!$C$15)^0.25))*General_Model!$C$7/(General_Model!$C$4/1000)+2)*(General_Model!$C$26/A495))</f>
        <v>-0.16175813402673761</v>
      </c>
      <c r="C495" s="13">
        <f t="shared" si="7"/>
        <v>0</v>
      </c>
    </row>
    <row r="496" spans="1:3" x14ac:dyDescent="0.25">
      <c r="A496" s="11">
        <v>0.49399999999999999</v>
      </c>
      <c r="B496" s="12">
        <f>(General_Model!$C$6/General_Model!$C$7)-1/(1+General_Model!$C$26/((1.2+0.2*(General_Model!$C$26/A496)+0.35*SQRT(9.80665*(General_Model!$C$4/1000))/A496)*A496))-(A496^2/(2*9.80665*General_Model!$C$7))*((4*(0.3164/((General_Model!$C$14*A496*(General_Model!$C$4/1000)/General_Model!$C$15)^0.25))*General_Model!$C$7/(General_Model!$C$4/1000)+1)+(4*(0.3164/((General_Model!$C$14*A496*(General_Model!$C$4/1000)/General_Model!$C$15)^0.25))*General_Model!$C$7/(General_Model!$C$4/1000)+2)*(General_Model!$C$26/A496))</f>
        <v>-0.16233152736962328</v>
      </c>
      <c r="C496" s="13">
        <f t="shared" si="7"/>
        <v>0</v>
      </c>
    </row>
    <row r="497" spans="1:3" x14ac:dyDescent="0.25">
      <c r="A497" s="11">
        <v>0.495</v>
      </c>
      <c r="B497" s="12">
        <f>(General_Model!$C$6/General_Model!$C$7)-1/(1+General_Model!$C$26/((1.2+0.2*(General_Model!$C$26/A497)+0.35*SQRT(9.80665*(General_Model!$C$4/1000))/A497)*A497))-(A497^2/(2*9.80665*General_Model!$C$7))*((4*(0.3164/((General_Model!$C$14*A497*(General_Model!$C$4/1000)/General_Model!$C$15)^0.25))*General_Model!$C$7/(General_Model!$C$4/1000)+1)+(4*(0.3164/((General_Model!$C$14*A497*(General_Model!$C$4/1000)/General_Model!$C$15)^0.25))*General_Model!$C$7/(General_Model!$C$4/1000)+2)*(General_Model!$C$26/A497))</f>
        <v>-0.1629046572461173</v>
      </c>
      <c r="C497" s="13">
        <f t="shared" si="7"/>
        <v>0</v>
      </c>
    </row>
    <row r="498" spans="1:3" x14ac:dyDescent="0.25">
      <c r="A498" s="11">
        <v>0.496</v>
      </c>
      <c r="B498" s="12">
        <f>(General_Model!$C$6/General_Model!$C$7)-1/(1+General_Model!$C$26/((1.2+0.2*(General_Model!$C$26/A498)+0.35*SQRT(9.80665*(General_Model!$C$4/1000))/A498)*A498))-(A498^2/(2*9.80665*General_Model!$C$7))*((4*(0.3164/((General_Model!$C$14*A498*(General_Model!$C$4/1000)/General_Model!$C$15)^0.25))*General_Model!$C$7/(General_Model!$C$4/1000)+1)+(4*(0.3164/((General_Model!$C$14*A498*(General_Model!$C$4/1000)/General_Model!$C$15)^0.25))*General_Model!$C$7/(General_Model!$C$4/1000)+2)*(General_Model!$C$26/A498))</f>
        <v>-0.16347752501765522</v>
      </c>
      <c r="C498" s="13">
        <f t="shared" si="7"/>
        <v>0</v>
      </c>
    </row>
    <row r="499" spans="1:3" x14ac:dyDescent="0.25">
      <c r="A499" s="11">
        <v>0.497</v>
      </c>
      <c r="B499" s="12">
        <f>(General_Model!$C$6/General_Model!$C$7)-1/(1+General_Model!$C$26/((1.2+0.2*(General_Model!$C$26/A499)+0.35*SQRT(9.80665*(General_Model!$C$4/1000))/A499)*A499))-(A499^2/(2*9.80665*General_Model!$C$7))*((4*(0.3164/((General_Model!$C$14*A499*(General_Model!$C$4/1000)/General_Model!$C$15)^0.25))*General_Model!$C$7/(General_Model!$C$4/1000)+1)+(4*(0.3164/((General_Model!$C$14*A499*(General_Model!$C$4/1000)/General_Model!$C$15)^0.25))*General_Model!$C$7/(General_Model!$C$4/1000)+2)*(General_Model!$C$26/A499))</f>
        <v>-0.16405013204073537</v>
      </c>
      <c r="C499" s="13">
        <f t="shared" si="7"/>
        <v>0</v>
      </c>
    </row>
    <row r="500" spans="1:3" x14ac:dyDescent="0.25">
      <c r="A500" s="11">
        <v>0.498</v>
      </c>
      <c r="B500" s="12">
        <f>(General_Model!$C$6/General_Model!$C$7)-1/(1+General_Model!$C$26/((1.2+0.2*(General_Model!$C$26/A500)+0.35*SQRT(9.80665*(General_Model!$C$4/1000))/A500)*A500))-(A500^2/(2*9.80665*General_Model!$C$7))*((4*(0.3164/((General_Model!$C$14*A500*(General_Model!$C$4/1000)/General_Model!$C$15)^0.25))*General_Model!$C$7/(General_Model!$C$4/1000)+1)+(4*(0.3164/((General_Model!$C$14*A500*(General_Model!$C$4/1000)/General_Model!$C$15)^0.25))*General_Model!$C$7/(General_Model!$C$4/1000)+2)*(General_Model!$C$26/A500))</f>
        <v>-0.16462247966694199</v>
      </c>
      <c r="C500" s="13">
        <f t="shared" si="7"/>
        <v>0</v>
      </c>
    </row>
    <row r="501" spans="1:3" x14ac:dyDescent="0.25">
      <c r="A501" s="11">
        <v>0.499</v>
      </c>
      <c r="B501" s="12">
        <f>(General_Model!$C$6/General_Model!$C$7)-1/(1+General_Model!$C$26/((1.2+0.2*(General_Model!$C$26/A501)+0.35*SQRT(9.80665*(General_Model!$C$4/1000))/A501)*A501))-(A501^2/(2*9.80665*General_Model!$C$7))*((4*(0.3164/((General_Model!$C$14*A501*(General_Model!$C$4/1000)/General_Model!$C$15)^0.25))*General_Model!$C$7/(General_Model!$C$4/1000)+1)+(4*(0.3164/((General_Model!$C$14*A501*(General_Model!$C$4/1000)/General_Model!$C$15)^0.25))*General_Model!$C$7/(General_Model!$C$4/1000)+2)*(General_Model!$C$26/A501))</f>
        <v>-0.16519456924296738</v>
      </c>
      <c r="C501" s="13">
        <f t="shared" si="7"/>
        <v>0</v>
      </c>
    </row>
    <row r="502" spans="1:3" x14ac:dyDescent="0.25">
      <c r="A502" s="11">
        <v>0.5</v>
      </c>
      <c r="B502" s="12">
        <f>(General_Model!$C$6/General_Model!$C$7)-1/(1+General_Model!$C$26/((1.2+0.2*(General_Model!$C$26/A502)+0.35*SQRT(9.80665*(General_Model!$C$4/1000))/A502)*A502))-(A502^2/(2*9.80665*General_Model!$C$7))*((4*(0.3164/((General_Model!$C$14*A502*(General_Model!$C$4/1000)/General_Model!$C$15)^0.25))*General_Model!$C$7/(General_Model!$C$4/1000)+1)+(4*(0.3164/((General_Model!$C$14*A502*(General_Model!$C$4/1000)/General_Model!$C$15)^0.25))*General_Model!$C$7/(General_Model!$C$4/1000)+2)*(General_Model!$C$26/A502))</f>
        <v>-0.16576640211063315</v>
      </c>
      <c r="C502" s="13">
        <f t="shared" si="7"/>
        <v>0</v>
      </c>
    </row>
    <row r="503" spans="1:3" x14ac:dyDescent="0.25">
      <c r="A503" s="11">
        <v>0.501</v>
      </c>
      <c r="B503" s="12">
        <f>(General_Model!$C$6/General_Model!$C$7)-1/(1+General_Model!$C$26/((1.2+0.2*(General_Model!$C$26/A503)+0.35*SQRT(9.80665*(General_Model!$C$4/1000))/A503)*A503))-(A503^2/(2*9.80665*General_Model!$C$7))*((4*(0.3164/((General_Model!$C$14*A503*(General_Model!$C$4/1000)/General_Model!$C$15)^0.25))*General_Model!$C$7/(General_Model!$C$4/1000)+1)+(4*(0.3164/((General_Model!$C$14*A503*(General_Model!$C$4/1000)/General_Model!$C$15)^0.25))*General_Model!$C$7/(General_Model!$C$4/1000)+2)*(General_Model!$C$26/A503))</f>
        <v>-0.16633797960691254</v>
      </c>
      <c r="C503" s="13">
        <f t="shared" si="7"/>
        <v>0</v>
      </c>
    </row>
    <row r="504" spans="1:3" x14ac:dyDescent="0.25">
      <c r="A504" s="11">
        <v>0.502</v>
      </c>
      <c r="B504" s="12">
        <f>(General_Model!$C$6/General_Model!$C$7)-1/(1+General_Model!$C$26/((1.2+0.2*(General_Model!$C$26/A504)+0.35*SQRT(9.80665*(General_Model!$C$4/1000))/A504)*A504))-(A504^2/(2*9.80665*General_Model!$C$7))*((4*(0.3164/((General_Model!$C$14*A504*(General_Model!$C$4/1000)/General_Model!$C$15)^0.25))*General_Model!$C$7/(General_Model!$C$4/1000)+1)+(4*(0.3164/((General_Model!$C$14*A504*(General_Model!$C$4/1000)/General_Model!$C$15)^0.25))*General_Model!$C$7/(General_Model!$C$4/1000)+2)*(General_Model!$C$26/A504))</f>
        <v>-0.16690930306395235</v>
      </c>
      <c r="C504" s="13">
        <f t="shared" si="7"/>
        <v>0</v>
      </c>
    </row>
    <row r="505" spans="1:3" x14ac:dyDescent="0.25">
      <c r="A505" s="11">
        <v>0.503</v>
      </c>
      <c r="B505" s="12">
        <f>(General_Model!$C$6/General_Model!$C$7)-1/(1+General_Model!$C$26/((1.2+0.2*(General_Model!$C$26/A505)+0.35*SQRT(9.80665*(General_Model!$C$4/1000))/A505)*A505))-(A505^2/(2*9.80665*General_Model!$C$7))*((4*(0.3164/((General_Model!$C$14*A505*(General_Model!$C$4/1000)/General_Model!$C$15)^0.25))*General_Model!$C$7/(General_Model!$C$4/1000)+1)+(4*(0.3164/((General_Model!$C$14*A505*(General_Model!$C$4/1000)/General_Model!$C$15)^0.25))*General_Model!$C$7/(General_Model!$C$4/1000)+2)*(General_Model!$C$26/A505))</f>
        <v>-0.16748037380909414</v>
      </c>
      <c r="C505" s="13">
        <f t="shared" si="7"/>
        <v>0</v>
      </c>
    </row>
    <row r="506" spans="1:3" x14ac:dyDescent="0.25">
      <c r="A506" s="11">
        <v>0.504</v>
      </c>
      <c r="B506" s="12">
        <f>(General_Model!$C$6/General_Model!$C$7)-1/(1+General_Model!$C$26/((1.2+0.2*(General_Model!$C$26/A506)+0.35*SQRT(9.80665*(General_Model!$C$4/1000))/A506)*A506))-(A506^2/(2*9.80665*General_Model!$C$7))*((4*(0.3164/((General_Model!$C$14*A506*(General_Model!$C$4/1000)/General_Model!$C$15)^0.25))*General_Model!$C$7/(General_Model!$C$4/1000)+1)+(4*(0.3164/((General_Model!$C$14*A506*(General_Model!$C$4/1000)/General_Model!$C$15)^0.25))*General_Model!$C$7/(General_Model!$C$4/1000)+2)*(General_Model!$C$26/A506))</f>
        <v>-0.16805119316489592</v>
      </c>
      <c r="C506" s="13">
        <f t="shared" si="7"/>
        <v>0</v>
      </c>
    </row>
    <row r="507" spans="1:3" x14ac:dyDescent="0.25">
      <c r="A507" s="11">
        <v>0.505</v>
      </c>
      <c r="B507" s="12">
        <f>(General_Model!$C$6/General_Model!$C$7)-1/(1+General_Model!$C$26/((1.2+0.2*(General_Model!$C$26/A507)+0.35*SQRT(9.80665*(General_Model!$C$4/1000))/A507)*A507))-(A507^2/(2*9.80665*General_Model!$C$7))*((4*(0.3164/((General_Model!$C$14*A507*(General_Model!$C$4/1000)/General_Model!$C$15)^0.25))*General_Model!$C$7/(General_Model!$C$4/1000)+1)+(4*(0.3164/((General_Model!$C$14*A507*(General_Model!$C$4/1000)/General_Model!$C$15)^0.25))*General_Model!$C$7/(General_Model!$C$4/1000)+2)*(General_Model!$C$26/A507))</f>
        <v>-0.16862176244915372</v>
      </c>
      <c r="C507" s="13">
        <f t="shared" si="7"/>
        <v>0</v>
      </c>
    </row>
    <row r="508" spans="1:3" x14ac:dyDescent="0.25">
      <c r="A508" s="11">
        <v>0.50600000000000001</v>
      </c>
      <c r="B508" s="12">
        <f>(General_Model!$C$6/General_Model!$C$7)-1/(1+General_Model!$C$26/((1.2+0.2*(General_Model!$C$26/A508)+0.35*SQRT(9.80665*(General_Model!$C$4/1000))/A508)*A508))-(A508^2/(2*9.80665*General_Model!$C$7))*((4*(0.3164/((General_Model!$C$14*A508*(General_Model!$C$4/1000)/General_Model!$C$15)^0.25))*General_Model!$C$7/(General_Model!$C$4/1000)+1)+(4*(0.3164/((General_Model!$C$14*A508*(General_Model!$C$4/1000)/General_Model!$C$15)^0.25))*General_Model!$C$7/(General_Model!$C$4/1000)+2)*(General_Model!$C$26/A508))</f>
        <v>-0.16919208297492244</v>
      </c>
      <c r="C508" s="13">
        <f t="shared" si="7"/>
        <v>0</v>
      </c>
    </row>
    <row r="509" spans="1:3" x14ac:dyDescent="0.25">
      <c r="A509" s="11">
        <v>0.50700000000000001</v>
      </c>
      <c r="B509" s="12">
        <f>(General_Model!$C$6/General_Model!$C$7)-1/(1+General_Model!$C$26/((1.2+0.2*(General_Model!$C$26/A509)+0.35*SQRT(9.80665*(General_Model!$C$4/1000))/A509)*A509))-(A509^2/(2*9.80665*General_Model!$C$7))*((4*(0.3164/((General_Model!$C$14*A509*(General_Model!$C$4/1000)/General_Model!$C$15)^0.25))*General_Model!$C$7/(General_Model!$C$4/1000)+1)+(4*(0.3164/((General_Model!$C$14*A509*(General_Model!$C$4/1000)/General_Model!$C$15)^0.25))*General_Model!$C$7/(General_Model!$C$4/1000)+2)*(General_Model!$C$26/A509))</f>
        <v>-0.16976215605053738</v>
      </c>
      <c r="C509" s="13">
        <f t="shared" si="7"/>
        <v>0</v>
      </c>
    </row>
    <row r="510" spans="1:3" x14ac:dyDescent="0.25">
      <c r="A510" s="11">
        <v>0.50800000000000001</v>
      </c>
      <c r="B510" s="12">
        <f>(General_Model!$C$6/General_Model!$C$7)-1/(1+General_Model!$C$26/((1.2+0.2*(General_Model!$C$26/A510)+0.35*SQRT(9.80665*(General_Model!$C$4/1000))/A510)*A510))-(A510^2/(2*9.80665*General_Model!$C$7))*((4*(0.3164/((General_Model!$C$14*A510*(General_Model!$C$4/1000)/General_Model!$C$15)^0.25))*General_Model!$C$7/(General_Model!$C$4/1000)+1)+(4*(0.3164/((General_Model!$C$14*A510*(General_Model!$C$4/1000)/General_Model!$C$15)^0.25))*General_Model!$C$7/(General_Model!$C$4/1000)+2)*(General_Model!$C$26/A510))</f>
        <v>-0.17033198297963528</v>
      </c>
      <c r="C510" s="13">
        <f t="shared" si="7"/>
        <v>0</v>
      </c>
    </row>
    <row r="511" spans="1:3" x14ac:dyDescent="0.25">
      <c r="A511" s="11">
        <v>0.50900000000000001</v>
      </c>
      <c r="B511" s="12">
        <f>(General_Model!$C$6/General_Model!$C$7)-1/(1+General_Model!$C$26/((1.2+0.2*(General_Model!$C$26/A511)+0.35*SQRT(9.80665*(General_Model!$C$4/1000))/A511)*A511))-(A511^2/(2*9.80665*General_Model!$C$7))*((4*(0.3164/((General_Model!$C$14*A511*(General_Model!$C$4/1000)/General_Model!$C$15)^0.25))*General_Model!$C$7/(General_Model!$C$4/1000)+1)+(4*(0.3164/((General_Model!$C$14*A511*(General_Model!$C$4/1000)/General_Model!$C$15)^0.25))*General_Model!$C$7/(General_Model!$C$4/1000)+2)*(General_Model!$C$26/A511))</f>
        <v>-0.17090156506117485</v>
      </c>
      <c r="C511" s="13">
        <f t="shared" si="7"/>
        <v>0</v>
      </c>
    </row>
    <row r="512" spans="1:3" x14ac:dyDescent="0.25">
      <c r="A512" s="11">
        <v>0.51</v>
      </c>
      <c r="B512" s="12">
        <f>(General_Model!$C$6/General_Model!$C$7)-1/(1+General_Model!$C$26/((1.2+0.2*(General_Model!$C$26/A512)+0.35*SQRT(9.80665*(General_Model!$C$4/1000))/A512)*A512))-(A512^2/(2*9.80665*General_Model!$C$7))*((4*(0.3164/((General_Model!$C$14*A512*(General_Model!$C$4/1000)/General_Model!$C$15)^0.25))*General_Model!$C$7/(General_Model!$C$4/1000)+1)+(4*(0.3164/((General_Model!$C$14*A512*(General_Model!$C$4/1000)/General_Model!$C$15)^0.25))*General_Model!$C$7/(General_Model!$C$4/1000)+2)*(General_Model!$C$26/A512))</f>
        <v>-0.17147090358945838</v>
      </c>
      <c r="C512" s="13">
        <f t="shared" si="7"/>
        <v>0</v>
      </c>
    </row>
    <row r="513" spans="1:3" x14ac:dyDescent="0.25">
      <c r="A513" s="11">
        <v>0.51100000000000001</v>
      </c>
      <c r="B513" s="12">
        <f>(General_Model!$C$6/General_Model!$C$7)-1/(1+General_Model!$C$26/((1.2+0.2*(General_Model!$C$26/A513)+0.35*SQRT(9.80665*(General_Model!$C$4/1000))/A513)*A513))-(A513^2/(2*9.80665*General_Model!$C$7))*((4*(0.3164/((General_Model!$C$14*A513*(General_Model!$C$4/1000)/General_Model!$C$15)^0.25))*General_Model!$C$7/(General_Model!$C$4/1000)+1)+(4*(0.3164/((General_Model!$C$14*A513*(General_Model!$C$4/1000)/General_Model!$C$15)^0.25))*General_Model!$C$7/(General_Model!$C$4/1000)+2)*(General_Model!$C$26/A513))</f>
        <v>-0.17203999985415125</v>
      </c>
      <c r="C513" s="13">
        <f t="shared" si="7"/>
        <v>0</v>
      </c>
    </row>
    <row r="514" spans="1:3" x14ac:dyDescent="0.25">
      <c r="A514" s="11">
        <v>0.51200000000000001</v>
      </c>
      <c r="B514" s="12">
        <f>(General_Model!$C$6/General_Model!$C$7)-1/(1+General_Model!$C$26/((1.2+0.2*(General_Model!$C$26/A514)+0.35*SQRT(9.80665*(General_Model!$C$4/1000))/A514)*A514))-(A514^2/(2*9.80665*General_Model!$C$7))*((4*(0.3164/((General_Model!$C$14*A514*(General_Model!$C$4/1000)/General_Model!$C$15)^0.25))*General_Model!$C$7/(General_Model!$C$4/1000)+1)+(4*(0.3164/((General_Model!$C$14*A514*(General_Model!$C$4/1000)/General_Model!$C$15)^0.25))*General_Model!$C$7/(General_Model!$C$4/1000)+2)*(General_Model!$C$26/A514))</f>
        <v>-0.1726088551403035</v>
      </c>
      <c r="C514" s="13">
        <f t="shared" si="7"/>
        <v>0</v>
      </c>
    </row>
    <row r="515" spans="1:3" x14ac:dyDescent="0.25">
      <c r="A515" s="11">
        <v>0.51300000000000001</v>
      </c>
      <c r="B515" s="12">
        <f>(General_Model!$C$6/General_Model!$C$7)-1/(1+General_Model!$C$26/((1.2+0.2*(General_Model!$C$26/A515)+0.35*SQRT(9.80665*(General_Model!$C$4/1000))/A515)*A515))-(A515^2/(2*9.80665*General_Model!$C$7))*((4*(0.3164/((General_Model!$C$14*A515*(General_Model!$C$4/1000)/General_Model!$C$15)^0.25))*General_Model!$C$7/(General_Model!$C$4/1000)+1)+(4*(0.3164/((General_Model!$C$14*A515*(General_Model!$C$4/1000)/General_Model!$C$15)^0.25))*General_Model!$C$7/(General_Model!$C$4/1000)+2)*(General_Model!$C$26/A515))</f>
        <v>-0.17317747072836986</v>
      </c>
      <c r="C515" s="13">
        <f t="shared" ref="C515:C578" si="8">IF(B515*B516&lt;=0,1,0)</f>
        <v>0</v>
      </c>
    </row>
    <row r="516" spans="1:3" x14ac:dyDescent="0.25">
      <c r="A516" s="11">
        <v>0.51400000000000001</v>
      </c>
      <c r="B516" s="12">
        <f>(General_Model!$C$6/General_Model!$C$7)-1/(1+General_Model!$C$26/((1.2+0.2*(General_Model!$C$26/A516)+0.35*SQRT(9.80665*(General_Model!$C$4/1000))/A516)*A516))-(A516^2/(2*9.80665*General_Model!$C$7))*((4*(0.3164/((General_Model!$C$14*A516*(General_Model!$C$4/1000)/General_Model!$C$15)^0.25))*General_Model!$C$7/(General_Model!$C$4/1000)+1)+(4*(0.3164/((General_Model!$C$14*A516*(General_Model!$C$4/1000)/General_Model!$C$15)^0.25))*General_Model!$C$7/(General_Model!$C$4/1000)+2)*(General_Model!$C$26/A516))</f>
        <v>-0.17374584789423089</v>
      </c>
      <c r="C516" s="13">
        <f t="shared" si="8"/>
        <v>0</v>
      </c>
    </row>
    <row r="517" spans="1:3" x14ac:dyDescent="0.25">
      <c r="A517" s="11">
        <v>0.51500000000000001</v>
      </c>
      <c r="B517" s="12">
        <f>(General_Model!$C$6/General_Model!$C$7)-1/(1+General_Model!$C$26/((1.2+0.2*(General_Model!$C$26/A517)+0.35*SQRT(9.80665*(General_Model!$C$4/1000))/A517)*A517))-(A517^2/(2*9.80665*General_Model!$C$7))*((4*(0.3164/((General_Model!$C$14*A517*(General_Model!$C$4/1000)/General_Model!$C$15)^0.25))*General_Model!$C$7/(General_Model!$C$4/1000)+1)+(4*(0.3164/((General_Model!$C$14*A517*(General_Model!$C$4/1000)/General_Model!$C$15)^0.25))*General_Model!$C$7/(General_Model!$C$4/1000)+2)*(General_Model!$C$26/A517))</f>
        <v>-0.17431398790921182</v>
      </c>
      <c r="C517" s="13">
        <f t="shared" si="8"/>
        <v>0</v>
      </c>
    </row>
    <row r="518" spans="1:3" x14ac:dyDescent="0.25">
      <c r="A518" s="11">
        <v>0.51600000000000001</v>
      </c>
      <c r="B518" s="12">
        <f>(General_Model!$C$6/General_Model!$C$7)-1/(1+General_Model!$C$26/((1.2+0.2*(General_Model!$C$26/A518)+0.35*SQRT(9.80665*(General_Model!$C$4/1000))/A518)*A518))-(A518^2/(2*9.80665*General_Model!$C$7))*((4*(0.3164/((General_Model!$C$14*A518*(General_Model!$C$4/1000)/General_Model!$C$15)^0.25))*General_Model!$C$7/(General_Model!$C$4/1000)+1)+(4*(0.3164/((General_Model!$C$14*A518*(General_Model!$C$4/1000)/General_Model!$C$15)^0.25))*General_Model!$C$7/(General_Model!$C$4/1000)+2)*(General_Model!$C$26/A518))</f>
        <v>-0.17488189204010382</v>
      </c>
      <c r="C518" s="13">
        <f t="shared" si="8"/>
        <v>0</v>
      </c>
    </row>
    <row r="519" spans="1:3" x14ac:dyDescent="0.25">
      <c r="A519" s="11">
        <v>0.51700000000000002</v>
      </c>
      <c r="B519" s="12">
        <f>(General_Model!$C$6/General_Model!$C$7)-1/(1+General_Model!$C$26/((1.2+0.2*(General_Model!$C$26/A519)+0.35*SQRT(9.80665*(General_Model!$C$4/1000))/A519)*A519))-(A519^2/(2*9.80665*General_Model!$C$7))*((4*(0.3164/((General_Model!$C$14*A519*(General_Model!$C$4/1000)/General_Model!$C$15)^0.25))*General_Model!$C$7/(General_Model!$C$4/1000)+1)+(4*(0.3164/((General_Model!$C$14*A519*(General_Model!$C$4/1000)/General_Model!$C$15)^0.25))*General_Model!$C$7/(General_Model!$C$4/1000)+2)*(General_Model!$C$26/A519))</f>
        <v>-0.17544956154918359</v>
      </c>
      <c r="C519" s="13">
        <f t="shared" si="8"/>
        <v>0</v>
      </c>
    </row>
    <row r="520" spans="1:3" x14ac:dyDescent="0.25">
      <c r="A520" s="11">
        <v>0.51800000000000002</v>
      </c>
      <c r="B520" s="12">
        <f>(General_Model!$C$6/General_Model!$C$7)-1/(1+General_Model!$C$26/((1.2+0.2*(General_Model!$C$26/A520)+0.35*SQRT(9.80665*(General_Model!$C$4/1000))/A520)*A520))-(A520^2/(2*9.80665*General_Model!$C$7))*((4*(0.3164/((General_Model!$C$14*A520*(General_Model!$C$4/1000)/General_Model!$C$15)^0.25))*General_Model!$C$7/(General_Model!$C$4/1000)+1)+(4*(0.3164/((General_Model!$C$14*A520*(General_Model!$C$4/1000)/General_Model!$C$15)^0.25))*General_Model!$C$7/(General_Model!$C$4/1000)+2)*(General_Model!$C$26/A520))</f>
        <v>-0.1760169976942339</v>
      </c>
      <c r="C520" s="13">
        <f t="shared" si="8"/>
        <v>0</v>
      </c>
    </row>
    <row r="521" spans="1:3" x14ac:dyDescent="0.25">
      <c r="A521" s="11">
        <v>0.51900000000000002</v>
      </c>
      <c r="B521" s="12">
        <f>(General_Model!$C$6/General_Model!$C$7)-1/(1+General_Model!$C$26/((1.2+0.2*(General_Model!$C$26/A521)+0.35*SQRT(9.80665*(General_Model!$C$4/1000))/A521)*A521))-(A521^2/(2*9.80665*General_Model!$C$7))*((4*(0.3164/((General_Model!$C$14*A521*(General_Model!$C$4/1000)/General_Model!$C$15)^0.25))*General_Model!$C$7/(General_Model!$C$4/1000)+1)+(4*(0.3164/((General_Model!$C$14*A521*(General_Model!$C$4/1000)/General_Model!$C$15)^0.25))*General_Model!$C$7/(General_Model!$C$4/1000)+2)*(General_Model!$C$26/A521))</f>
        <v>-0.1765842017285624</v>
      </c>
      <c r="C521" s="13">
        <f t="shared" si="8"/>
        <v>0</v>
      </c>
    </row>
    <row r="522" spans="1:3" x14ac:dyDescent="0.25">
      <c r="A522" s="11">
        <v>0.52</v>
      </c>
      <c r="B522" s="12">
        <f>(General_Model!$C$6/General_Model!$C$7)-1/(1+General_Model!$C$26/((1.2+0.2*(General_Model!$C$26/A522)+0.35*SQRT(9.80665*(General_Model!$C$4/1000))/A522)*A522))-(A522^2/(2*9.80665*General_Model!$C$7))*((4*(0.3164/((General_Model!$C$14*A522*(General_Model!$C$4/1000)/General_Model!$C$15)^0.25))*General_Model!$C$7/(General_Model!$C$4/1000)+1)+(4*(0.3164/((General_Model!$C$14*A522*(General_Model!$C$4/1000)/General_Model!$C$15)^0.25))*General_Model!$C$7/(General_Model!$C$4/1000)+2)*(General_Model!$C$26/A522))</f>
        <v>-0.17715117490102203</v>
      </c>
      <c r="C522" s="13">
        <f t="shared" si="8"/>
        <v>0</v>
      </c>
    </row>
    <row r="523" spans="1:3" x14ac:dyDescent="0.25">
      <c r="A523" s="11">
        <v>0.52100000000000002</v>
      </c>
      <c r="B523" s="12">
        <f>(General_Model!$C$6/General_Model!$C$7)-1/(1+General_Model!$C$26/((1.2+0.2*(General_Model!$C$26/A523)+0.35*SQRT(9.80665*(General_Model!$C$4/1000))/A523)*A523))-(A523^2/(2*9.80665*General_Model!$C$7))*((4*(0.3164/((General_Model!$C$14*A523*(General_Model!$C$4/1000)/General_Model!$C$15)^0.25))*General_Model!$C$7/(General_Model!$C$4/1000)+1)+(4*(0.3164/((General_Model!$C$14*A523*(General_Model!$C$4/1000)/General_Model!$C$15)^0.25))*General_Model!$C$7/(General_Model!$C$4/1000)+2)*(General_Model!$C$26/A523))</f>
        <v>-0.17771791845603063</v>
      </c>
      <c r="C523" s="13">
        <f t="shared" si="8"/>
        <v>0</v>
      </c>
    </row>
    <row r="524" spans="1:3" x14ac:dyDescent="0.25">
      <c r="A524" s="11">
        <v>0.52200000000000002</v>
      </c>
      <c r="B524" s="12">
        <f>(General_Model!$C$6/General_Model!$C$7)-1/(1+General_Model!$C$26/((1.2+0.2*(General_Model!$C$26/A524)+0.35*SQRT(9.80665*(General_Model!$C$4/1000))/A524)*A524))-(A524^2/(2*9.80665*General_Model!$C$7))*((4*(0.3164/((General_Model!$C$14*A524*(General_Model!$C$4/1000)/General_Model!$C$15)^0.25))*General_Model!$C$7/(General_Model!$C$4/1000)+1)+(4*(0.3164/((General_Model!$C$14*A524*(General_Model!$C$4/1000)/General_Model!$C$15)^0.25))*General_Model!$C$7/(General_Model!$C$4/1000)+2)*(General_Model!$C$26/A524))</f>
        <v>-0.1782844336335902</v>
      </c>
      <c r="C524" s="13">
        <f t="shared" si="8"/>
        <v>0</v>
      </c>
    </row>
    <row r="525" spans="1:3" x14ac:dyDescent="0.25">
      <c r="A525" s="11">
        <v>0.52300000000000002</v>
      </c>
      <c r="B525" s="12">
        <f>(General_Model!$C$6/General_Model!$C$7)-1/(1+General_Model!$C$26/((1.2+0.2*(General_Model!$C$26/A525)+0.35*SQRT(9.80665*(General_Model!$C$4/1000))/A525)*A525))-(A525^2/(2*9.80665*General_Model!$C$7))*((4*(0.3164/((General_Model!$C$14*A525*(General_Model!$C$4/1000)/General_Model!$C$15)^0.25))*General_Model!$C$7/(General_Model!$C$4/1000)+1)+(4*(0.3164/((General_Model!$C$14*A525*(General_Model!$C$4/1000)/General_Model!$C$15)^0.25))*General_Model!$C$7/(General_Model!$C$4/1000)+2)*(General_Model!$C$26/A525))</f>
        <v>-0.17885072166930643</v>
      </c>
      <c r="C525" s="13">
        <f t="shared" si="8"/>
        <v>0</v>
      </c>
    </row>
    <row r="526" spans="1:3" x14ac:dyDescent="0.25">
      <c r="A526" s="11">
        <v>0.52400000000000002</v>
      </c>
      <c r="B526" s="12">
        <f>(General_Model!$C$6/General_Model!$C$7)-1/(1+General_Model!$C$26/((1.2+0.2*(General_Model!$C$26/A526)+0.35*SQRT(9.80665*(General_Model!$C$4/1000))/A526)*A526))-(A526^2/(2*9.80665*General_Model!$C$7))*((4*(0.3164/((General_Model!$C$14*A526*(General_Model!$C$4/1000)/General_Model!$C$15)^0.25))*General_Model!$C$7/(General_Model!$C$4/1000)+1)+(4*(0.3164/((General_Model!$C$14*A526*(General_Model!$C$4/1000)/General_Model!$C$15)^0.25))*General_Model!$C$7/(General_Model!$C$4/1000)+2)*(General_Model!$C$26/A526))</f>
        <v>-0.17941678379440829</v>
      </c>
      <c r="C526" s="13">
        <f t="shared" si="8"/>
        <v>0</v>
      </c>
    </row>
    <row r="527" spans="1:3" x14ac:dyDescent="0.25">
      <c r="A527" s="11">
        <v>0.52500000000000002</v>
      </c>
      <c r="B527" s="12">
        <f>(General_Model!$C$6/General_Model!$C$7)-1/(1+General_Model!$C$26/((1.2+0.2*(General_Model!$C$26/A527)+0.35*SQRT(9.80665*(General_Model!$C$4/1000))/A527)*A527))-(A527^2/(2*9.80665*General_Model!$C$7))*((4*(0.3164/((General_Model!$C$14*A527*(General_Model!$C$4/1000)/General_Model!$C$15)^0.25))*General_Model!$C$7/(General_Model!$C$4/1000)+1)+(4*(0.3164/((General_Model!$C$14*A527*(General_Model!$C$4/1000)/General_Model!$C$15)^0.25))*General_Model!$C$7/(General_Model!$C$4/1000)+2)*(General_Model!$C$26/A527))</f>
        <v>-0.17998262123576619</v>
      </c>
      <c r="C527" s="13">
        <f t="shared" si="8"/>
        <v>0</v>
      </c>
    </row>
    <row r="528" spans="1:3" x14ac:dyDescent="0.25">
      <c r="A528" s="11">
        <v>0.52600000000000002</v>
      </c>
      <c r="B528" s="12">
        <f>(General_Model!$C$6/General_Model!$C$7)-1/(1+General_Model!$C$26/((1.2+0.2*(General_Model!$C$26/A528)+0.35*SQRT(9.80665*(General_Model!$C$4/1000))/A528)*A528))-(A528^2/(2*9.80665*General_Model!$C$7))*((4*(0.3164/((General_Model!$C$14*A528*(General_Model!$C$4/1000)/General_Model!$C$15)^0.25))*General_Model!$C$7/(General_Model!$C$4/1000)+1)+(4*(0.3164/((General_Model!$C$14*A528*(General_Model!$C$4/1000)/General_Model!$C$15)^0.25))*General_Model!$C$7/(General_Model!$C$4/1000)+2)*(General_Model!$C$26/A528))</f>
        <v>-0.18054823521591284</v>
      </c>
      <c r="C528" s="13">
        <f t="shared" si="8"/>
        <v>0</v>
      </c>
    </row>
    <row r="529" spans="1:3" x14ac:dyDescent="0.25">
      <c r="A529" s="11">
        <v>0.52700000000000002</v>
      </c>
      <c r="B529" s="12">
        <f>(General_Model!$C$6/General_Model!$C$7)-1/(1+General_Model!$C$26/((1.2+0.2*(General_Model!$C$26/A529)+0.35*SQRT(9.80665*(General_Model!$C$4/1000))/A529)*A529))-(A529^2/(2*9.80665*General_Model!$C$7))*((4*(0.3164/((General_Model!$C$14*A529*(General_Model!$C$4/1000)/General_Model!$C$15)^0.25))*General_Model!$C$7/(General_Model!$C$4/1000)+1)+(4*(0.3164/((General_Model!$C$14*A529*(General_Model!$C$4/1000)/General_Model!$C$15)^0.25))*General_Model!$C$7/(General_Model!$C$4/1000)+2)*(General_Model!$C$26/A529))</f>
        <v>-0.18111362695306055</v>
      </c>
      <c r="C529" s="13">
        <f t="shared" si="8"/>
        <v>0</v>
      </c>
    </row>
    <row r="530" spans="1:3" x14ac:dyDescent="0.25">
      <c r="A530" s="11">
        <v>0.52800000000000002</v>
      </c>
      <c r="B530" s="12">
        <f>(General_Model!$C$6/General_Model!$C$7)-1/(1+General_Model!$C$26/((1.2+0.2*(General_Model!$C$26/A530)+0.35*SQRT(9.80665*(General_Model!$C$4/1000))/A530)*A530))-(A530^2/(2*9.80665*General_Model!$C$7))*((4*(0.3164/((General_Model!$C$14*A530*(General_Model!$C$4/1000)/General_Model!$C$15)^0.25))*General_Model!$C$7/(General_Model!$C$4/1000)+1)+(4*(0.3164/((General_Model!$C$14*A530*(General_Model!$C$4/1000)/General_Model!$C$15)^0.25))*General_Model!$C$7/(General_Model!$C$4/1000)+2)*(General_Model!$C$26/A530))</f>
        <v>-0.18167879766112108</v>
      </c>
      <c r="C530" s="13">
        <f t="shared" si="8"/>
        <v>0</v>
      </c>
    </row>
    <row r="531" spans="1:3" x14ac:dyDescent="0.25">
      <c r="A531" s="11">
        <v>0.52900000000000003</v>
      </c>
      <c r="B531" s="12">
        <f>(General_Model!$C$6/General_Model!$C$7)-1/(1+General_Model!$C$26/((1.2+0.2*(General_Model!$C$26/A531)+0.35*SQRT(9.80665*(General_Model!$C$4/1000))/A531)*A531))-(A531^2/(2*9.80665*General_Model!$C$7))*((4*(0.3164/((General_Model!$C$14*A531*(General_Model!$C$4/1000)/General_Model!$C$15)^0.25))*General_Model!$C$7/(General_Model!$C$4/1000)+1)+(4*(0.3164/((General_Model!$C$14*A531*(General_Model!$C$4/1000)/General_Model!$C$15)^0.25))*General_Model!$C$7/(General_Model!$C$4/1000)+2)*(General_Model!$C$26/A531))</f>
        <v>-0.18224374854972394</v>
      </c>
      <c r="C531" s="13">
        <f t="shared" si="8"/>
        <v>0</v>
      </c>
    </row>
    <row r="532" spans="1:3" x14ac:dyDescent="0.25">
      <c r="A532" s="11">
        <v>0.53</v>
      </c>
      <c r="B532" s="12">
        <f>(General_Model!$C$6/General_Model!$C$7)-1/(1+General_Model!$C$26/((1.2+0.2*(General_Model!$C$26/A532)+0.35*SQRT(9.80665*(General_Model!$C$4/1000))/A532)*A532))-(A532^2/(2*9.80665*General_Model!$C$7))*((4*(0.3164/((General_Model!$C$14*A532*(General_Model!$C$4/1000)/General_Model!$C$15)^0.25))*General_Model!$C$7/(General_Model!$C$4/1000)+1)+(4*(0.3164/((General_Model!$C$14*A532*(General_Model!$C$4/1000)/General_Model!$C$15)^0.25))*General_Model!$C$7/(General_Model!$C$4/1000)+2)*(General_Model!$C$26/A532))</f>
        <v>-0.18280848082423584</v>
      </c>
      <c r="C532" s="13">
        <f t="shared" si="8"/>
        <v>0</v>
      </c>
    </row>
    <row r="533" spans="1:3" x14ac:dyDescent="0.25">
      <c r="A533" s="11">
        <v>0.53100000000000003</v>
      </c>
      <c r="B533" s="12">
        <f>(General_Model!$C$6/General_Model!$C$7)-1/(1+General_Model!$C$26/((1.2+0.2*(General_Model!$C$26/A533)+0.35*SQRT(9.80665*(General_Model!$C$4/1000))/A533)*A533))-(A533^2/(2*9.80665*General_Model!$C$7))*((4*(0.3164/((General_Model!$C$14*A533*(General_Model!$C$4/1000)/General_Model!$C$15)^0.25))*General_Model!$C$7/(General_Model!$C$4/1000)+1)+(4*(0.3164/((General_Model!$C$14*A533*(General_Model!$C$4/1000)/General_Model!$C$15)^0.25))*General_Model!$C$7/(General_Model!$C$4/1000)+2)*(General_Model!$C$26/A533))</f>
        <v>-0.18337299568577822</v>
      </c>
      <c r="C533" s="13">
        <f t="shared" si="8"/>
        <v>0</v>
      </c>
    </row>
    <row r="534" spans="1:3" x14ac:dyDescent="0.25">
      <c r="A534" s="11">
        <v>0.53200000000000003</v>
      </c>
      <c r="B534" s="12">
        <f>(General_Model!$C$6/General_Model!$C$7)-1/(1+General_Model!$C$26/((1.2+0.2*(General_Model!$C$26/A534)+0.35*SQRT(9.80665*(General_Model!$C$4/1000))/A534)*A534))-(A534^2/(2*9.80665*General_Model!$C$7))*((4*(0.3164/((General_Model!$C$14*A534*(General_Model!$C$4/1000)/General_Model!$C$15)^0.25))*General_Model!$C$7/(General_Model!$C$4/1000)+1)+(4*(0.3164/((General_Model!$C$14*A534*(General_Model!$C$4/1000)/General_Model!$C$15)^0.25))*General_Model!$C$7/(General_Model!$C$4/1000)+2)*(General_Model!$C$26/A534))</f>
        <v>-0.18393729433124667</v>
      </c>
      <c r="C534" s="13">
        <f t="shared" si="8"/>
        <v>0</v>
      </c>
    </row>
    <row r="535" spans="1:3" x14ac:dyDescent="0.25">
      <c r="A535" s="11">
        <v>0.53300000000000003</v>
      </c>
      <c r="B535" s="12">
        <f>(General_Model!$C$6/General_Model!$C$7)-1/(1+General_Model!$C$26/((1.2+0.2*(General_Model!$C$26/A535)+0.35*SQRT(9.80665*(General_Model!$C$4/1000))/A535)*A535))-(A535^2/(2*9.80665*General_Model!$C$7))*((4*(0.3164/((General_Model!$C$14*A535*(General_Model!$C$4/1000)/General_Model!$C$15)^0.25))*General_Model!$C$7/(General_Model!$C$4/1000)+1)+(4*(0.3164/((General_Model!$C$14*A535*(General_Model!$C$4/1000)/General_Model!$C$15)^0.25))*General_Model!$C$7/(General_Model!$C$4/1000)+2)*(General_Model!$C$26/A535))</f>
        <v>-0.18450137795332872</v>
      </c>
      <c r="C535" s="13">
        <f t="shared" si="8"/>
        <v>0</v>
      </c>
    </row>
    <row r="536" spans="1:3" x14ac:dyDescent="0.25">
      <c r="A536" s="11">
        <v>0.53400000000000003</v>
      </c>
      <c r="B536" s="12">
        <f>(General_Model!$C$6/General_Model!$C$7)-1/(1+General_Model!$C$26/((1.2+0.2*(General_Model!$C$26/A536)+0.35*SQRT(9.80665*(General_Model!$C$4/1000))/A536)*A536))-(A536^2/(2*9.80665*General_Model!$C$7))*((4*(0.3164/((General_Model!$C$14*A536*(General_Model!$C$4/1000)/General_Model!$C$15)^0.25))*General_Model!$C$7/(General_Model!$C$4/1000)+1)+(4*(0.3164/((General_Model!$C$14*A536*(General_Model!$C$4/1000)/General_Model!$C$15)^0.25))*General_Model!$C$7/(General_Model!$C$4/1000)+2)*(General_Model!$C$26/A536))</f>
        <v>-0.18506524774052263</v>
      </c>
      <c r="C536" s="13">
        <f t="shared" si="8"/>
        <v>0</v>
      </c>
    </row>
    <row r="537" spans="1:3" x14ac:dyDescent="0.25">
      <c r="A537" s="11">
        <v>0.53500000000000003</v>
      </c>
      <c r="B537" s="12">
        <f>(General_Model!$C$6/General_Model!$C$7)-1/(1+General_Model!$C$26/((1.2+0.2*(General_Model!$C$26/A537)+0.35*SQRT(9.80665*(General_Model!$C$4/1000))/A537)*A537))-(A537^2/(2*9.80665*General_Model!$C$7))*((4*(0.3164/((General_Model!$C$14*A537*(General_Model!$C$4/1000)/General_Model!$C$15)^0.25))*General_Model!$C$7/(General_Model!$C$4/1000)+1)+(4*(0.3164/((General_Model!$C$14*A537*(General_Model!$C$4/1000)/General_Model!$C$15)^0.25))*General_Model!$C$7/(General_Model!$C$4/1000)+2)*(General_Model!$C$26/A537))</f>
        <v>-0.18562890487715553</v>
      </c>
      <c r="C537" s="13">
        <f t="shared" si="8"/>
        <v>0</v>
      </c>
    </row>
    <row r="538" spans="1:3" x14ac:dyDescent="0.25">
      <c r="A538" s="11">
        <v>0.53600000000000003</v>
      </c>
      <c r="B538" s="12">
        <f>(General_Model!$C$6/General_Model!$C$7)-1/(1+General_Model!$C$26/((1.2+0.2*(General_Model!$C$26/A538)+0.35*SQRT(9.80665*(General_Model!$C$4/1000))/A538)*A538))-(A538^2/(2*9.80665*General_Model!$C$7))*((4*(0.3164/((General_Model!$C$14*A538*(General_Model!$C$4/1000)/General_Model!$C$15)^0.25))*General_Model!$C$7/(General_Model!$C$4/1000)+1)+(4*(0.3164/((General_Model!$C$14*A538*(General_Model!$C$4/1000)/General_Model!$C$15)^0.25))*General_Model!$C$7/(General_Model!$C$4/1000)+2)*(General_Model!$C$26/A538))</f>
        <v>-0.18619235054340083</v>
      </c>
      <c r="C538" s="13">
        <f t="shared" si="8"/>
        <v>0</v>
      </c>
    </row>
    <row r="539" spans="1:3" x14ac:dyDescent="0.25">
      <c r="A539" s="11">
        <v>0.53700000000000003</v>
      </c>
      <c r="B539" s="12">
        <f>(General_Model!$C$6/General_Model!$C$7)-1/(1+General_Model!$C$26/((1.2+0.2*(General_Model!$C$26/A539)+0.35*SQRT(9.80665*(General_Model!$C$4/1000))/A539)*A539))-(A539^2/(2*9.80665*General_Model!$C$7))*((4*(0.3164/((General_Model!$C$14*A539*(General_Model!$C$4/1000)/General_Model!$C$15)^0.25))*General_Model!$C$7/(General_Model!$C$4/1000)+1)+(4*(0.3164/((General_Model!$C$14*A539*(General_Model!$C$4/1000)/General_Model!$C$15)^0.25))*General_Model!$C$7/(General_Model!$C$4/1000)+2)*(General_Model!$C$26/A539))</f>
        <v>-0.18675558591529723</v>
      </c>
      <c r="C539" s="13">
        <f t="shared" si="8"/>
        <v>0</v>
      </c>
    </row>
    <row r="540" spans="1:3" x14ac:dyDescent="0.25">
      <c r="A540" s="11">
        <v>0.53800000000000003</v>
      </c>
      <c r="B540" s="12">
        <f>(General_Model!$C$6/General_Model!$C$7)-1/(1+General_Model!$C$26/((1.2+0.2*(General_Model!$C$26/A540)+0.35*SQRT(9.80665*(General_Model!$C$4/1000))/A540)*A540))-(A540^2/(2*9.80665*General_Model!$C$7))*((4*(0.3164/((General_Model!$C$14*A540*(General_Model!$C$4/1000)/General_Model!$C$15)^0.25))*General_Model!$C$7/(General_Model!$C$4/1000)+1)+(4*(0.3164/((General_Model!$C$14*A540*(General_Model!$C$4/1000)/General_Model!$C$15)^0.25))*General_Model!$C$7/(General_Model!$C$4/1000)+2)*(General_Model!$C$26/A540))</f>
        <v>-0.18731861216476611</v>
      </c>
      <c r="C540" s="13">
        <f t="shared" si="8"/>
        <v>0</v>
      </c>
    </row>
    <row r="541" spans="1:3" x14ac:dyDescent="0.25">
      <c r="A541" s="11">
        <v>0.53900000000000003</v>
      </c>
      <c r="B541" s="12">
        <f>(General_Model!$C$6/General_Model!$C$7)-1/(1+General_Model!$C$26/((1.2+0.2*(General_Model!$C$26/A541)+0.35*SQRT(9.80665*(General_Model!$C$4/1000))/A541)*A541))-(A541^2/(2*9.80665*General_Model!$C$7))*((4*(0.3164/((General_Model!$C$14*A541*(General_Model!$C$4/1000)/General_Model!$C$15)^0.25))*General_Model!$C$7/(General_Model!$C$4/1000)+1)+(4*(0.3164/((General_Model!$C$14*A541*(General_Model!$C$4/1000)/General_Model!$C$15)^0.25))*General_Model!$C$7/(General_Model!$C$4/1000)+2)*(General_Model!$C$26/A541))</f>
        <v>-0.18788143045962935</v>
      </c>
      <c r="C541" s="13">
        <f t="shared" si="8"/>
        <v>0</v>
      </c>
    </row>
    <row r="542" spans="1:3" x14ac:dyDescent="0.25">
      <c r="A542" s="11">
        <v>0.54</v>
      </c>
      <c r="B542" s="12">
        <f>(General_Model!$C$6/General_Model!$C$7)-1/(1+General_Model!$C$26/((1.2+0.2*(General_Model!$C$26/A542)+0.35*SQRT(9.80665*(General_Model!$C$4/1000))/A542)*A542))-(A542^2/(2*9.80665*General_Model!$C$7))*((4*(0.3164/((General_Model!$C$14*A542*(General_Model!$C$4/1000)/General_Model!$C$15)^0.25))*General_Model!$C$7/(General_Model!$C$4/1000)+1)+(4*(0.3164/((General_Model!$C$14*A542*(General_Model!$C$4/1000)/General_Model!$C$15)^0.25))*General_Model!$C$7/(General_Model!$C$4/1000)+2)*(General_Model!$C$26/A542))</f>
        <v>-0.18844404196362735</v>
      </c>
      <c r="C542" s="13">
        <f t="shared" si="8"/>
        <v>0</v>
      </c>
    </row>
    <row r="543" spans="1:3" x14ac:dyDescent="0.25">
      <c r="A543" s="11">
        <v>0.54100000000000004</v>
      </c>
      <c r="B543" s="12">
        <f>(General_Model!$C$6/General_Model!$C$7)-1/(1+General_Model!$C$26/((1.2+0.2*(General_Model!$C$26/A543)+0.35*SQRT(9.80665*(General_Model!$C$4/1000))/A543)*A543))-(A543^2/(2*9.80665*General_Model!$C$7))*((4*(0.3164/((General_Model!$C$14*A543*(General_Model!$C$4/1000)/General_Model!$C$15)^0.25))*General_Model!$C$7/(General_Model!$C$4/1000)+1)+(4*(0.3164/((General_Model!$C$14*A543*(General_Model!$C$4/1000)/General_Model!$C$15)^0.25))*General_Model!$C$7/(General_Model!$C$4/1000)+2)*(General_Model!$C$26/A543))</f>
        <v>-0.18900644783643636</v>
      </c>
      <c r="C543" s="13">
        <f t="shared" si="8"/>
        <v>0</v>
      </c>
    </row>
    <row r="544" spans="1:3" x14ac:dyDescent="0.25">
      <c r="A544" s="11">
        <v>0.54200000000000004</v>
      </c>
      <c r="B544" s="12">
        <f>(General_Model!$C$6/General_Model!$C$7)-1/(1+General_Model!$C$26/((1.2+0.2*(General_Model!$C$26/A544)+0.35*SQRT(9.80665*(General_Model!$C$4/1000))/A544)*A544))-(A544^2/(2*9.80665*General_Model!$C$7))*((4*(0.3164/((General_Model!$C$14*A544*(General_Model!$C$4/1000)/General_Model!$C$15)^0.25))*General_Model!$C$7/(General_Model!$C$4/1000)+1)+(4*(0.3164/((General_Model!$C$14*A544*(General_Model!$C$4/1000)/General_Model!$C$15)^0.25))*General_Model!$C$7/(General_Model!$C$4/1000)+2)*(General_Model!$C$26/A544))</f>
        <v>-0.18956864923368622</v>
      </c>
      <c r="C544" s="13">
        <f t="shared" si="8"/>
        <v>0</v>
      </c>
    </row>
    <row r="545" spans="1:3" x14ac:dyDescent="0.25">
      <c r="A545" s="11">
        <v>0.54300000000000004</v>
      </c>
      <c r="B545" s="12">
        <f>(General_Model!$C$6/General_Model!$C$7)-1/(1+General_Model!$C$26/((1.2+0.2*(General_Model!$C$26/A545)+0.35*SQRT(9.80665*(General_Model!$C$4/1000))/A545)*A545))-(A545^2/(2*9.80665*General_Model!$C$7))*((4*(0.3164/((General_Model!$C$14*A545*(General_Model!$C$4/1000)/General_Model!$C$15)^0.25))*General_Model!$C$7/(General_Model!$C$4/1000)+1)+(4*(0.3164/((General_Model!$C$14*A545*(General_Model!$C$4/1000)/General_Model!$C$15)^0.25))*General_Model!$C$7/(General_Model!$C$4/1000)+2)*(General_Model!$C$26/A545))</f>
        <v>-0.19013064730697771</v>
      </c>
      <c r="C545" s="13">
        <f t="shared" si="8"/>
        <v>0</v>
      </c>
    </row>
    <row r="546" spans="1:3" x14ac:dyDescent="0.25">
      <c r="A546" s="11">
        <v>0.54400000000000004</v>
      </c>
      <c r="B546" s="12">
        <f>(General_Model!$C$6/General_Model!$C$7)-1/(1+General_Model!$C$26/((1.2+0.2*(General_Model!$C$26/A546)+0.35*SQRT(9.80665*(General_Model!$C$4/1000))/A546)*A546))-(A546^2/(2*9.80665*General_Model!$C$7))*((4*(0.3164/((General_Model!$C$14*A546*(General_Model!$C$4/1000)/General_Model!$C$15)^0.25))*General_Model!$C$7/(General_Model!$C$4/1000)+1)+(4*(0.3164/((General_Model!$C$14*A546*(General_Model!$C$4/1000)/General_Model!$C$15)^0.25))*General_Model!$C$7/(General_Model!$C$4/1000)+2)*(General_Model!$C$26/A546))</f>
        <v>-0.19069244320390016</v>
      </c>
      <c r="C546" s="13">
        <f t="shared" si="8"/>
        <v>0</v>
      </c>
    </row>
    <row r="547" spans="1:3" x14ac:dyDescent="0.25">
      <c r="A547" s="11">
        <v>0.54500000000000004</v>
      </c>
      <c r="B547" s="12">
        <f>(General_Model!$C$6/General_Model!$C$7)-1/(1+General_Model!$C$26/((1.2+0.2*(General_Model!$C$26/A547)+0.35*SQRT(9.80665*(General_Model!$C$4/1000))/A547)*A547))-(A547^2/(2*9.80665*General_Model!$C$7))*((4*(0.3164/((General_Model!$C$14*A547*(General_Model!$C$4/1000)/General_Model!$C$15)^0.25))*General_Model!$C$7/(General_Model!$C$4/1000)+1)+(4*(0.3164/((General_Model!$C$14*A547*(General_Model!$C$4/1000)/General_Model!$C$15)^0.25))*General_Model!$C$7/(General_Model!$C$4/1000)+2)*(General_Model!$C$26/A547))</f>
        <v>-0.19125403806804839</v>
      </c>
      <c r="C547" s="13">
        <f t="shared" si="8"/>
        <v>0</v>
      </c>
    </row>
    <row r="548" spans="1:3" x14ac:dyDescent="0.25">
      <c r="A548" s="11">
        <v>0.54600000000000004</v>
      </c>
      <c r="B548" s="12">
        <f>(General_Model!$C$6/General_Model!$C$7)-1/(1+General_Model!$C$26/((1.2+0.2*(General_Model!$C$26/A548)+0.35*SQRT(9.80665*(General_Model!$C$4/1000))/A548)*A548))-(A548^2/(2*9.80665*General_Model!$C$7))*((4*(0.3164/((General_Model!$C$14*A548*(General_Model!$C$4/1000)/General_Model!$C$15)^0.25))*General_Model!$C$7/(General_Model!$C$4/1000)+1)+(4*(0.3164/((General_Model!$C$14*A548*(General_Model!$C$4/1000)/General_Model!$C$15)^0.25))*General_Model!$C$7/(General_Model!$C$4/1000)+2)*(General_Model!$C$26/A548))</f>
        <v>-0.1918154330390402</v>
      </c>
      <c r="C548" s="13">
        <f t="shared" si="8"/>
        <v>0</v>
      </c>
    </row>
    <row r="549" spans="1:3" x14ac:dyDescent="0.25">
      <c r="A549" s="11">
        <v>0.54700000000000004</v>
      </c>
      <c r="B549" s="12">
        <f>(General_Model!$C$6/General_Model!$C$7)-1/(1+General_Model!$C$26/((1.2+0.2*(General_Model!$C$26/A549)+0.35*SQRT(9.80665*(General_Model!$C$4/1000))/A549)*A549))-(A549^2/(2*9.80665*General_Model!$C$7))*((4*(0.3164/((General_Model!$C$14*A549*(General_Model!$C$4/1000)/General_Model!$C$15)^0.25))*General_Model!$C$7/(General_Model!$C$4/1000)+1)+(4*(0.3164/((General_Model!$C$14*A549*(General_Model!$C$4/1000)/General_Model!$C$15)^0.25))*General_Model!$C$7/(General_Model!$C$4/1000)+2)*(General_Model!$C$26/A549))</f>
        <v>-0.19237662925253282</v>
      </c>
      <c r="C549" s="13">
        <f t="shared" si="8"/>
        <v>0</v>
      </c>
    </row>
    <row r="550" spans="1:3" x14ac:dyDescent="0.25">
      <c r="A550" s="11">
        <v>0.54800000000000004</v>
      </c>
      <c r="B550" s="12">
        <f>(General_Model!$C$6/General_Model!$C$7)-1/(1+General_Model!$C$26/((1.2+0.2*(General_Model!$C$26/A550)+0.35*SQRT(9.80665*(General_Model!$C$4/1000))/A550)*A550))-(A550^2/(2*9.80665*General_Model!$C$7))*((4*(0.3164/((General_Model!$C$14*A550*(General_Model!$C$4/1000)/General_Model!$C$15)^0.25))*General_Model!$C$7/(General_Model!$C$4/1000)+1)+(4*(0.3164/((General_Model!$C$14*A550*(General_Model!$C$4/1000)/General_Model!$C$15)^0.25))*General_Model!$C$7/(General_Model!$C$4/1000)+2)*(General_Model!$C$26/A550))</f>
        <v>-0.19293762784024121</v>
      </c>
      <c r="C550" s="13">
        <f t="shared" si="8"/>
        <v>0</v>
      </c>
    </row>
    <row r="551" spans="1:3" x14ac:dyDescent="0.25">
      <c r="A551" s="11">
        <v>0.54900000000000004</v>
      </c>
      <c r="B551" s="12">
        <f>(General_Model!$C$6/General_Model!$C$7)-1/(1+General_Model!$C$26/((1.2+0.2*(General_Model!$C$26/A551)+0.35*SQRT(9.80665*(General_Model!$C$4/1000))/A551)*A551))-(A551^2/(2*9.80665*General_Model!$C$7))*((4*(0.3164/((General_Model!$C$14*A551*(General_Model!$C$4/1000)/General_Model!$C$15)^0.25))*General_Model!$C$7/(General_Model!$C$4/1000)+1)+(4*(0.3164/((General_Model!$C$14*A551*(General_Model!$C$4/1000)/General_Model!$C$15)^0.25))*General_Model!$C$7/(General_Model!$C$4/1000)+2)*(General_Model!$C$26/A551))</f>
        <v>-0.19349842992995386</v>
      </c>
      <c r="C551" s="13">
        <f t="shared" si="8"/>
        <v>0</v>
      </c>
    </row>
    <row r="552" spans="1:3" x14ac:dyDescent="0.25">
      <c r="A552" s="11">
        <v>0.55000000000000004</v>
      </c>
      <c r="B552" s="12">
        <f>(General_Model!$C$6/General_Model!$C$7)-1/(1+General_Model!$C$26/((1.2+0.2*(General_Model!$C$26/A552)+0.35*SQRT(9.80665*(General_Model!$C$4/1000))/A552)*A552))-(A552^2/(2*9.80665*General_Model!$C$7))*((4*(0.3164/((General_Model!$C$14*A552*(General_Model!$C$4/1000)/General_Model!$C$15)^0.25))*General_Model!$C$7/(General_Model!$C$4/1000)+1)+(4*(0.3164/((General_Model!$C$14*A552*(General_Model!$C$4/1000)/General_Model!$C$15)^0.25))*General_Model!$C$7/(General_Model!$C$4/1000)+2)*(General_Model!$C$26/A552))</f>
        <v>-0.19405903664554969</v>
      </c>
      <c r="C552" s="13">
        <f t="shared" si="8"/>
        <v>0</v>
      </c>
    </row>
    <row r="553" spans="1:3" x14ac:dyDescent="0.25">
      <c r="A553" s="11">
        <v>0.55100000000000005</v>
      </c>
      <c r="B553" s="12">
        <f>(General_Model!$C$6/General_Model!$C$7)-1/(1+General_Model!$C$26/((1.2+0.2*(General_Model!$C$26/A553)+0.35*SQRT(9.80665*(General_Model!$C$4/1000))/A553)*A553))-(A553^2/(2*9.80665*General_Model!$C$7))*((4*(0.3164/((General_Model!$C$14*A553*(General_Model!$C$4/1000)/General_Model!$C$15)^0.25))*General_Model!$C$7/(General_Model!$C$4/1000)+1)+(4*(0.3164/((General_Model!$C$14*A553*(General_Model!$C$4/1000)/General_Model!$C$15)^0.25))*General_Model!$C$7/(General_Model!$C$4/1000)+2)*(General_Model!$C$26/A553))</f>
        <v>-0.19461944910701554</v>
      </c>
      <c r="C553" s="13">
        <f t="shared" si="8"/>
        <v>0</v>
      </c>
    </row>
    <row r="554" spans="1:3" x14ac:dyDescent="0.25">
      <c r="A554" s="11">
        <v>0.55200000000000005</v>
      </c>
      <c r="B554" s="12">
        <f>(General_Model!$C$6/General_Model!$C$7)-1/(1+General_Model!$C$26/((1.2+0.2*(General_Model!$C$26/A554)+0.35*SQRT(9.80665*(General_Model!$C$4/1000))/A554)*A554))-(A554^2/(2*9.80665*General_Model!$C$7))*((4*(0.3164/((General_Model!$C$14*A554*(General_Model!$C$4/1000)/General_Model!$C$15)^0.25))*General_Model!$C$7/(General_Model!$C$4/1000)+1)+(4*(0.3164/((General_Model!$C$14*A554*(General_Model!$C$4/1000)/General_Model!$C$15)^0.25))*General_Model!$C$7/(General_Model!$C$4/1000)+2)*(General_Model!$C$26/A554))</f>
        <v>-0.19517966843046203</v>
      </c>
      <c r="C554" s="13">
        <f t="shared" si="8"/>
        <v>0</v>
      </c>
    </row>
    <row r="555" spans="1:3" x14ac:dyDescent="0.25">
      <c r="A555" s="11">
        <v>0.55300000000000005</v>
      </c>
      <c r="B555" s="12">
        <f>(General_Model!$C$6/General_Model!$C$7)-1/(1+General_Model!$C$26/((1.2+0.2*(General_Model!$C$26/A555)+0.35*SQRT(9.80665*(General_Model!$C$4/1000))/A555)*A555))-(A555^2/(2*9.80665*General_Model!$C$7))*((4*(0.3164/((General_Model!$C$14*A555*(General_Model!$C$4/1000)/General_Model!$C$15)^0.25))*General_Model!$C$7/(General_Model!$C$4/1000)+1)+(4*(0.3164/((General_Model!$C$14*A555*(General_Model!$C$4/1000)/General_Model!$C$15)^0.25))*General_Model!$C$7/(General_Model!$C$4/1000)+2)*(General_Model!$C$26/A555))</f>
        <v>-0.19573969572814048</v>
      </c>
      <c r="C555" s="13">
        <f t="shared" si="8"/>
        <v>0</v>
      </c>
    </row>
    <row r="556" spans="1:3" x14ac:dyDescent="0.25">
      <c r="A556" s="11">
        <v>0.55400000000000005</v>
      </c>
      <c r="B556" s="12">
        <f>(General_Model!$C$6/General_Model!$C$7)-1/(1+General_Model!$C$26/((1.2+0.2*(General_Model!$C$26/A556)+0.35*SQRT(9.80665*(General_Model!$C$4/1000))/A556)*A556))-(A556^2/(2*9.80665*General_Model!$C$7))*((4*(0.3164/((General_Model!$C$14*A556*(General_Model!$C$4/1000)/General_Model!$C$15)^0.25))*General_Model!$C$7/(General_Model!$C$4/1000)+1)+(4*(0.3164/((General_Model!$C$14*A556*(General_Model!$C$4/1000)/General_Model!$C$15)^0.25))*General_Model!$C$7/(General_Model!$C$4/1000)+2)*(General_Model!$C$26/A556))</f>
        <v>-0.19629953210845963</v>
      </c>
      <c r="C556" s="13">
        <f t="shared" si="8"/>
        <v>0</v>
      </c>
    </row>
    <row r="557" spans="1:3" x14ac:dyDescent="0.25">
      <c r="A557" s="11">
        <v>0.55500000000000005</v>
      </c>
      <c r="B557" s="12">
        <f>(General_Model!$C$6/General_Model!$C$7)-1/(1+General_Model!$C$26/((1.2+0.2*(General_Model!$C$26/A557)+0.35*SQRT(9.80665*(General_Model!$C$4/1000))/A557)*A557))-(A557^2/(2*9.80665*General_Model!$C$7))*((4*(0.3164/((General_Model!$C$14*A557*(General_Model!$C$4/1000)/General_Model!$C$15)^0.25))*General_Model!$C$7/(General_Model!$C$4/1000)+1)+(4*(0.3164/((General_Model!$C$14*A557*(General_Model!$C$4/1000)/General_Model!$C$15)^0.25))*General_Model!$C$7/(General_Model!$C$4/1000)+2)*(General_Model!$C$26/A557))</f>
        <v>-0.19685917867600169</v>
      </c>
      <c r="C557" s="13">
        <f t="shared" si="8"/>
        <v>0</v>
      </c>
    </row>
    <row r="558" spans="1:3" x14ac:dyDescent="0.25">
      <c r="A558" s="11">
        <v>0.55600000000000005</v>
      </c>
      <c r="B558" s="12">
        <f>(General_Model!$C$6/General_Model!$C$7)-1/(1+General_Model!$C$26/((1.2+0.2*(General_Model!$C$26/A558)+0.35*SQRT(9.80665*(General_Model!$C$4/1000))/A558)*A558))-(A558^2/(2*9.80665*General_Model!$C$7))*((4*(0.3164/((General_Model!$C$14*A558*(General_Model!$C$4/1000)/General_Model!$C$15)^0.25))*General_Model!$C$7/(General_Model!$C$4/1000)+1)+(4*(0.3164/((General_Model!$C$14*A558*(General_Model!$C$4/1000)/General_Model!$C$15)^0.25))*General_Model!$C$7/(General_Model!$C$4/1000)+2)*(General_Model!$C$26/A558))</f>
        <v>-0.19741863653153879</v>
      </c>
      <c r="C558" s="13">
        <f t="shared" si="8"/>
        <v>0</v>
      </c>
    </row>
    <row r="559" spans="1:3" x14ac:dyDescent="0.25">
      <c r="A559" s="11">
        <v>0.55700000000000005</v>
      </c>
      <c r="B559" s="12">
        <f>(General_Model!$C$6/General_Model!$C$7)-1/(1+General_Model!$C$26/((1.2+0.2*(General_Model!$C$26/A559)+0.35*SQRT(9.80665*(General_Model!$C$4/1000))/A559)*A559))-(A559^2/(2*9.80665*General_Model!$C$7))*((4*(0.3164/((General_Model!$C$14*A559*(General_Model!$C$4/1000)/General_Model!$C$15)^0.25))*General_Model!$C$7/(General_Model!$C$4/1000)+1)+(4*(0.3164/((General_Model!$C$14*A559*(General_Model!$C$4/1000)/General_Model!$C$15)^0.25))*General_Model!$C$7/(General_Model!$C$4/1000)+2)*(General_Model!$C$26/A559))</f>
        <v>-0.19797790677204891</v>
      </c>
      <c r="C559" s="13">
        <f t="shared" si="8"/>
        <v>0</v>
      </c>
    </row>
    <row r="560" spans="1:3" x14ac:dyDescent="0.25">
      <c r="A560" s="11">
        <v>0.55800000000000005</v>
      </c>
      <c r="B560" s="12">
        <f>(General_Model!$C$6/General_Model!$C$7)-1/(1+General_Model!$C$26/((1.2+0.2*(General_Model!$C$26/A560)+0.35*SQRT(9.80665*(General_Model!$C$4/1000))/A560)*A560))-(A560^2/(2*9.80665*General_Model!$C$7))*((4*(0.3164/((General_Model!$C$14*A560*(General_Model!$C$4/1000)/General_Model!$C$15)^0.25))*General_Model!$C$7/(General_Model!$C$4/1000)+1)+(4*(0.3164/((General_Model!$C$14*A560*(General_Model!$C$4/1000)/General_Model!$C$15)^0.25))*General_Model!$C$7/(General_Model!$C$4/1000)+2)*(General_Model!$C$26/A560))</f>
        <v>-0.19853699049073259</v>
      </c>
      <c r="C560" s="13">
        <f t="shared" si="8"/>
        <v>0</v>
      </c>
    </row>
    <row r="561" spans="1:3" x14ac:dyDescent="0.25">
      <c r="A561" s="11">
        <v>0.55900000000000005</v>
      </c>
      <c r="B561" s="12">
        <f>(General_Model!$C$6/General_Model!$C$7)-1/(1+General_Model!$C$26/((1.2+0.2*(General_Model!$C$26/A561)+0.35*SQRT(9.80665*(General_Model!$C$4/1000))/A561)*A561))-(A561^2/(2*9.80665*General_Model!$C$7))*((4*(0.3164/((General_Model!$C$14*A561*(General_Model!$C$4/1000)/General_Model!$C$15)^0.25))*General_Model!$C$7/(General_Model!$C$4/1000)+1)+(4*(0.3164/((General_Model!$C$14*A561*(General_Model!$C$4/1000)/General_Model!$C$15)^0.25))*General_Model!$C$7/(General_Model!$C$4/1000)+2)*(General_Model!$C$26/A561))</f>
        <v>-0.19909588877702877</v>
      </c>
      <c r="C561" s="13">
        <f t="shared" si="8"/>
        <v>0</v>
      </c>
    </row>
    <row r="562" spans="1:3" x14ac:dyDescent="0.25">
      <c r="A562" s="11">
        <v>0.56000000000000005</v>
      </c>
      <c r="B562" s="12">
        <f>(General_Model!$C$6/General_Model!$C$7)-1/(1+General_Model!$C$26/((1.2+0.2*(General_Model!$C$26/A562)+0.35*SQRT(9.80665*(General_Model!$C$4/1000))/A562)*A562))-(A562^2/(2*9.80665*General_Model!$C$7))*((4*(0.3164/((General_Model!$C$14*A562*(General_Model!$C$4/1000)/General_Model!$C$15)^0.25))*General_Model!$C$7/(General_Model!$C$4/1000)+1)+(4*(0.3164/((General_Model!$C$14*A562*(General_Model!$C$4/1000)/General_Model!$C$15)^0.25))*General_Model!$C$7/(General_Model!$C$4/1000)+2)*(General_Model!$C$26/A562))</f>
        <v>-0.19965460271663071</v>
      </c>
      <c r="C562" s="13">
        <f t="shared" si="8"/>
        <v>0</v>
      </c>
    </row>
    <row r="563" spans="1:3" x14ac:dyDescent="0.25">
      <c r="A563" s="11">
        <v>0.56100000000000005</v>
      </c>
      <c r="B563" s="12">
        <f>(General_Model!$C$6/General_Model!$C$7)-1/(1+General_Model!$C$26/((1.2+0.2*(General_Model!$C$26/A563)+0.35*SQRT(9.80665*(General_Model!$C$4/1000))/A563)*A563))-(A563^2/(2*9.80665*General_Model!$C$7))*((4*(0.3164/((General_Model!$C$14*A563*(General_Model!$C$4/1000)/General_Model!$C$15)^0.25))*General_Model!$C$7/(General_Model!$C$4/1000)+1)+(4*(0.3164/((General_Model!$C$14*A563*(General_Model!$C$4/1000)/General_Model!$C$15)^0.25))*General_Model!$C$7/(General_Model!$C$4/1000)+2)*(General_Model!$C$26/A563))</f>
        <v>-0.20021313339150187</v>
      </c>
      <c r="C563" s="13">
        <f t="shared" si="8"/>
        <v>0</v>
      </c>
    </row>
    <row r="564" spans="1:3" x14ac:dyDescent="0.25">
      <c r="A564" s="11">
        <v>0.56200000000000006</v>
      </c>
      <c r="B564" s="12">
        <f>(General_Model!$C$6/General_Model!$C$7)-1/(1+General_Model!$C$26/((1.2+0.2*(General_Model!$C$26/A564)+0.35*SQRT(9.80665*(General_Model!$C$4/1000))/A564)*A564))-(A564^2/(2*9.80665*General_Model!$C$7))*((4*(0.3164/((General_Model!$C$14*A564*(General_Model!$C$4/1000)/General_Model!$C$15)^0.25))*General_Model!$C$7/(General_Model!$C$4/1000)+1)+(4*(0.3164/((General_Model!$C$14*A564*(General_Model!$C$4/1000)/General_Model!$C$15)^0.25))*General_Model!$C$7/(General_Model!$C$4/1000)+2)*(General_Model!$C$26/A564))</f>
        <v>-0.20077148187989141</v>
      </c>
      <c r="C564" s="13">
        <f t="shared" si="8"/>
        <v>0</v>
      </c>
    </row>
    <row r="565" spans="1:3" x14ac:dyDescent="0.25">
      <c r="A565" s="11">
        <v>0.56300000000000006</v>
      </c>
      <c r="B565" s="12">
        <f>(General_Model!$C$6/General_Model!$C$7)-1/(1+General_Model!$C$26/((1.2+0.2*(General_Model!$C$26/A565)+0.35*SQRT(9.80665*(General_Model!$C$4/1000))/A565)*A565))-(A565^2/(2*9.80665*General_Model!$C$7))*((4*(0.3164/((General_Model!$C$14*A565*(General_Model!$C$4/1000)/General_Model!$C$15)^0.25))*General_Model!$C$7/(General_Model!$C$4/1000)+1)+(4*(0.3164/((General_Model!$C$14*A565*(General_Model!$C$4/1000)/General_Model!$C$15)^0.25))*General_Model!$C$7/(General_Model!$C$4/1000)+2)*(General_Model!$C$26/A565))</f>
        <v>-0.20132964925635111</v>
      </c>
      <c r="C565" s="13">
        <f t="shared" si="8"/>
        <v>0</v>
      </c>
    </row>
    <row r="566" spans="1:3" x14ac:dyDescent="0.25">
      <c r="A566" s="11">
        <v>0.56400000000000006</v>
      </c>
      <c r="B566" s="12">
        <f>(General_Model!$C$6/General_Model!$C$7)-1/(1+General_Model!$C$26/((1.2+0.2*(General_Model!$C$26/A566)+0.35*SQRT(9.80665*(General_Model!$C$4/1000))/A566)*A566))-(A566^2/(2*9.80665*General_Model!$C$7))*((4*(0.3164/((General_Model!$C$14*A566*(General_Model!$C$4/1000)/General_Model!$C$15)^0.25))*General_Model!$C$7/(General_Model!$C$4/1000)+1)+(4*(0.3164/((General_Model!$C$14*A566*(General_Model!$C$4/1000)/General_Model!$C$15)^0.25))*General_Model!$C$7/(General_Model!$C$4/1000)+2)*(General_Model!$C$26/A566))</f>
        <v>-0.20188763659174941</v>
      </c>
      <c r="C566" s="13">
        <f t="shared" si="8"/>
        <v>0</v>
      </c>
    </row>
    <row r="567" spans="1:3" x14ac:dyDescent="0.25">
      <c r="A567" s="11">
        <v>0.56500000000000006</v>
      </c>
      <c r="B567" s="12">
        <f>(General_Model!$C$6/General_Model!$C$7)-1/(1+General_Model!$C$26/((1.2+0.2*(General_Model!$C$26/A567)+0.35*SQRT(9.80665*(General_Model!$C$4/1000))/A567)*A567))-(A567^2/(2*9.80665*General_Model!$C$7))*((4*(0.3164/((General_Model!$C$14*A567*(General_Model!$C$4/1000)/General_Model!$C$15)^0.25))*General_Model!$C$7/(General_Model!$C$4/1000)+1)+(4*(0.3164/((General_Model!$C$14*A567*(General_Model!$C$4/1000)/General_Model!$C$15)^0.25))*General_Model!$C$7/(General_Model!$C$4/1000)+2)*(General_Model!$C$26/A567))</f>
        <v>-0.20244544495328815</v>
      </c>
      <c r="C567" s="13">
        <f t="shared" si="8"/>
        <v>0</v>
      </c>
    </row>
    <row r="568" spans="1:3" x14ac:dyDescent="0.25">
      <c r="A568" s="11">
        <v>0.56600000000000006</v>
      </c>
      <c r="B568" s="12">
        <f>(General_Model!$C$6/General_Model!$C$7)-1/(1+General_Model!$C$26/((1.2+0.2*(General_Model!$C$26/A568)+0.35*SQRT(9.80665*(General_Model!$C$4/1000))/A568)*A568))-(A568^2/(2*9.80665*General_Model!$C$7))*((4*(0.3164/((General_Model!$C$14*A568*(General_Model!$C$4/1000)/General_Model!$C$15)^0.25))*General_Model!$C$7/(General_Model!$C$4/1000)+1)+(4*(0.3164/((General_Model!$C$14*A568*(General_Model!$C$4/1000)/General_Model!$C$15)^0.25))*General_Model!$C$7/(General_Model!$C$4/1000)+2)*(General_Model!$C$26/A568))</f>
        <v>-0.20300307540451795</v>
      </c>
      <c r="C568" s="13">
        <f t="shared" si="8"/>
        <v>0</v>
      </c>
    </row>
    <row r="569" spans="1:3" x14ac:dyDescent="0.25">
      <c r="A569" s="11">
        <v>0.56700000000000006</v>
      </c>
      <c r="B569" s="12">
        <f>(General_Model!$C$6/General_Model!$C$7)-1/(1+General_Model!$C$26/((1.2+0.2*(General_Model!$C$26/A569)+0.35*SQRT(9.80665*(General_Model!$C$4/1000))/A569)*A569))-(A569^2/(2*9.80665*General_Model!$C$7))*((4*(0.3164/((General_Model!$C$14*A569*(General_Model!$C$4/1000)/General_Model!$C$15)^0.25))*General_Model!$C$7/(General_Model!$C$4/1000)+1)+(4*(0.3164/((General_Model!$C$14*A569*(General_Model!$C$4/1000)/General_Model!$C$15)^0.25))*General_Model!$C$7/(General_Model!$C$4/1000)+2)*(General_Model!$C$26/A569))</f>
        <v>-0.20356052900535287</v>
      </c>
      <c r="C569" s="13">
        <f t="shared" si="8"/>
        <v>0</v>
      </c>
    </row>
    <row r="570" spans="1:3" x14ac:dyDescent="0.25">
      <c r="A570" s="11">
        <v>0.56800000000000006</v>
      </c>
      <c r="B570" s="12">
        <f>(General_Model!$C$6/General_Model!$C$7)-1/(1+General_Model!$C$26/((1.2+0.2*(General_Model!$C$26/A570)+0.35*SQRT(9.80665*(General_Model!$C$4/1000))/A570)*A570))-(A570^2/(2*9.80665*General_Model!$C$7))*((4*(0.3164/((General_Model!$C$14*A570*(General_Model!$C$4/1000)/General_Model!$C$15)^0.25))*General_Model!$C$7/(General_Model!$C$4/1000)+1)+(4*(0.3164/((General_Model!$C$14*A570*(General_Model!$C$4/1000)/General_Model!$C$15)^0.25))*General_Model!$C$7/(General_Model!$C$4/1000)+2)*(General_Model!$C$26/A570))</f>
        <v>-0.20411780681208674</v>
      </c>
      <c r="C570" s="13">
        <f t="shared" si="8"/>
        <v>0</v>
      </c>
    </row>
    <row r="571" spans="1:3" x14ac:dyDescent="0.25">
      <c r="A571" s="11">
        <v>0.56900000000000006</v>
      </c>
      <c r="B571" s="12">
        <f>(General_Model!$C$6/General_Model!$C$7)-1/(1+General_Model!$C$26/((1.2+0.2*(General_Model!$C$26/A571)+0.35*SQRT(9.80665*(General_Model!$C$4/1000))/A571)*A571))-(A571^2/(2*9.80665*General_Model!$C$7))*((4*(0.3164/((General_Model!$C$14*A571*(General_Model!$C$4/1000)/General_Model!$C$15)^0.25))*General_Model!$C$7/(General_Model!$C$4/1000)+1)+(4*(0.3164/((General_Model!$C$14*A571*(General_Model!$C$4/1000)/General_Model!$C$15)^0.25))*General_Model!$C$7/(General_Model!$C$4/1000)+2)*(General_Model!$C$26/A571))</f>
        <v>-0.20467490987740763</v>
      </c>
      <c r="C571" s="13">
        <f t="shared" si="8"/>
        <v>0</v>
      </c>
    </row>
    <row r="572" spans="1:3" x14ac:dyDescent="0.25">
      <c r="A572" s="11">
        <v>0.57000000000000006</v>
      </c>
      <c r="B572" s="12">
        <f>(General_Model!$C$6/General_Model!$C$7)-1/(1+General_Model!$C$26/((1.2+0.2*(General_Model!$C$26/A572)+0.35*SQRT(9.80665*(General_Model!$C$4/1000))/A572)*A572))-(A572^2/(2*9.80665*General_Model!$C$7))*((4*(0.3164/((General_Model!$C$14*A572*(General_Model!$C$4/1000)/General_Model!$C$15)^0.25))*General_Model!$C$7/(General_Model!$C$4/1000)+1)+(4*(0.3164/((General_Model!$C$14*A572*(General_Model!$C$4/1000)/General_Model!$C$15)^0.25))*General_Model!$C$7/(General_Model!$C$4/1000)+2)*(General_Model!$C$26/A572))</f>
        <v>-0.20523183925041369</v>
      </c>
      <c r="C572" s="13">
        <f t="shared" si="8"/>
        <v>0</v>
      </c>
    </row>
    <row r="573" spans="1:3" x14ac:dyDescent="0.25">
      <c r="A573" s="11">
        <v>0.57100000000000006</v>
      </c>
      <c r="B573" s="12">
        <f>(General_Model!$C$6/General_Model!$C$7)-1/(1+General_Model!$C$26/((1.2+0.2*(General_Model!$C$26/A573)+0.35*SQRT(9.80665*(General_Model!$C$4/1000))/A573)*A573))-(A573^2/(2*9.80665*General_Model!$C$7))*((4*(0.3164/((General_Model!$C$14*A573*(General_Model!$C$4/1000)/General_Model!$C$15)^0.25))*General_Model!$C$7/(General_Model!$C$4/1000)+1)+(4*(0.3164/((General_Model!$C$14*A573*(General_Model!$C$4/1000)/General_Model!$C$15)^0.25))*General_Model!$C$7/(General_Model!$C$4/1000)+2)*(General_Model!$C$26/A573))</f>
        <v>-0.20578859597662774</v>
      </c>
      <c r="C573" s="13">
        <f t="shared" si="8"/>
        <v>0</v>
      </c>
    </row>
    <row r="574" spans="1:3" x14ac:dyDescent="0.25">
      <c r="A574" s="11">
        <v>0.57200000000000006</v>
      </c>
      <c r="B574" s="12">
        <f>(General_Model!$C$6/General_Model!$C$7)-1/(1+General_Model!$C$26/((1.2+0.2*(General_Model!$C$26/A574)+0.35*SQRT(9.80665*(General_Model!$C$4/1000))/A574)*A574))-(A574^2/(2*9.80665*General_Model!$C$7))*((4*(0.3164/((General_Model!$C$14*A574*(General_Model!$C$4/1000)/General_Model!$C$15)^0.25))*General_Model!$C$7/(General_Model!$C$4/1000)+1)+(4*(0.3164/((General_Model!$C$14*A574*(General_Model!$C$4/1000)/General_Model!$C$15)^0.25))*General_Model!$C$7/(General_Model!$C$4/1000)+2)*(General_Model!$C$26/A574))</f>
        <v>-0.2063451810980125</v>
      </c>
      <c r="C574" s="13">
        <f t="shared" si="8"/>
        <v>0</v>
      </c>
    </row>
    <row r="575" spans="1:3" x14ac:dyDescent="0.25">
      <c r="A575" s="11">
        <v>0.57300000000000006</v>
      </c>
      <c r="B575" s="12">
        <f>(General_Model!$C$6/General_Model!$C$7)-1/(1+General_Model!$C$26/((1.2+0.2*(General_Model!$C$26/A575)+0.35*SQRT(9.80665*(General_Model!$C$4/1000))/A575)*A575))-(A575^2/(2*9.80665*General_Model!$C$7))*((4*(0.3164/((General_Model!$C$14*A575*(General_Model!$C$4/1000)/General_Model!$C$15)^0.25))*General_Model!$C$7/(General_Model!$C$4/1000)+1)+(4*(0.3164/((General_Model!$C$14*A575*(General_Model!$C$4/1000)/General_Model!$C$15)^0.25))*General_Model!$C$7/(General_Model!$C$4/1000)+2)*(General_Model!$C$26/A575))</f>
        <v>-0.2069015956529858</v>
      </c>
      <c r="C575" s="13">
        <f t="shared" si="8"/>
        <v>0</v>
      </c>
    </row>
    <row r="576" spans="1:3" x14ac:dyDescent="0.25">
      <c r="A576" s="11">
        <v>0.57400000000000007</v>
      </c>
      <c r="B576" s="12">
        <f>(General_Model!$C$6/General_Model!$C$7)-1/(1+General_Model!$C$26/((1.2+0.2*(General_Model!$C$26/A576)+0.35*SQRT(9.80665*(General_Model!$C$4/1000))/A576)*A576))-(A576^2/(2*9.80665*General_Model!$C$7))*((4*(0.3164/((General_Model!$C$14*A576*(General_Model!$C$4/1000)/General_Model!$C$15)^0.25))*General_Model!$C$7/(General_Model!$C$4/1000)+1)+(4*(0.3164/((General_Model!$C$14*A576*(General_Model!$C$4/1000)/General_Model!$C$15)^0.25))*General_Model!$C$7/(General_Model!$C$4/1000)+2)*(General_Model!$C$26/A576))</f>
        <v>-0.20745784067643486</v>
      </c>
      <c r="C576" s="13">
        <f t="shared" si="8"/>
        <v>0</v>
      </c>
    </row>
    <row r="577" spans="1:3" x14ac:dyDescent="0.25">
      <c r="A577" s="11">
        <v>0.57500000000000007</v>
      </c>
      <c r="B577" s="12">
        <f>(General_Model!$C$6/General_Model!$C$7)-1/(1+General_Model!$C$26/((1.2+0.2*(General_Model!$C$26/A577)+0.35*SQRT(9.80665*(General_Model!$C$4/1000))/A577)*A577))-(A577^2/(2*9.80665*General_Model!$C$7))*((4*(0.3164/((General_Model!$C$14*A577*(General_Model!$C$4/1000)/General_Model!$C$15)^0.25))*General_Model!$C$7/(General_Model!$C$4/1000)+1)+(4*(0.3164/((General_Model!$C$14*A577*(General_Model!$C$4/1000)/General_Model!$C$15)^0.25))*General_Model!$C$7/(General_Model!$C$4/1000)+2)*(General_Model!$C$26/A577))</f>
        <v>-0.20801391719973156</v>
      </c>
      <c r="C577" s="13">
        <f t="shared" si="8"/>
        <v>0</v>
      </c>
    </row>
    <row r="578" spans="1:3" x14ac:dyDescent="0.25">
      <c r="A578" s="11">
        <v>0.57600000000000007</v>
      </c>
      <c r="B578" s="12">
        <f>(General_Model!$C$6/General_Model!$C$7)-1/(1+General_Model!$C$26/((1.2+0.2*(General_Model!$C$26/A578)+0.35*SQRT(9.80665*(General_Model!$C$4/1000))/A578)*A578))-(A578^2/(2*9.80665*General_Model!$C$7))*((4*(0.3164/((General_Model!$C$14*A578*(General_Model!$C$4/1000)/General_Model!$C$15)^0.25))*General_Model!$C$7/(General_Model!$C$4/1000)+1)+(4*(0.3164/((General_Model!$C$14*A578*(General_Model!$C$4/1000)/General_Model!$C$15)^0.25))*General_Model!$C$7/(General_Model!$C$4/1000)+2)*(General_Model!$C$26/A578))</f>
        <v>-0.20856982625074735</v>
      </c>
      <c r="C578" s="13">
        <f t="shared" si="8"/>
        <v>0</v>
      </c>
    </row>
    <row r="579" spans="1:3" x14ac:dyDescent="0.25">
      <c r="A579" s="11">
        <v>0.57700000000000007</v>
      </c>
      <c r="B579" s="12">
        <f>(General_Model!$C$6/General_Model!$C$7)-1/(1+General_Model!$C$26/((1.2+0.2*(General_Model!$C$26/A579)+0.35*SQRT(9.80665*(General_Model!$C$4/1000))/A579)*A579))-(A579^2/(2*9.80665*General_Model!$C$7))*((4*(0.3164/((General_Model!$C$14*A579*(General_Model!$C$4/1000)/General_Model!$C$15)^0.25))*General_Model!$C$7/(General_Model!$C$4/1000)+1)+(4*(0.3164/((General_Model!$C$14*A579*(General_Model!$C$4/1000)/General_Model!$C$15)^0.25))*General_Model!$C$7/(General_Model!$C$4/1000)+2)*(General_Model!$C$26/A579))</f>
        <v>-0.20912556885386727</v>
      </c>
      <c r="C579" s="13">
        <f t="shared" ref="C579:C642" si="9">IF(B579*B580&lt;=0,1,0)</f>
        <v>0</v>
      </c>
    </row>
    <row r="580" spans="1:3" x14ac:dyDescent="0.25">
      <c r="A580" s="11">
        <v>0.57799999999999996</v>
      </c>
      <c r="B580" s="12">
        <f>(General_Model!$C$6/General_Model!$C$7)-1/(1+General_Model!$C$26/((1.2+0.2*(General_Model!$C$26/A580)+0.35*SQRT(9.80665*(General_Model!$C$4/1000))/A580)*A580))-(A580^2/(2*9.80665*General_Model!$C$7))*((4*(0.3164/((General_Model!$C$14*A580*(General_Model!$C$4/1000)/General_Model!$C$15)^0.25))*General_Model!$C$7/(General_Model!$C$4/1000)+1)+(4*(0.3164/((General_Model!$C$14*A580*(General_Model!$C$4/1000)/General_Model!$C$15)^0.25))*General_Model!$C$7/(General_Model!$C$4/1000)+2)*(General_Model!$C$26/A580))</f>
        <v>-0.20968114603000487</v>
      </c>
      <c r="C580" s="13">
        <f t="shared" si="9"/>
        <v>0</v>
      </c>
    </row>
    <row r="581" spans="1:3" x14ac:dyDescent="0.25">
      <c r="A581" s="11">
        <v>0.57899999999999996</v>
      </c>
      <c r="B581" s="12">
        <f>(General_Model!$C$6/General_Model!$C$7)-1/(1+General_Model!$C$26/((1.2+0.2*(General_Model!$C$26/A581)+0.35*SQRT(9.80665*(General_Model!$C$4/1000))/A581)*A581))-(A581^2/(2*9.80665*General_Model!$C$7))*((4*(0.3164/((General_Model!$C$14*A581*(General_Model!$C$4/1000)/General_Model!$C$15)^0.25))*General_Model!$C$7/(General_Model!$C$4/1000)+1)+(4*(0.3164/((General_Model!$C$14*A581*(General_Model!$C$4/1000)/General_Model!$C$15)^0.25))*General_Model!$C$7/(General_Model!$C$4/1000)+2)*(General_Model!$C$26/A581))</f>
        <v>-0.21023655879661718</v>
      </c>
      <c r="C581" s="13">
        <f t="shared" si="9"/>
        <v>0</v>
      </c>
    </row>
    <row r="582" spans="1:3" x14ac:dyDescent="0.25">
      <c r="A582" s="11">
        <v>0.57999999999999996</v>
      </c>
      <c r="B582" s="12">
        <f>(General_Model!$C$6/General_Model!$C$7)-1/(1+General_Model!$C$26/((1.2+0.2*(General_Model!$C$26/A582)+0.35*SQRT(9.80665*(General_Model!$C$4/1000))/A582)*A582))-(A582^2/(2*9.80665*General_Model!$C$7))*((4*(0.3164/((General_Model!$C$14*A582*(General_Model!$C$4/1000)/General_Model!$C$15)^0.25))*General_Model!$C$7/(General_Model!$C$4/1000)+1)+(4*(0.3164/((General_Model!$C$14*A582*(General_Model!$C$4/1000)/General_Model!$C$15)^0.25))*General_Model!$C$7/(General_Model!$C$4/1000)+2)*(General_Model!$C$26/A582))</f>
        <v>-0.2107918081677182</v>
      </c>
      <c r="C582" s="13">
        <f t="shared" si="9"/>
        <v>0</v>
      </c>
    </row>
    <row r="583" spans="1:3" x14ac:dyDescent="0.25">
      <c r="A583" s="11">
        <v>0.58099999999999996</v>
      </c>
      <c r="B583" s="12">
        <f>(General_Model!$C$6/General_Model!$C$7)-1/(1+General_Model!$C$26/((1.2+0.2*(General_Model!$C$26/A583)+0.35*SQRT(9.80665*(General_Model!$C$4/1000))/A583)*A583))-(A583^2/(2*9.80665*General_Model!$C$7))*((4*(0.3164/((General_Model!$C$14*A583*(General_Model!$C$4/1000)/General_Model!$C$15)^0.25))*General_Model!$C$7/(General_Model!$C$4/1000)+1)+(4*(0.3164/((General_Model!$C$14*A583*(General_Model!$C$4/1000)/General_Model!$C$15)^0.25))*General_Model!$C$7/(General_Model!$C$4/1000)+2)*(General_Model!$C$26/A583))</f>
        <v>-0.21134689515389399</v>
      </c>
      <c r="C583" s="13">
        <f t="shared" si="9"/>
        <v>0</v>
      </c>
    </row>
    <row r="584" spans="1:3" x14ac:dyDescent="0.25">
      <c r="A584" s="11">
        <v>0.58199999999999996</v>
      </c>
      <c r="B584" s="12">
        <f>(General_Model!$C$6/General_Model!$C$7)-1/(1+General_Model!$C$26/((1.2+0.2*(General_Model!$C$26/A584)+0.35*SQRT(9.80665*(General_Model!$C$4/1000))/A584)*A584))-(A584^2/(2*9.80665*General_Model!$C$7))*((4*(0.3164/((General_Model!$C$14*A584*(General_Model!$C$4/1000)/General_Model!$C$15)^0.25))*General_Model!$C$7/(General_Model!$C$4/1000)+1)+(4*(0.3164/((General_Model!$C$14*A584*(General_Model!$C$4/1000)/General_Model!$C$15)^0.25))*General_Model!$C$7/(General_Model!$C$4/1000)+2)*(General_Model!$C$26/A584))</f>
        <v>-0.21190182076231664</v>
      </c>
      <c r="C584" s="13">
        <f t="shared" si="9"/>
        <v>0</v>
      </c>
    </row>
    <row r="585" spans="1:3" x14ac:dyDescent="0.25">
      <c r="A585" s="11">
        <v>0.58299999999999996</v>
      </c>
      <c r="B585" s="12">
        <f>(General_Model!$C$6/General_Model!$C$7)-1/(1+General_Model!$C$26/((1.2+0.2*(General_Model!$C$26/A585)+0.35*SQRT(9.80665*(General_Model!$C$4/1000))/A585)*A585))-(A585^2/(2*9.80665*General_Model!$C$7))*((4*(0.3164/((General_Model!$C$14*A585*(General_Model!$C$4/1000)/General_Model!$C$15)^0.25))*General_Model!$C$7/(General_Model!$C$4/1000)+1)+(4*(0.3164/((General_Model!$C$14*A585*(General_Model!$C$4/1000)/General_Model!$C$15)^0.25))*General_Model!$C$7/(General_Model!$C$4/1000)+2)*(General_Model!$C$26/A585))</f>
        <v>-0.21245658599675873</v>
      </c>
      <c r="C585" s="13">
        <f t="shared" si="9"/>
        <v>0</v>
      </c>
    </row>
    <row r="586" spans="1:3" x14ac:dyDescent="0.25">
      <c r="A586" s="11">
        <v>0.58399999999999996</v>
      </c>
      <c r="B586" s="12">
        <f>(General_Model!$C$6/General_Model!$C$7)-1/(1+General_Model!$C$26/((1.2+0.2*(General_Model!$C$26/A586)+0.35*SQRT(9.80665*(General_Model!$C$4/1000))/A586)*A586))-(A586^2/(2*9.80665*General_Model!$C$7))*((4*(0.3164/((General_Model!$C$14*A586*(General_Model!$C$4/1000)/General_Model!$C$15)^0.25))*General_Model!$C$7/(General_Model!$C$4/1000)+1)+(4*(0.3164/((General_Model!$C$14*A586*(General_Model!$C$4/1000)/General_Model!$C$15)^0.25))*General_Model!$C$7/(General_Model!$C$4/1000)+2)*(General_Model!$C$26/A586))</f>
        <v>-0.21301119185760717</v>
      </c>
      <c r="C586" s="13">
        <f t="shared" si="9"/>
        <v>0</v>
      </c>
    </row>
    <row r="587" spans="1:3" x14ac:dyDescent="0.25">
      <c r="A587" s="11">
        <v>0.58499999999999996</v>
      </c>
      <c r="B587" s="12">
        <f>(General_Model!$C$6/General_Model!$C$7)-1/(1+General_Model!$C$26/((1.2+0.2*(General_Model!$C$26/A587)+0.35*SQRT(9.80665*(General_Model!$C$4/1000))/A587)*A587))-(A587^2/(2*9.80665*General_Model!$C$7))*((4*(0.3164/((General_Model!$C$14*A587*(General_Model!$C$4/1000)/General_Model!$C$15)^0.25))*General_Model!$C$7/(General_Model!$C$4/1000)+1)+(4*(0.3164/((General_Model!$C$14*A587*(General_Model!$C$4/1000)/General_Model!$C$15)^0.25))*General_Model!$C$7/(General_Model!$C$4/1000)+2)*(General_Model!$C$26/A587))</f>
        <v>-0.21356563934187753</v>
      </c>
      <c r="C587" s="13">
        <f t="shared" si="9"/>
        <v>0</v>
      </c>
    </row>
    <row r="588" spans="1:3" x14ac:dyDescent="0.25">
      <c r="A588" s="11">
        <v>0.58599999999999997</v>
      </c>
      <c r="B588" s="12">
        <f>(General_Model!$C$6/General_Model!$C$7)-1/(1+General_Model!$C$26/((1.2+0.2*(General_Model!$C$26/A588)+0.35*SQRT(9.80665*(General_Model!$C$4/1000))/A588)*A588))-(A588^2/(2*9.80665*General_Model!$C$7))*((4*(0.3164/((General_Model!$C$14*A588*(General_Model!$C$4/1000)/General_Model!$C$15)^0.25))*General_Model!$C$7/(General_Model!$C$4/1000)+1)+(4*(0.3164/((General_Model!$C$14*A588*(General_Model!$C$4/1000)/General_Model!$C$15)^0.25))*General_Model!$C$7/(General_Model!$C$4/1000)+2)*(General_Model!$C$26/A588))</f>
        <v>-0.21411992944322775</v>
      </c>
      <c r="C588" s="13">
        <f t="shared" si="9"/>
        <v>0</v>
      </c>
    </row>
    <row r="589" spans="1:3" x14ac:dyDescent="0.25">
      <c r="A589" s="11">
        <v>0.58699999999999997</v>
      </c>
      <c r="B589" s="12">
        <f>(General_Model!$C$6/General_Model!$C$7)-1/(1+General_Model!$C$26/((1.2+0.2*(General_Model!$C$26/A589)+0.35*SQRT(9.80665*(General_Model!$C$4/1000))/A589)*A589))-(A589^2/(2*9.80665*General_Model!$C$7))*((4*(0.3164/((General_Model!$C$14*A589*(General_Model!$C$4/1000)/General_Model!$C$15)^0.25))*General_Model!$C$7/(General_Model!$C$4/1000)+1)+(4*(0.3164/((General_Model!$C$14*A589*(General_Model!$C$4/1000)/General_Model!$C$15)^0.25))*General_Model!$C$7/(General_Model!$C$4/1000)+2)*(General_Model!$C$26/A589))</f>
        <v>-0.21467406315197271</v>
      </c>
      <c r="C589" s="13">
        <f t="shared" si="9"/>
        <v>0</v>
      </c>
    </row>
    <row r="590" spans="1:3" x14ac:dyDescent="0.25">
      <c r="A590" s="11">
        <v>0.58799999999999997</v>
      </c>
      <c r="B590" s="12">
        <f>(General_Model!$C$6/General_Model!$C$7)-1/(1+General_Model!$C$26/((1.2+0.2*(General_Model!$C$26/A590)+0.35*SQRT(9.80665*(General_Model!$C$4/1000))/A590)*A590))-(A590^2/(2*9.80665*General_Model!$C$7))*((4*(0.3164/((General_Model!$C$14*A590*(General_Model!$C$4/1000)/General_Model!$C$15)^0.25))*General_Model!$C$7/(General_Model!$C$4/1000)+1)+(4*(0.3164/((General_Model!$C$14*A590*(General_Model!$C$4/1000)/General_Model!$C$15)^0.25))*General_Model!$C$7/(General_Model!$C$4/1000)+2)*(General_Model!$C$26/A590))</f>
        <v>-0.21522804145509705</v>
      </c>
      <c r="C590" s="13">
        <f t="shared" si="9"/>
        <v>0</v>
      </c>
    </row>
    <row r="591" spans="1:3" x14ac:dyDescent="0.25">
      <c r="A591" s="11">
        <v>0.58899999999999997</v>
      </c>
      <c r="B591" s="12">
        <f>(General_Model!$C$6/General_Model!$C$7)-1/(1+General_Model!$C$26/((1.2+0.2*(General_Model!$C$26/A591)+0.35*SQRT(9.80665*(General_Model!$C$4/1000))/A591)*A591))-(A591^2/(2*9.80665*General_Model!$C$7))*((4*(0.3164/((General_Model!$C$14*A591*(General_Model!$C$4/1000)/General_Model!$C$15)^0.25))*General_Model!$C$7/(General_Model!$C$4/1000)+1)+(4*(0.3164/((General_Model!$C$14*A591*(General_Model!$C$4/1000)/General_Model!$C$15)^0.25))*General_Model!$C$7/(General_Model!$C$4/1000)+2)*(General_Model!$C$26/A591))</f>
        <v>-0.21578186533627025</v>
      </c>
      <c r="C591" s="13">
        <f t="shared" si="9"/>
        <v>0</v>
      </c>
    </row>
    <row r="592" spans="1:3" x14ac:dyDescent="0.25">
      <c r="A592" s="11">
        <v>0.59</v>
      </c>
      <c r="B592" s="12">
        <f>(General_Model!$C$6/General_Model!$C$7)-1/(1+General_Model!$C$26/((1.2+0.2*(General_Model!$C$26/A592)+0.35*SQRT(9.80665*(General_Model!$C$4/1000))/A592)*A592))-(A592^2/(2*9.80665*General_Model!$C$7))*((4*(0.3164/((General_Model!$C$14*A592*(General_Model!$C$4/1000)/General_Model!$C$15)^0.25))*General_Model!$C$7/(General_Model!$C$4/1000)+1)+(4*(0.3164/((General_Model!$C$14*A592*(General_Model!$C$4/1000)/General_Model!$C$15)^0.25))*General_Model!$C$7/(General_Model!$C$4/1000)+2)*(General_Model!$C$26/A592))</f>
        <v>-0.21633553577585912</v>
      </c>
      <c r="C592" s="13">
        <f t="shared" si="9"/>
        <v>0</v>
      </c>
    </row>
    <row r="593" spans="1:3" x14ac:dyDescent="0.25">
      <c r="A593" s="11">
        <v>0.59099999999999997</v>
      </c>
      <c r="B593" s="12">
        <f>(General_Model!$C$6/General_Model!$C$7)-1/(1+General_Model!$C$26/((1.2+0.2*(General_Model!$C$26/A593)+0.35*SQRT(9.80665*(General_Model!$C$4/1000))/A593)*A593))-(A593^2/(2*9.80665*General_Model!$C$7))*((4*(0.3164/((General_Model!$C$14*A593*(General_Model!$C$4/1000)/General_Model!$C$15)^0.25))*General_Model!$C$7/(General_Model!$C$4/1000)+1)+(4*(0.3164/((General_Model!$C$14*A593*(General_Model!$C$4/1000)/General_Model!$C$15)^0.25))*General_Model!$C$7/(General_Model!$C$4/1000)+2)*(General_Model!$C$26/A593))</f>
        <v>-0.21688905375094239</v>
      </c>
      <c r="C593" s="13">
        <f t="shared" si="9"/>
        <v>0</v>
      </c>
    </row>
    <row r="594" spans="1:3" x14ac:dyDescent="0.25">
      <c r="A594" s="11">
        <v>0.59199999999999997</v>
      </c>
      <c r="B594" s="12">
        <f>(General_Model!$C$6/General_Model!$C$7)-1/(1+General_Model!$C$26/((1.2+0.2*(General_Model!$C$26/A594)+0.35*SQRT(9.80665*(General_Model!$C$4/1000))/A594)*A594))-(A594^2/(2*9.80665*General_Model!$C$7))*((4*(0.3164/((General_Model!$C$14*A594*(General_Model!$C$4/1000)/General_Model!$C$15)^0.25))*General_Model!$C$7/(General_Model!$C$4/1000)+1)+(4*(0.3164/((General_Model!$C$14*A594*(General_Model!$C$4/1000)/General_Model!$C$15)^0.25))*General_Model!$C$7/(General_Model!$C$4/1000)+2)*(General_Model!$C$26/A594))</f>
        <v>-0.21744242023532373</v>
      </c>
      <c r="C594" s="13">
        <f t="shared" si="9"/>
        <v>0</v>
      </c>
    </row>
    <row r="595" spans="1:3" x14ac:dyDescent="0.25">
      <c r="A595" s="11">
        <v>0.59299999999999997</v>
      </c>
      <c r="B595" s="12">
        <f>(General_Model!$C$6/General_Model!$C$7)-1/(1+General_Model!$C$26/((1.2+0.2*(General_Model!$C$26/A595)+0.35*SQRT(9.80665*(General_Model!$C$4/1000))/A595)*A595))-(A595^2/(2*9.80665*General_Model!$C$7))*((4*(0.3164/((General_Model!$C$14*A595*(General_Model!$C$4/1000)/General_Model!$C$15)^0.25))*General_Model!$C$7/(General_Model!$C$4/1000)+1)+(4*(0.3164/((General_Model!$C$14*A595*(General_Model!$C$4/1000)/General_Model!$C$15)^0.25))*General_Model!$C$7/(General_Model!$C$4/1000)+2)*(General_Model!$C$26/A595))</f>
        <v>-0.21799563619954573</v>
      </c>
      <c r="C595" s="13">
        <f t="shared" si="9"/>
        <v>0</v>
      </c>
    </row>
    <row r="596" spans="1:3" x14ac:dyDescent="0.25">
      <c r="A596" s="11">
        <v>0.59399999999999997</v>
      </c>
      <c r="B596" s="12">
        <f>(General_Model!$C$6/General_Model!$C$7)-1/(1+General_Model!$C$26/((1.2+0.2*(General_Model!$C$26/A596)+0.35*SQRT(9.80665*(General_Model!$C$4/1000))/A596)*A596))-(A596^2/(2*9.80665*General_Model!$C$7))*((4*(0.3164/((General_Model!$C$14*A596*(General_Model!$C$4/1000)/General_Model!$C$15)^0.25))*General_Model!$C$7/(General_Model!$C$4/1000)+1)+(4*(0.3164/((General_Model!$C$14*A596*(General_Model!$C$4/1000)/General_Model!$C$15)^0.25))*General_Model!$C$7/(General_Model!$C$4/1000)+2)*(General_Model!$C$26/A596))</f>
        <v>-0.21854870261090262</v>
      </c>
      <c r="C596" s="13">
        <f t="shared" si="9"/>
        <v>0</v>
      </c>
    </row>
    <row r="597" spans="1:3" x14ac:dyDescent="0.25">
      <c r="A597" s="11">
        <v>0.59499999999999997</v>
      </c>
      <c r="B597" s="12">
        <f>(General_Model!$C$6/General_Model!$C$7)-1/(1+General_Model!$C$26/((1.2+0.2*(General_Model!$C$26/A597)+0.35*SQRT(9.80665*(General_Model!$C$4/1000))/A597)*A597))-(A597^2/(2*9.80665*General_Model!$C$7))*((4*(0.3164/((General_Model!$C$14*A597*(General_Model!$C$4/1000)/General_Model!$C$15)^0.25))*General_Model!$C$7/(General_Model!$C$4/1000)+1)+(4*(0.3164/((General_Model!$C$14*A597*(General_Model!$C$4/1000)/General_Model!$C$15)^0.25))*General_Model!$C$7/(General_Model!$C$4/1000)+2)*(General_Model!$C$26/A597))</f>
        <v>-0.21910162043345469</v>
      </c>
      <c r="C597" s="13">
        <f t="shared" si="9"/>
        <v>0</v>
      </c>
    </row>
    <row r="598" spans="1:3" x14ac:dyDescent="0.25">
      <c r="A598" s="11">
        <v>0.59599999999999997</v>
      </c>
      <c r="B598" s="12">
        <f>(General_Model!$C$6/General_Model!$C$7)-1/(1+General_Model!$C$26/((1.2+0.2*(General_Model!$C$26/A598)+0.35*SQRT(9.80665*(General_Model!$C$4/1000))/A598)*A598))-(A598^2/(2*9.80665*General_Model!$C$7))*((4*(0.3164/((General_Model!$C$14*A598*(General_Model!$C$4/1000)/General_Model!$C$15)^0.25))*General_Model!$C$7/(General_Model!$C$4/1000)+1)+(4*(0.3164/((General_Model!$C$14*A598*(General_Model!$C$4/1000)/General_Model!$C$15)^0.25))*General_Model!$C$7/(General_Model!$C$4/1000)+2)*(General_Model!$C$26/A598))</f>
        <v>-0.21965439062804079</v>
      </c>
      <c r="C598" s="13">
        <f t="shared" si="9"/>
        <v>0</v>
      </c>
    </row>
    <row r="599" spans="1:3" x14ac:dyDescent="0.25">
      <c r="A599" s="11">
        <v>0.59699999999999998</v>
      </c>
      <c r="B599" s="12">
        <f>(General_Model!$C$6/General_Model!$C$7)-1/(1+General_Model!$C$26/((1.2+0.2*(General_Model!$C$26/A599)+0.35*SQRT(9.80665*(General_Model!$C$4/1000))/A599)*A599))-(A599^2/(2*9.80665*General_Model!$C$7))*((4*(0.3164/((General_Model!$C$14*A599*(General_Model!$C$4/1000)/General_Model!$C$15)^0.25))*General_Model!$C$7/(General_Model!$C$4/1000)+1)+(4*(0.3164/((General_Model!$C$14*A599*(General_Model!$C$4/1000)/General_Model!$C$15)^0.25))*General_Model!$C$7/(General_Model!$C$4/1000)+2)*(General_Model!$C$26/A599))</f>
        <v>-0.22020701415229194</v>
      </c>
      <c r="C599" s="13">
        <f t="shared" si="9"/>
        <v>0</v>
      </c>
    </row>
    <row r="600" spans="1:3" x14ac:dyDescent="0.25">
      <c r="A600" s="11">
        <v>0.59799999999999998</v>
      </c>
      <c r="B600" s="12">
        <f>(General_Model!$C$6/General_Model!$C$7)-1/(1+General_Model!$C$26/((1.2+0.2*(General_Model!$C$26/A600)+0.35*SQRT(9.80665*(General_Model!$C$4/1000))/A600)*A600))-(A600^2/(2*9.80665*General_Model!$C$7))*((4*(0.3164/((General_Model!$C$14*A600*(General_Model!$C$4/1000)/General_Model!$C$15)^0.25))*General_Model!$C$7/(General_Model!$C$4/1000)+1)+(4*(0.3164/((General_Model!$C$14*A600*(General_Model!$C$4/1000)/General_Model!$C$15)^0.25))*General_Model!$C$7/(General_Model!$C$4/1000)+2)*(General_Model!$C$26/A600))</f>
        <v>-0.22075949196064429</v>
      </c>
      <c r="C600" s="13">
        <f t="shared" si="9"/>
        <v>0</v>
      </c>
    </row>
    <row r="601" spans="1:3" x14ac:dyDescent="0.25">
      <c r="A601" s="11">
        <v>0.59899999999999998</v>
      </c>
      <c r="B601" s="12">
        <f>(General_Model!$C$6/General_Model!$C$7)-1/(1+General_Model!$C$26/((1.2+0.2*(General_Model!$C$26/A601)+0.35*SQRT(9.80665*(General_Model!$C$4/1000))/A601)*A601))-(A601^2/(2*9.80665*General_Model!$C$7))*((4*(0.3164/((General_Model!$C$14*A601*(General_Model!$C$4/1000)/General_Model!$C$15)^0.25))*General_Model!$C$7/(General_Model!$C$4/1000)+1)+(4*(0.3164/((General_Model!$C$14*A601*(General_Model!$C$4/1000)/General_Model!$C$15)^0.25))*General_Model!$C$7/(General_Model!$C$4/1000)+2)*(General_Model!$C$26/A601))</f>
        <v>-0.2213118250043527</v>
      </c>
      <c r="C601" s="13">
        <f t="shared" si="9"/>
        <v>0</v>
      </c>
    </row>
    <row r="602" spans="1:3" x14ac:dyDescent="0.25">
      <c r="A602" s="11">
        <v>0.6</v>
      </c>
      <c r="B602" s="12">
        <f>(General_Model!$C$6/General_Model!$C$7)-1/(1+General_Model!$C$26/((1.2+0.2*(General_Model!$C$26/A602)+0.35*SQRT(9.80665*(General_Model!$C$4/1000))/A602)*A602))-(A602^2/(2*9.80665*General_Model!$C$7))*((4*(0.3164/((General_Model!$C$14*A602*(General_Model!$C$4/1000)/General_Model!$C$15)^0.25))*General_Model!$C$7/(General_Model!$C$4/1000)+1)+(4*(0.3164/((General_Model!$C$14*A602*(General_Model!$C$4/1000)/General_Model!$C$15)^0.25))*General_Model!$C$7/(General_Model!$C$4/1000)+2)*(General_Model!$C$26/A602))</f>
        <v>-0.22186401423150334</v>
      </c>
      <c r="C602" s="13">
        <f t="shared" si="9"/>
        <v>0</v>
      </c>
    </row>
    <row r="603" spans="1:3" x14ac:dyDescent="0.25">
      <c r="A603" s="11">
        <v>0.60099999999999998</v>
      </c>
      <c r="B603" s="12">
        <f>(General_Model!$C$6/General_Model!$C$7)-1/(1+General_Model!$C$26/((1.2+0.2*(General_Model!$C$26/A603)+0.35*SQRT(9.80665*(General_Model!$C$4/1000))/A603)*A603))-(A603^2/(2*9.80665*General_Model!$C$7))*((4*(0.3164/((General_Model!$C$14*A603*(General_Model!$C$4/1000)/General_Model!$C$15)^0.25))*General_Model!$C$7/(General_Model!$C$4/1000)+1)+(4*(0.3164/((General_Model!$C$14*A603*(General_Model!$C$4/1000)/General_Model!$C$15)^0.25))*General_Model!$C$7/(General_Model!$C$4/1000)+2)*(General_Model!$C$26/A603))</f>
        <v>-0.2224160605870267</v>
      </c>
      <c r="C603" s="13">
        <f t="shared" si="9"/>
        <v>0</v>
      </c>
    </row>
    <row r="604" spans="1:3" x14ac:dyDescent="0.25">
      <c r="A604" s="11">
        <v>0.60199999999999998</v>
      </c>
      <c r="B604" s="12">
        <f>(General_Model!$C$6/General_Model!$C$7)-1/(1+General_Model!$C$26/((1.2+0.2*(General_Model!$C$26/A604)+0.35*SQRT(9.80665*(General_Model!$C$4/1000))/A604)*A604))-(A604^2/(2*9.80665*General_Model!$C$7))*((4*(0.3164/((General_Model!$C$14*A604*(General_Model!$C$4/1000)/General_Model!$C$15)^0.25))*General_Model!$C$7/(General_Model!$C$4/1000)+1)+(4*(0.3164/((General_Model!$C$14*A604*(General_Model!$C$4/1000)/General_Model!$C$15)^0.25))*General_Model!$C$7/(General_Model!$C$4/1000)+2)*(General_Model!$C$26/A604))</f>
        <v>-0.22296796501271088</v>
      </c>
      <c r="C604" s="13">
        <f t="shared" si="9"/>
        <v>0</v>
      </c>
    </row>
    <row r="605" spans="1:3" x14ac:dyDescent="0.25">
      <c r="A605" s="11">
        <v>0.60299999999999998</v>
      </c>
      <c r="B605" s="12">
        <f>(General_Model!$C$6/General_Model!$C$7)-1/(1+General_Model!$C$26/((1.2+0.2*(General_Model!$C$26/A605)+0.35*SQRT(9.80665*(General_Model!$C$4/1000))/A605)*A605))-(A605^2/(2*9.80665*General_Model!$C$7))*((4*(0.3164/((General_Model!$C$14*A605*(General_Model!$C$4/1000)/General_Model!$C$15)^0.25))*General_Model!$C$7/(General_Model!$C$4/1000)+1)+(4*(0.3164/((General_Model!$C$14*A605*(General_Model!$C$4/1000)/General_Model!$C$15)^0.25))*General_Model!$C$7/(General_Model!$C$4/1000)+2)*(General_Model!$C$26/A605))</f>
        <v>-0.22351972844721432</v>
      </c>
      <c r="C605" s="13">
        <f t="shared" si="9"/>
        <v>0</v>
      </c>
    </row>
    <row r="606" spans="1:3" x14ac:dyDescent="0.25">
      <c r="A606" s="11">
        <v>0.60399999999999998</v>
      </c>
      <c r="B606" s="12">
        <f>(General_Model!$C$6/General_Model!$C$7)-1/(1+General_Model!$C$26/((1.2+0.2*(General_Model!$C$26/A606)+0.35*SQRT(9.80665*(General_Model!$C$4/1000))/A606)*A606))-(A606^2/(2*9.80665*General_Model!$C$7))*((4*(0.3164/((General_Model!$C$14*A606*(General_Model!$C$4/1000)/General_Model!$C$15)^0.25))*General_Model!$C$7/(General_Model!$C$4/1000)+1)+(4*(0.3164/((General_Model!$C$14*A606*(General_Model!$C$4/1000)/General_Model!$C$15)^0.25))*General_Model!$C$7/(General_Model!$C$4/1000)+2)*(General_Model!$C$26/A606))</f>
        <v>-0.22407135182607829</v>
      </c>
      <c r="C606" s="13">
        <f t="shared" si="9"/>
        <v>0</v>
      </c>
    </row>
    <row r="607" spans="1:3" x14ac:dyDescent="0.25">
      <c r="A607" s="11">
        <v>0.60499999999999998</v>
      </c>
      <c r="B607" s="12">
        <f>(General_Model!$C$6/General_Model!$C$7)-1/(1+General_Model!$C$26/((1.2+0.2*(General_Model!$C$26/A607)+0.35*SQRT(9.80665*(General_Model!$C$4/1000))/A607)*A607))-(A607^2/(2*9.80665*General_Model!$C$7))*((4*(0.3164/((General_Model!$C$14*A607*(General_Model!$C$4/1000)/General_Model!$C$15)^0.25))*General_Model!$C$7/(General_Model!$C$4/1000)+1)+(4*(0.3164/((General_Model!$C$14*A607*(General_Model!$C$4/1000)/General_Model!$C$15)^0.25))*General_Model!$C$7/(General_Model!$C$4/1000)+2)*(General_Model!$C$26/A607))</f>
        <v>-0.22462283608174</v>
      </c>
      <c r="C607" s="13">
        <f t="shared" si="9"/>
        <v>0</v>
      </c>
    </row>
    <row r="608" spans="1:3" x14ac:dyDescent="0.25">
      <c r="A608" s="11">
        <v>0.60599999999999998</v>
      </c>
      <c r="B608" s="12">
        <f>(General_Model!$C$6/General_Model!$C$7)-1/(1+General_Model!$C$26/((1.2+0.2*(General_Model!$C$26/A608)+0.35*SQRT(9.80665*(General_Model!$C$4/1000))/A608)*A608))-(A608^2/(2*9.80665*General_Model!$C$7))*((4*(0.3164/((General_Model!$C$14*A608*(General_Model!$C$4/1000)/General_Model!$C$15)^0.25))*General_Model!$C$7/(General_Model!$C$4/1000)+1)+(4*(0.3164/((General_Model!$C$14*A608*(General_Model!$C$4/1000)/General_Model!$C$15)^0.25))*General_Model!$C$7/(General_Model!$C$4/1000)+2)*(General_Model!$C$26/A608))</f>
        <v>-0.22517418214354515</v>
      </c>
      <c r="C608" s="13">
        <f t="shared" si="9"/>
        <v>0</v>
      </c>
    </row>
    <row r="609" spans="1:3" x14ac:dyDescent="0.25">
      <c r="A609" s="11">
        <v>0.60699999999999998</v>
      </c>
      <c r="B609" s="12">
        <f>(General_Model!$C$6/General_Model!$C$7)-1/(1+General_Model!$C$26/((1.2+0.2*(General_Model!$C$26/A609)+0.35*SQRT(9.80665*(General_Model!$C$4/1000))/A609)*A609))-(A609^2/(2*9.80665*General_Model!$C$7))*((4*(0.3164/((General_Model!$C$14*A609*(General_Model!$C$4/1000)/General_Model!$C$15)^0.25))*General_Model!$C$7/(General_Model!$C$4/1000)+1)+(4*(0.3164/((General_Model!$C$14*A609*(General_Model!$C$4/1000)/General_Model!$C$15)^0.25))*General_Model!$C$7/(General_Model!$C$4/1000)+2)*(General_Model!$C$26/A609))</f>
        <v>-0.22572539093776048</v>
      </c>
      <c r="C609" s="13">
        <f t="shared" si="9"/>
        <v>0</v>
      </c>
    </row>
    <row r="610" spans="1:3" x14ac:dyDescent="0.25">
      <c r="A610" s="11">
        <v>0.60799999999999998</v>
      </c>
      <c r="B610" s="12">
        <f>(General_Model!$C$6/General_Model!$C$7)-1/(1+General_Model!$C$26/((1.2+0.2*(General_Model!$C$26/A610)+0.35*SQRT(9.80665*(General_Model!$C$4/1000))/A610)*A610))-(A610^2/(2*9.80665*General_Model!$C$7))*((4*(0.3164/((General_Model!$C$14*A610*(General_Model!$C$4/1000)/General_Model!$C$15)^0.25))*General_Model!$C$7/(General_Model!$C$4/1000)+1)+(4*(0.3164/((General_Model!$C$14*A610*(General_Model!$C$4/1000)/General_Model!$C$15)^0.25))*General_Model!$C$7/(General_Model!$C$4/1000)+2)*(General_Model!$C$26/A610))</f>
        <v>-0.22627646338758683</v>
      </c>
      <c r="C610" s="13">
        <f t="shared" si="9"/>
        <v>0</v>
      </c>
    </row>
    <row r="611" spans="1:3" x14ac:dyDescent="0.25">
      <c r="A611" s="11">
        <v>0.60899999999999999</v>
      </c>
      <c r="B611" s="12">
        <f>(General_Model!$C$6/General_Model!$C$7)-1/(1+General_Model!$C$26/((1.2+0.2*(General_Model!$C$26/A611)+0.35*SQRT(9.80665*(General_Model!$C$4/1000))/A611)*A611))-(A611^2/(2*9.80665*General_Model!$C$7))*((4*(0.3164/((General_Model!$C$14*A611*(General_Model!$C$4/1000)/General_Model!$C$15)^0.25))*General_Model!$C$7/(General_Model!$C$4/1000)+1)+(4*(0.3164/((General_Model!$C$14*A611*(General_Model!$C$4/1000)/General_Model!$C$15)^0.25))*General_Model!$C$7/(General_Model!$C$4/1000)+2)*(General_Model!$C$26/A611))</f>
        <v>-0.22682740041317037</v>
      </c>
      <c r="C611" s="13">
        <f t="shared" si="9"/>
        <v>0</v>
      </c>
    </row>
    <row r="612" spans="1:3" x14ac:dyDescent="0.25">
      <c r="A612" s="11">
        <v>0.61</v>
      </c>
      <c r="B612" s="12">
        <f>(General_Model!$C$6/General_Model!$C$7)-1/(1+General_Model!$C$26/((1.2+0.2*(General_Model!$C$26/A612)+0.35*SQRT(9.80665*(General_Model!$C$4/1000))/A612)*A612))-(A612^2/(2*9.80665*General_Model!$C$7))*((4*(0.3164/((General_Model!$C$14*A612*(General_Model!$C$4/1000)/General_Model!$C$15)^0.25))*General_Model!$C$7/(General_Model!$C$4/1000)+1)+(4*(0.3164/((General_Model!$C$14*A612*(General_Model!$C$4/1000)/General_Model!$C$15)^0.25))*General_Model!$C$7/(General_Model!$C$4/1000)+2)*(General_Model!$C$26/A612))</f>
        <v>-0.2273782029316164</v>
      </c>
      <c r="C612" s="13">
        <f t="shared" si="9"/>
        <v>0</v>
      </c>
    </row>
    <row r="613" spans="1:3" x14ac:dyDescent="0.25">
      <c r="A613" s="11">
        <v>0.61099999999999999</v>
      </c>
      <c r="B613" s="12">
        <f>(General_Model!$C$6/General_Model!$C$7)-1/(1+General_Model!$C$26/((1.2+0.2*(General_Model!$C$26/A613)+0.35*SQRT(9.80665*(General_Model!$C$4/1000))/A613)*A613))-(A613^2/(2*9.80665*General_Model!$C$7))*((4*(0.3164/((General_Model!$C$14*A613*(General_Model!$C$4/1000)/General_Model!$C$15)^0.25))*General_Model!$C$7/(General_Model!$C$4/1000)+1)+(4*(0.3164/((General_Model!$C$14*A613*(General_Model!$C$4/1000)/General_Model!$C$15)^0.25))*General_Model!$C$7/(General_Model!$C$4/1000)+2)*(General_Model!$C$26/A613))</f>
        <v>-0.22792887185700142</v>
      </c>
      <c r="C613" s="13">
        <f t="shared" si="9"/>
        <v>0</v>
      </c>
    </row>
    <row r="614" spans="1:3" x14ac:dyDescent="0.25">
      <c r="A614" s="11">
        <v>0.61199999999999999</v>
      </c>
      <c r="B614" s="12">
        <f>(General_Model!$C$6/General_Model!$C$7)-1/(1+General_Model!$C$26/((1.2+0.2*(General_Model!$C$26/A614)+0.35*SQRT(9.80665*(General_Model!$C$4/1000))/A614)*A614))-(A614^2/(2*9.80665*General_Model!$C$7))*((4*(0.3164/((General_Model!$C$14*A614*(General_Model!$C$4/1000)/General_Model!$C$15)^0.25))*General_Model!$C$7/(General_Model!$C$4/1000)+1)+(4*(0.3164/((General_Model!$C$14*A614*(General_Model!$C$4/1000)/General_Model!$C$15)^0.25))*General_Model!$C$7/(General_Model!$C$4/1000)+2)*(General_Model!$C$26/A614))</f>
        <v>-0.22847940810038464</v>
      </c>
      <c r="C614" s="13">
        <f t="shared" si="9"/>
        <v>0</v>
      </c>
    </row>
    <row r="615" spans="1:3" x14ac:dyDescent="0.25">
      <c r="A615" s="11">
        <v>0.61299999999999999</v>
      </c>
      <c r="B615" s="12">
        <f>(General_Model!$C$6/General_Model!$C$7)-1/(1+General_Model!$C$26/((1.2+0.2*(General_Model!$C$26/A615)+0.35*SQRT(9.80665*(General_Model!$C$4/1000))/A615)*A615))-(A615^2/(2*9.80665*General_Model!$C$7))*((4*(0.3164/((General_Model!$C$14*A615*(General_Model!$C$4/1000)/General_Model!$C$15)^0.25))*General_Model!$C$7/(General_Model!$C$4/1000)+1)+(4*(0.3164/((General_Model!$C$14*A615*(General_Model!$C$4/1000)/General_Model!$C$15)^0.25))*General_Model!$C$7/(General_Model!$C$4/1000)+2)*(General_Model!$C$26/A615))</f>
        <v>-0.22902981256982116</v>
      </c>
      <c r="C615" s="13">
        <f t="shared" si="9"/>
        <v>0</v>
      </c>
    </row>
    <row r="616" spans="1:3" x14ac:dyDescent="0.25">
      <c r="A616" s="11">
        <v>0.61399999999999999</v>
      </c>
      <c r="B616" s="12">
        <f>(General_Model!$C$6/General_Model!$C$7)-1/(1+General_Model!$C$26/((1.2+0.2*(General_Model!$C$26/A616)+0.35*SQRT(9.80665*(General_Model!$C$4/1000))/A616)*A616))-(A616^2/(2*9.80665*General_Model!$C$7))*((4*(0.3164/((General_Model!$C$14*A616*(General_Model!$C$4/1000)/General_Model!$C$15)^0.25))*General_Model!$C$7/(General_Model!$C$4/1000)+1)+(4*(0.3164/((General_Model!$C$14*A616*(General_Model!$C$4/1000)/General_Model!$C$15)^0.25))*General_Model!$C$7/(General_Model!$C$4/1000)+2)*(General_Model!$C$26/A616))</f>
        <v>-0.22958008617037362</v>
      </c>
      <c r="C616" s="13">
        <f t="shared" si="9"/>
        <v>0</v>
      </c>
    </row>
    <row r="617" spans="1:3" x14ac:dyDescent="0.25">
      <c r="A617" s="11">
        <v>0.61499999999999999</v>
      </c>
      <c r="B617" s="12">
        <f>(General_Model!$C$6/General_Model!$C$7)-1/(1+General_Model!$C$26/((1.2+0.2*(General_Model!$C$26/A617)+0.35*SQRT(9.80665*(General_Model!$C$4/1000))/A617)*A617))-(A617^2/(2*9.80665*General_Model!$C$7))*((4*(0.3164/((General_Model!$C$14*A617*(General_Model!$C$4/1000)/General_Model!$C$15)^0.25))*General_Model!$C$7/(General_Model!$C$4/1000)+1)+(4*(0.3164/((General_Model!$C$14*A617*(General_Model!$C$4/1000)/General_Model!$C$15)^0.25))*General_Model!$C$7/(General_Model!$C$4/1000)+2)*(General_Model!$C$26/A617))</f>
        <v>-0.23013022980412454</v>
      </c>
      <c r="C617" s="13">
        <f t="shared" si="9"/>
        <v>0</v>
      </c>
    </row>
    <row r="618" spans="1:3" x14ac:dyDescent="0.25">
      <c r="A618" s="11">
        <v>0.61599999999999999</v>
      </c>
      <c r="B618" s="12">
        <f>(General_Model!$C$6/General_Model!$C$7)-1/(1+General_Model!$C$26/((1.2+0.2*(General_Model!$C$26/A618)+0.35*SQRT(9.80665*(General_Model!$C$4/1000))/A618)*A618))-(A618^2/(2*9.80665*General_Model!$C$7))*((4*(0.3164/((General_Model!$C$14*A618*(General_Model!$C$4/1000)/General_Model!$C$15)^0.25))*General_Model!$C$7/(General_Model!$C$4/1000)+1)+(4*(0.3164/((General_Model!$C$14*A618*(General_Model!$C$4/1000)/General_Model!$C$15)^0.25))*General_Model!$C$7/(General_Model!$C$4/1000)+2)*(General_Model!$C$26/A618))</f>
        <v>-0.23068024437018841</v>
      </c>
      <c r="C618" s="13">
        <f t="shared" si="9"/>
        <v>0</v>
      </c>
    </row>
    <row r="619" spans="1:3" x14ac:dyDescent="0.25">
      <c r="A619" s="11">
        <v>0.61699999999999999</v>
      </c>
      <c r="B619" s="12">
        <f>(General_Model!$C$6/General_Model!$C$7)-1/(1+General_Model!$C$26/((1.2+0.2*(General_Model!$C$26/A619)+0.35*SQRT(9.80665*(General_Model!$C$4/1000))/A619)*A619))-(A619^2/(2*9.80665*General_Model!$C$7))*((4*(0.3164/((General_Model!$C$14*A619*(General_Model!$C$4/1000)/General_Model!$C$15)^0.25))*General_Model!$C$7/(General_Model!$C$4/1000)+1)+(4*(0.3164/((General_Model!$C$14*A619*(General_Model!$C$4/1000)/General_Model!$C$15)^0.25))*General_Model!$C$7/(General_Model!$C$4/1000)+2)*(General_Model!$C$26/A619))</f>
        <v>-0.23123013076472368</v>
      </c>
      <c r="C619" s="13">
        <f t="shared" si="9"/>
        <v>0</v>
      </c>
    </row>
    <row r="620" spans="1:3" x14ac:dyDescent="0.25">
      <c r="A620" s="11">
        <v>0.61799999999999999</v>
      </c>
      <c r="B620" s="12">
        <f>(General_Model!$C$6/General_Model!$C$7)-1/(1+General_Model!$C$26/((1.2+0.2*(General_Model!$C$26/A620)+0.35*SQRT(9.80665*(General_Model!$C$4/1000))/A620)*A620))-(A620^2/(2*9.80665*General_Model!$C$7))*((4*(0.3164/((General_Model!$C$14*A620*(General_Model!$C$4/1000)/General_Model!$C$15)^0.25))*General_Model!$C$7/(General_Model!$C$4/1000)+1)+(4*(0.3164/((General_Model!$C$14*A620*(General_Model!$C$4/1000)/General_Model!$C$15)^0.25))*General_Model!$C$7/(General_Model!$C$4/1000)+2)*(General_Model!$C$26/A620))</f>
        <v>-0.23177988988094445</v>
      </c>
      <c r="C620" s="13">
        <f t="shared" si="9"/>
        <v>0</v>
      </c>
    </row>
    <row r="621" spans="1:3" x14ac:dyDescent="0.25">
      <c r="A621" s="11">
        <v>0.61899999999999999</v>
      </c>
      <c r="B621" s="12">
        <f>(General_Model!$C$6/General_Model!$C$7)-1/(1+General_Model!$C$26/((1.2+0.2*(General_Model!$C$26/A621)+0.35*SQRT(9.80665*(General_Model!$C$4/1000))/A621)*A621))-(A621^2/(2*9.80665*General_Model!$C$7))*((4*(0.3164/((General_Model!$C$14*A621*(General_Model!$C$4/1000)/General_Model!$C$15)^0.25))*General_Model!$C$7/(General_Model!$C$4/1000)+1)+(4*(0.3164/((General_Model!$C$14*A621*(General_Model!$C$4/1000)/General_Model!$C$15)^0.25))*General_Model!$C$7/(General_Model!$C$4/1000)+2)*(General_Model!$C$26/A621))</f>
        <v>-0.23232952260913287</v>
      </c>
      <c r="C621" s="13">
        <f t="shared" si="9"/>
        <v>0</v>
      </c>
    </row>
    <row r="622" spans="1:3" x14ac:dyDescent="0.25">
      <c r="A622" s="11">
        <v>0.62</v>
      </c>
      <c r="B622" s="12">
        <f>(General_Model!$C$6/General_Model!$C$7)-1/(1+General_Model!$C$26/((1.2+0.2*(General_Model!$C$26/A622)+0.35*SQRT(9.80665*(General_Model!$C$4/1000))/A622)*A622))-(A622^2/(2*9.80665*General_Model!$C$7))*((4*(0.3164/((General_Model!$C$14*A622*(General_Model!$C$4/1000)/General_Model!$C$15)^0.25))*General_Model!$C$7/(General_Model!$C$4/1000)+1)+(4*(0.3164/((General_Model!$C$14*A622*(General_Model!$C$4/1000)/General_Model!$C$15)^0.25))*General_Model!$C$7/(General_Model!$C$4/1000)+2)*(General_Model!$C$26/A622))</f>
        <v>-0.23287902983665068</v>
      </c>
      <c r="C622" s="13">
        <f t="shared" si="9"/>
        <v>0</v>
      </c>
    </row>
    <row r="623" spans="1:3" x14ac:dyDescent="0.25">
      <c r="A623" s="11">
        <v>0.621</v>
      </c>
      <c r="B623" s="12">
        <f>(General_Model!$C$6/General_Model!$C$7)-1/(1+General_Model!$C$26/((1.2+0.2*(General_Model!$C$26/A623)+0.35*SQRT(9.80665*(General_Model!$C$4/1000))/A623)*A623))-(A623^2/(2*9.80665*General_Model!$C$7))*((4*(0.3164/((General_Model!$C$14*A623*(General_Model!$C$4/1000)/General_Model!$C$15)^0.25))*General_Model!$C$7/(General_Model!$C$4/1000)+1)+(4*(0.3164/((General_Model!$C$14*A623*(General_Model!$C$4/1000)/General_Model!$C$15)^0.25))*General_Model!$C$7/(General_Model!$C$4/1000)+2)*(General_Model!$C$26/A623))</f>
        <v>-0.23342841244795062</v>
      </c>
      <c r="C623" s="13">
        <f t="shared" si="9"/>
        <v>0</v>
      </c>
    </row>
    <row r="624" spans="1:3" x14ac:dyDescent="0.25">
      <c r="A624" s="11">
        <v>0.622</v>
      </c>
      <c r="B624" s="12">
        <f>(General_Model!$C$6/General_Model!$C$7)-1/(1+General_Model!$C$26/((1.2+0.2*(General_Model!$C$26/A624)+0.35*SQRT(9.80665*(General_Model!$C$4/1000))/A624)*A624))-(A624^2/(2*9.80665*General_Model!$C$7))*((4*(0.3164/((General_Model!$C$14*A624*(General_Model!$C$4/1000)/General_Model!$C$15)^0.25))*General_Model!$C$7/(General_Model!$C$4/1000)+1)+(4*(0.3164/((General_Model!$C$14*A624*(General_Model!$C$4/1000)/General_Model!$C$15)^0.25))*General_Model!$C$7/(General_Model!$C$4/1000)+2)*(General_Model!$C$26/A624))</f>
        <v>-0.23397767132458927</v>
      </c>
      <c r="C624" s="13">
        <f t="shared" si="9"/>
        <v>0</v>
      </c>
    </row>
    <row r="625" spans="1:3" x14ac:dyDescent="0.25">
      <c r="A625" s="11">
        <v>0.623</v>
      </c>
      <c r="B625" s="12">
        <f>(General_Model!$C$6/General_Model!$C$7)-1/(1+General_Model!$C$26/((1.2+0.2*(General_Model!$C$26/A625)+0.35*SQRT(9.80665*(General_Model!$C$4/1000))/A625)*A625))-(A625^2/(2*9.80665*General_Model!$C$7))*((4*(0.3164/((General_Model!$C$14*A625*(General_Model!$C$4/1000)/General_Model!$C$15)^0.25))*General_Model!$C$7/(General_Model!$C$4/1000)+1)+(4*(0.3164/((General_Model!$C$14*A625*(General_Model!$C$4/1000)/General_Model!$C$15)^0.25))*General_Model!$C$7/(General_Model!$C$4/1000)+2)*(General_Model!$C$26/A625))</f>
        <v>-0.23452680734523734</v>
      </c>
      <c r="C625" s="13">
        <f t="shared" si="9"/>
        <v>0</v>
      </c>
    </row>
    <row r="626" spans="1:3" x14ac:dyDescent="0.25">
      <c r="A626" s="11">
        <v>0.624</v>
      </c>
      <c r="B626" s="12">
        <f>(General_Model!$C$6/General_Model!$C$7)-1/(1+General_Model!$C$26/((1.2+0.2*(General_Model!$C$26/A626)+0.35*SQRT(9.80665*(General_Model!$C$4/1000))/A626)*A626))-(A626^2/(2*9.80665*General_Model!$C$7))*((4*(0.3164/((General_Model!$C$14*A626*(General_Model!$C$4/1000)/General_Model!$C$15)^0.25))*General_Model!$C$7/(General_Model!$C$4/1000)+1)+(4*(0.3164/((General_Model!$C$14*A626*(General_Model!$C$4/1000)/General_Model!$C$15)^0.25))*General_Model!$C$7/(General_Model!$C$4/1000)+2)*(General_Model!$C$26/A626))</f>
        <v>-0.23507582138569222</v>
      </c>
      <c r="C626" s="13">
        <f t="shared" si="9"/>
        <v>0</v>
      </c>
    </row>
    <row r="627" spans="1:3" x14ac:dyDescent="0.25">
      <c r="A627" s="11">
        <v>0.625</v>
      </c>
      <c r="B627" s="12">
        <f>(General_Model!$C$6/General_Model!$C$7)-1/(1+General_Model!$C$26/((1.2+0.2*(General_Model!$C$26/A627)+0.35*SQRT(9.80665*(General_Model!$C$4/1000))/A627)*A627))-(A627^2/(2*9.80665*General_Model!$C$7))*((4*(0.3164/((General_Model!$C$14*A627*(General_Model!$C$4/1000)/General_Model!$C$15)^0.25))*General_Model!$C$7/(General_Model!$C$4/1000)+1)+(4*(0.3164/((General_Model!$C$14*A627*(General_Model!$C$4/1000)/General_Model!$C$15)^0.25))*General_Model!$C$7/(General_Model!$C$4/1000)+2)*(General_Model!$C$26/A627))</f>
        <v>-0.23562471431888907</v>
      </c>
      <c r="C627" s="13">
        <f t="shared" si="9"/>
        <v>0</v>
      </c>
    </row>
    <row r="628" spans="1:3" x14ac:dyDescent="0.25">
      <c r="A628" s="11">
        <v>0.626</v>
      </c>
      <c r="B628" s="12">
        <f>(General_Model!$C$6/General_Model!$C$7)-1/(1+General_Model!$C$26/((1.2+0.2*(General_Model!$C$26/A628)+0.35*SQRT(9.80665*(General_Model!$C$4/1000))/A628)*A628))-(A628^2/(2*9.80665*General_Model!$C$7))*((4*(0.3164/((General_Model!$C$14*A628*(General_Model!$C$4/1000)/General_Model!$C$15)^0.25))*General_Model!$C$7/(General_Model!$C$4/1000)+1)+(4*(0.3164/((General_Model!$C$14*A628*(General_Model!$C$4/1000)/General_Model!$C$15)^0.25))*General_Model!$C$7/(General_Model!$C$4/1000)+2)*(General_Model!$C$26/A628))</f>
        <v>-0.236173487014913</v>
      </c>
      <c r="C628" s="13">
        <f t="shared" si="9"/>
        <v>0</v>
      </c>
    </row>
    <row r="629" spans="1:3" x14ac:dyDescent="0.25">
      <c r="A629" s="11">
        <v>0.627</v>
      </c>
      <c r="B629" s="12">
        <f>(General_Model!$C$6/General_Model!$C$7)-1/(1+General_Model!$C$26/((1.2+0.2*(General_Model!$C$26/A629)+0.35*SQRT(9.80665*(General_Model!$C$4/1000))/A629)*A629))-(A629^2/(2*9.80665*General_Model!$C$7))*((4*(0.3164/((General_Model!$C$14*A629*(General_Model!$C$4/1000)/General_Model!$C$15)^0.25))*General_Model!$C$7/(General_Model!$C$4/1000)+1)+(4*(0.3164/((General_Model!$C$14*A629*(General_Model!$C$4/1000)/General_Model!$C$15)^0.25))*General_Model!$C$7/(General_Model!$C$4/1000)+2)*(General_Model!$C$26/A629))</f>
        <v>-0.23672214034100927</v>
      </c>
      <c r="C629" s="13">
        <f t="shared" si="9"/>
        <v>0</v>
      </c>
    </row>
    <row r="630" spans="1:3" x14ac:dyDescent="0.25">
      <c r="A630" s="11">
        <v>0.628</v>
      </c>
      <c r="B630" s="12">
        <f>(General_Model!$C$6/General_Model!$C$7)-1/(1+General_Model!$C$26/((1.2+0.2*(General_Model!$C$26/A630)+0.35*SQRT(9.80665*(General_Model!$C$4/1000))/A630)*A630))-(A630^2/(2*9.80665*General_Model!$C$7))*((4*(0.3164/((General_Model!$C$14*A630*(General_Model!$C$4/1000)/General_Model!$C$15)^0.25))*General_Model!$C$7/(General_Model!$C$4/1000)+1)+(4*(0.3164/((General_Model!$C$14*A630*(General_Model!$C$4/1000)/General_Model!$C$15)^0.25))*General_Model!$C$7/(General_Model!$C$4/1000)+2)*(General_Model!$C$26/A630))</f>
        <v>-0.23727067516159611</v>
      </c>
      <c r="C630" s="13">
        <f t="shared" si="9"/>
        <v>0</v>
      </c>
    </row>
    <row r="631" spans="1:3" x14ac:dyDescent="0.25">
      <c r="A631" s="11">
        <v>0.629</v>
      </c>
      <c r="B631" s="12">
        <f>(General_Model!$C$6/General_Model!$C$7)-1/(1+General_Model!$C$26/((1.2+0.2*(General_Model!$C$26/A631)+0.35*SQRT(9.80665*(General_Model!$C$4/1000))/A631)*A631))-(A631^2/(2*9.80665*General_Model!$C$7))*((4*(0.3164/((General_Model!$C$14*A631*(General_Model!$C$4/1000)/General_Model!$C$15)^0.25))*General_Model!$C$7/(General_Model!$C$4/1000)+1)+(4*(0.3164/((General_Model!$C$14*A631*(General_Model!$C$4/1000)/General_Model!$C$15)^0.25))*General_Model!$C$7/(General_Model!$C$4/1000)+2)*(General_Model!$C$26/A631))</f>
        <v>-0.23781909233827483</v>
      </c>
      <c r="C631" s="13">
        <f t="shared" si="9"/>
        <v>0</v>
      </c>
    </row>
    <row r="632" spans="1:3" x14ac:dyDescent="0.25">
      <c r="A632" s="11">
        <v>0.63</v>
      </c>
      <c r="B632" s="12">
        <f>(General_Model!$C$6/General_Model!$C$7)-1/(1+General_Model!$C$26/((1.2+0.2*(General_Model!$C$26/A632)+0.35*SQRT(9.80665*(General_Model!$C$4/1000))/A632)*A632))-(A632^2/(2*9.80665*General_Model!$C$7))*((4*(0.3164/((General_Model!$C$14*A632*(General_Model!$C$4/1000)/General_Model!$C$15)^0.25))*General_Model!$C$7/(General_Model!$C$4/1000)+1)+(4*(0.3164/((General_Model!$C$14*A632*(General_Model!$C$4/1000)/General_Model!$C$15)^0.25))*General_Model!$C$7/(General_Model!$C$4/1000)+2)*(General_Model!$C$26/A632))</f>
        <v>-0.23836739272984206</v>
      </c>
      <c r="C632" s="13">
        <f t="shared" si="9"/>
        <v>0</v>
      </c>
    </row>
    <row r="633" spans="1:3" x14ac:dyDescent="0.25">
      <c r="A633" s="11">
        <v>0.63100000000000001</v>
      </c>
      <c r="B633" s="12">
        <f>(General_Model!$C$6/General_Model!$C$7)-1/(1+General_Model!$C$26/((1.2+0.2*(General_Model!$C$26/A633)+0.35*SQRT(9.80665*(General_Model!$C$4/1000))/A633)*A633))-(A633^2/(2*9.80665*General_Model!$C$7))*((4*(0.3164/((General_Model!$C$14*A633*(General_Model!$C$4/1000)/General_Model!$C$15)^0.25))*General_Model!$C$7/(General_Model!$C$4/1000)+1)+(4*(0.3164/((General_Model!$C$14*A633*(General_Model!$C$4/1000)/General_Model!$C$15)^0.25))*General_Model!$C$7/(General_Model!$C$4/1000)+2)*(General_Model!$C$26/A633))</f>
        <v>-0.23891557719229997</v>
      </c>
      <c r="C633" s="13">
        <f t="shared" si="9"/>
        <v>0</v>
      </c>
    </row>
    <row r="634" spans="1:3" x14ac:dyDescent="0.25">
      <c r="A634" s="11">
        <v>0.63200000000000001</v>
      </c>
      <c r="B634" s="12">
        <f>(General_Model!$C$6/General_Model!$C$7)-1/(1+General_Model!$C$26/((1.2+0.2*(General_Model!$C$26/A634)+0.35*SQRT(9.80665*(General_Model!$C$4/1000))/A634)*A634))-(A634^2/(2*9.80665*General_Model!$C$7))*((4*(0.3164/((General_Model!$C$14*A634*(General_Model!$C$4/1000)/General_Model!$C$15)^0.25))*General_Model!$C$7/(General_Model!$C$4/1000)+1)+(4*(0.3164/((General_Model!$C$14*A634*(General_Model!$C$4/1000)/General_Model!$C$15)^0.25))*General_Model!$C$7/(General_Model!$C$4/1000)+2)*(General_Model!$C$26/A634))</f>
        <v>-0.23946364657886873</v>
      </c>
      <c r="C634" s="13">
        <f t="shared" si="9"/>
        <v>0</v>
      </c>
    </row>
    <row r="635" spans="1:3" x14ac:dyDescent="0.25">
      <c r="A635" s="11">
        <v>0.63300000000000001</v>
      </c>
      <c r="B635" s="12">
        <f>(General_Model!$C$6/General_Model!$C$7)-1/(1+General_Model!$C$26/((1.2+0.2*(General_Model!$C$26/A635)+0.35*SQRT(9.80665*(General_Model!$C$4/1000))/A635)*A635))-(A635^2/(2*9.80665*General_Model!$C$7))*((4*(0.3164/((General_Model!$C$14*A635*(General_Model!$C$4/1000)/General_Model!$C$15)^0.25))*General_Model!$C$7/(General_Model!$C$4/1000)+1)+(4*(0.3164/((General_Model!$C$14*A635*(General_Model!$C$4/1000)/General_Model!$C$15)^0.25))*General_Model!$C$7/(General_Model!$C$4/1000)+2)*(General_Model!$C$26/A635))</f>
        <v>-0.24001160173999633</v>
      </c>
      <c r="C635" s="13">
        <f t="shared" si="9"/>
        <v>0</v>
      </c>
    </row>
    <row r="636" spans="1:3" x14ac:dyDescent="0.25">
      <c r="A636" s="11">
        <v>0.63400000000000001</v>
      </c>
      <c r="B636" s="12">
        <f>(General_Model!$C$6/General_Model!$C$7)-1/(1+General_Model!$C$26/((1.2+0.2*(General_Model!$C$26/A636)+0.35*SQRT(9.80665*(General_Model!$C$4/1000))/A636)*A636))-(A636^2/(2*9.80665*General_Model!$C$7))*((4*(0.3164/((General_Model!$C$14*A636*(General_Model!$C$4/1000)/General_Model!$C$15)^0.25))*General_Model!$C$7/(General_Model!$C$4/1000)+1)+(4*(0.3164/((General_Model!$C$14*A636*(General_Model!$C$4/1000)/General_Model!$C$15)^0.25))*General_Model!$C$7/(General_Model!$C$4/1000)+2)*(General_Model!$C$26/A636))</f>
        <v>-0.24055944352337047</v>
      </c>
      <c r="C636" s="13">
        <f t="shared" si="9"/>
        <v>0</v>
      </c>
    </row>
    <row r="637" spans="1:3" x14ac:dyDescent="0.25">
      <c r="A637" s="11">
        <v>0.63500000000000001</v>
      </c>
      <c r="B637" s="12">
        <f>(General_Model!$C$6/General_Model!$C$7)-1/(1+General_Model!$C$26/((1.2+0.2*(General_Model!$C$26/A637)+0.35*SQRT(9.80665*(General_Model!$C$4/1000))/A637)*A637))-(A637^2/(2*9.80665*General_Model!$C$7))*((4*(0.3164/((General_Model!$C$14*A637*(General_Model!$C$4/1000)/General_Model!$C$15)^0.25))*General_Model!$C$7/(General_Model!$C$4/1000)+1)+(4*(0.3164/((General_Model!$C$14*A637*(General_Model!$C$4/1000)/General_Model!$C$15)^0.25))*General_Model!$C$7/(General_Model!$C$4/1000)+2)*(General_Model!$C$26/A637))</f>
        <v>-0.24110717277392926</v>
      </c>
      <c r="C637" s="13">
        <f t="shared" si="9"/>
        <v>0</v>
      </c>
    </row>
    <row r="638" spans="1:3" x14ac:dyDescent="0.25">
      <c r="A638" s="11">
        <v>0.63600000000000001</v>
      </c>
      <c r="B638" s="12">
        <f>(General_Model!$C$6/General_Model!$C$7)-1/(1+General_Model!$C$26/((1.2+0.2*(General_Model!$C$26/A638)+0.35*SQRT(9.80665*(General_Model!$C$4/1000))/A638)*A638))-(A638^2/(2*9.80665*General_Model!$C$7))*((4*(0.3164/((General_Model!$C$14*A638*(General_Model!$C$4/1000)/General_Model!$C$15)^0.25))*General_Model!$C$7/(General_Model!$C$4/1000)+1)+(4*(0.3164/((General_Model!$C$14*A638*(General_Model!$C$4/1000)/General_Model!$C$15)^0.25))*General_Model!$C$7/(General_Model!$C$4/1000)+2)*(General_Model!$C$26/A638))</f>
        <v>-0.2416547903338723</v>
      </c>
      <c r="C638" s="13">
        <f t="shared" si="9"/>
        <v>0</v>
      </c>
    </row>
    <row r="639" spans="1:3" x14ac:dyDescent="0.25">
      <c r="A639" s="11">
        <v>0.63700000000000001</v>
      </c>
      <c r="B639" s="12">
        <f>(General_Model!$C$6/General_Model!$C$7)-1/(1+General_Model!$C$26/((1.2+0.2*(General_Model!$C$26/A639)+0.35*SQRT(9.80665*(General_Model!$C$4/1000))/A639)*A639))-(A639^2/(2*9.80665*General_Model!$C$7))*((4*(0.3164/((General_Model!$C$14*A639*(General_Model!$C$4/1000)/General_Model!$C$15)^0.25))*General_Model!$C$7/(General_Model!$C$4/1000)+1)+(4*(0.3164/((General_Model!$C$14*A639*(General_Model!$C$4/1000)/General_Model!$C$15)^0.25))*General_Model!$C$7/(General_Model!$C$4/1000)+2)*(General_Model!$C$26/A639))</f>
        <v>-0.24220229704267154</v>
      </c>
      <c r="C639" s="13">
        <f t="shared" si="9"/>
        <v>0</v>
      </c>
    </row>
    <row r="640" spans="1:3" x14ac:dyDescent="0.25">
      <c r="A640" s="11">
        <v>0.63800000000000001</v>
      </c>
      <c r="B640" s="12">
        <f>(General_Model!$C$6/General_Model!$C$7)-1/(1+General_Model!$C$26/((1.2+0.2*(General_Model!$C$26/A640)+0.35*SQRT(9.80665*(General_Model!$C$4/1000))/A640)*A640))-(A640^2/(2*9.80665*General_Model!$C$7))*((4*(0.3164/((General_Model!$C$14*A640*(General_Model!$C$4/1000)/General_Model!$C$15)^0.25))*General_Model!$C$7/(General_Model!$C$4/1000)+1)+(4*(0.3164/((General_Model!$C$14*A640*(General_Model!$C$4/1000)/General_Model!$C$15)^0.25))*General_Model!$C$7/(General_Model!$C$4/1000)+2)*(General_Model!$C$26/A640))</f>
        <v>-0.24274969373708183</v>
      </c>
      <c r="C640" s="13">
        <f t="shared" si="9"/>
        <v>0</v>
      </c>
    </row>
    <row r="641" spans="1:3" x14ac:dyDescent="0.25">
      <c r="A641" s="11">
        <v>0.63900000000000001</v>
      </c>
      <c r="B641" s="12">
        <f>(General_Model!$C$6/General_Model!$C$7)-1/(1+General_Model!$C$26/((1.2+0.2*(General_Model!$C$26/A641)+0.35*SQRT(9.80665*(General_Model!$C$4/1000))/A641)*A641))-(A641^2/(2*9.80665*General_Model!$C$7))*((4*(0.3164/((General_Model!$C$14*A641*(General_Model!$C$4/1000)/General_Model!$C$15)^0.25))*General_Model!$C$7/(General_Model!$C$4/1000)+1)+(4*(0.3164/((General_Model!$C$14*A641*(General_Model!$C$4/1000)/General_Model!$C$15)^0.25))*General_Model!$C$7/(General_Model!$C$4/1000)+2)*(General_Model!$C$26/A641))</f>
        <v>-0.24329698125115221</v>
      </c>
      <c r="C641" s="13">
        <f t="shared" si="9"/>
        <v>0</v>
      </c>
    </row>
    <row r="642" spans="1:3" x14ac:dyDescent="0.25">
      <c r="A642" s="11">
        <v>0.64</v>
      </c>
      <c r="B642" s="12">
        <f>(General_Model!$C$6/General_Model!$C$7)-1/(1+General_Model!$C$26/((1.2+0.2*(General_Model!$C$26/A642)+0.35*SQRT(9.80665*(General_Model!$C$4/1000))/A642)*A642))-(A642^2/(2*9.80665*General_Model!$C$7))*((4*(0.3164/((General_Model!$C$14*A642*(General_Model!$C$4/1000)/General_Model!$C$15)^0.25))*General_Model!$C$7/(General_Model!$C$4/1000)+1)+(4*(0.3164/((General_Model!$C$14*A642*(General_Model!$C$4/1000)/General_Model!$C$15)^0.25))*General_Model!$C$7/(General_Model!$C$4/1000)+2)*(General_Model!$C$26/A642))</f>
        <v>-0.24384416041623666</v>
      </c>
      <c r="C642" s="13">
        <f t="shared" si="9"/>
        <v>0</v>
      </c>
    </row>
    <row r="643" spans="1:3" x14ac:dyDescent="0.25">
      <c r="A643" s="11">
        <v>0.64100000000000001</v>
      </c>
      <c r="B643" s="12">
        <f>(General_Model!$C$6/General_Model!$C$7)-1/(1+General_Model!$C$26/((1.2+0.2*(General_Model!$C$26/A643)+0.35*SQRT(9.80665*(General_Model!$C$4/1000))/A643)*A643))-(A643^2/(2*9.80665*General_Model!$C$7))*((4*(0.3164/((General_Model!$C$14*A643*(General_Model!$C$4/1000)/General_Model!$C$15)^0.25))*General_Model!$C$7/(General_Model!$C$4/1000)+1)+(4*(0.3164/((General_Model!$C$14*A643*(General_Model!$C$4/1000)/General_Model!$C$15)^0.25))*General_Model!$C$7/(General_Model!$C$4/1000)+2)*(General_Model!$C$26/A643))</f>
        <v>-0.24439123206100427</v>
      </c>
      <c r="C643" s="13">
        <f t="shared" ref="C643:C706" si="10">IF(B643*B644&lt;=0,1,0)</f>
        <v>0</v>
      </c>
    </row>
    <row r="644" spans="1:3" x14ac:dyDescent="0.25">
      <c r="A644" s="11">
        <v>0.64200000000000002</v>
      </c>
      <c r="B644" s="12">
        <f>(General_Model!$C$6/General_Model!$C$7)-1/(1+General_Model!$C$26/((1.2+0.2*(General_Model!$C$26/A644)+0.35*SQRT(9.80665*(General_Model!$C$4/1000))/A644)*A644))-(A644^2/(2*9.80665*General_Model!$C$7))*((4*(0.3164/((General_Model!$C$14*A644*(General_Model!$C$4/1000)/General_Model!$C$15)^0.25))*General_Model!$C$7/(General_Model!$C$4/1000)+1)+(4*(0.3164/((General_Model!$C$14*A644*(General_Model!$C$4/1000)/General_Model!$C$15)^0.25))*General_Model!$C$7/(General_Model!$C$4/1000)+2)*(General_Model!$C$26/A644))</f>
        <v>-0.24493819701145025</v>
      </c>
      <c r="C644" s="13">
        <f t="shared" si="10"/>
        <v>0</v>
      </c>
    </row>
    <row r="645" spans="1:3" x14ac:dyDescent="0.25">
      <c r="A645" s="11">
        <v>0.64300000000000002</v>
      </c>
      <c r="B645" s="12">
        <f>(General_Model!$C$6/General_Model!$C$7)-1/(1+General_Model!$C$26/((1.2+0.2*(General_Model!$C$26/A645)+0.35*SQRT(9.80665*(General_Model!$C$4/1000))/A645)*A645))-(A645^2/(2*9.80665*General_Model!$C$7))*((4*(0.3164/((General_Model!$C$14*A645*(General_Model!$C$4/1000)/General_Model!$C$15)^0.25))*General_Model!$C$7/(General_Model!$C$4/1000)+1)+(4*(0.3164/((General_Model!$C$14*A645*(General_Model!$C$4/1000)/General_Model!$C$15)^0.25))*General_Model!$C$7/(General_Model!$C$4/1000)+2)*(General_Model!$C$26/A645))</f>
        <v>-0.24548505609090648</v>
      </c>
      <c r="C645" s="13">
        <f t="shared" si="10"/>
        <v>0</v>
      </c>
    </row>
    <row r="646" spans="1:3" x14ac:dyDescent="0.25">
      <c r="A646" s="11">
        <v>0.64400000000000002</v>
      </c>
      <c r="B646" s="12">
        <f>(General_Model!$C$6/General_Model!$C$7)-1/(1+General_Model!$C$26/((1.2+0.2*(General_Model!$C$26/A646)+0.35*SQRT(9.80665*(General_Model!$C$4/1000))/A646)*A646))-(A646^2/(2*9.80665*General_Model!$C$7))*((4*(0.3164/((General_Model!$C$14*A646*(General_Model!$C$4/1000)/General_Model!$C$15)^0.25))*General_Model!$C$7/(General_Model!$C$4/1000)+1)+(4*(0.3164/((General_Model!$C$14*A646*(General_Model!$C$4/1000)/General_Model!$C$15)^0.25))*General_Model!$C$7/(General_Model!$C$4/1000)+2)*(General_Model!$C$26/A646))</f>
        <v>-0.24603181012005229</v>
      </c>
      <c r="C646" s="13">
        <f t="shared" si="10"/>
        <v>0</v>
      </c>
    </row>
    <row r="647" spans="1:3" x14ac:dyDescent="0.25">
      <c r="A647" s="11">
        <v>0.64500000000000002</v>
      </c>
      <c r="B647" s="12">
        <f>(General_Model!$C$6/General_Model!$C$7)-1/(1+General_Model!$C$26/((1.2+0.2*(General_Model!$C$26/A647)+0.35*SQRT(9.80665*(General_Model!$C$4/1000))/A647)*A647))-(A647^2/(2*9.80665*General_Model!$C$7))*((4*(0.3164/((General_Model!$C$14*A647*(General_Model!$C$4/1000)/General_Model!$C$15)^0.25))*General_Model!$C$7/(General_Model!$C$4/1000)+1)+(4*(0.3164/((General_Model!$C$14*A647*(General_Model!$C$4/1000)/General_Model!$C$15)^0.25))*General_Model!$C$7/(General_Model!$C$4/1000)+2)*(General_Model!$C$26/A647))</f>
        <v>-0.24657845991692412</v>
      </c>
      <c r="C647" s="13">
        <f t="shared" si="10"/>
        <v>0</v>
      </c>
    </row>
    <row r="648" spans="1:3" x14ac:dyDescent="0.25">
      <c r="A648" s="11">
        <v>0.64600000000000002</v>
      </c>
      <c r="B648" s="12">
        <f>(General_Model!$C$6/General_Model!$C$7)-1/(1+General_Model!$C$26/((1.2+0.2*(General_Model!$C$26/A648)+0.35*SQRT(9.80665*(General_Model!$C$4/1000))/A648)*A648))-(A648^2/(2*9.80665*General_Model!$C$7))*((4*(0.3164/((General_Model!$C$14*A648*(General_Model!$C$4/1000)/General_Model!$C$15)^0.25))*General_Model!$C$7/(General_Model!$C$4/1000)+1)+(4*(0.3164/((General_Model!$C$14*A648*(General_Model!$C$4/1000)/General_Model!$C$15)^0.25))*General_Model!$C$7/(General_Model!$C$4/1000)+2)*(General_Model!$C$26/A648))</f>
        <v>-0.2471250062969276</v>
      </c>
      <c r="C648" s="13">
        <f t="shared" si="10"/>
        <v>0</v>
      </c>
    </row>
    <row r="649" spans="1:3" x14ac:dyDescent="0.25">
      <c r="A649" s="11">
        <v>0.64700000000000002</v>
      </c>
      <c r="B649" s="12">
        <f>(General_Model!$C$6/General_Model!$C$7)-1/(1+General_Model!$C$26/((1.2+0.2*(General_Model!$C$26/A649)+0.35*SQRT(9.80665*(General_Model!$C$4/1000))/A649)*A649))-(A649^2/(2*9.80665*General_Model!$C$7))*((4*(0.3164/((General_Model!$C$14*A649*(General_Model!$C$4/1000)/General_Model!$C$15)^0.25))*General_Model!$C$7/(General_Model!$C$4/1000)+1)+(4*(0.3164/((General_Model!$C$14*A649*(General_Model!$C$4/1000)/General_Model!$C$15)^0.25))*General_Model!$C$7/(General_Model!$C$4/1000)+2)*(General_Model!$C$26/A649))</f>
        <v>-0.24767145007284558</v>
      </c>
      <c r="C649" s="13">
        <f t="shared" si="10"/>
        <v>0</v>
      </c>
    </row>
    <row r="650" spans="1:3" x14ac:dyDescent="0.25">
      <c r="A650" s="11">
        <v>0.64800000000000002</v>
      </c>
      <c r="B650" s="12">
        <f>(General_Model!$C$6/General_Model!$C$7)-1/(1+General_Model!$C$26/((1.2+0.2*(General_Model!$C$26/A650)+0.35*SQRT(9.80665*(General_Model!$C$4/1000))/A650)*A650))-(A650^2/(2*9.80665*General_Model!$C$7))*((4*(0.3164/((General_Model!$C$14*A650*(General_Model!$C$4/1000)/General_Model!$C$15)^0.25))*General_Model!$C$7/(General_Model!$C$4/1000)+1)+(4*(0.3164/((General_Model!$C$14*A650*(General_Model!$C$4/1000)/General_Model!$C$15)^0.25))*General_Model!$C$7/(General_Model!$C$4/1000)+2)*(General_Model!$C$26/A650))</f>
        <v>-0.24821779205485095</v>
      </c>
      <c r="C650" s="13">
        <f t="shared" si="10"/>
        <v>0</v>
      </c>
    </row>
    <row r="651" spans="1:3" x14ac:dyDescent="0.25">
      <c r="A651" s="11">
        <v>0.64900000000000002</v>
      </c>
      <c r="B651" s="12">
        <f>(General_Model!$C$6/General_Model!$C$7)-1/(1+General_Model!$C$26/((1.2+0.2*(General_Model!$C$26/A651)+0.35*SQRT(9.80665*(General_Model!$C$4/1000))/A651)*A651))-(A651^2/(2*9.80665*General_Model!$C$7))*((4*(0.3164/((General_Model!$C$14*A651*(General_Model!$C$4/1000)/General_Model!$C$15)^0.25))*General_Model!$C$7/(General_Model!$C$4/1000)+1)+(4*(0.3164/((General_Model!$C$14*A651*(General_Model!$C$4/1000)/General_Model!$C$15)^0.25))*General_Model!$C$7/(General_Model!$C$4/1000)+2)*(General_Model!$C$26/A651))</f>
        <v>-0.2487640330505152</v>
      </c>
      <c r="C651" s="13">
        <f t="shared" si="10"/>
        <v>0</v>
      </c>
    </row>
    <row r="652" spans="1:3" x14ac:dyDescent="0.25">
      <c r="A652" s="11">
        <v>0.65</v>
      </c>
      <c r="B652" s="12">
        <f>(General_Model!$C$6/General_Model!$C$7)-1/(1+General_Model!$C$26/((1.2+0.2*(General_Model!$C$26/A652)+0.35*SQRT(9.80665*(General_Model!$C$4/1000))/A652)*A652))-(A652^2/(2*9.80665*General_Model!$C$7))*((4*(0.3164/((General_Model!$C$14*A652*(General_Model!$C$4/1000)/General_Model!$C$15)^0.25))*General_Model!$C$7/(General_Model!$C$4/1000)+1)+(4*(0.3164/((General_Model!$C$14*A652*(General_Model!$C$4/1000)/General_Model!$C$15)^0.25))*General_Model!$C$7/(General_Model!$C$4/1000)+2)*(General_Model!$C$26/A652))</f>
        <v>-0.2493101738648191</v>
      </c>
      <c r="C652" s="13">
        <f t="shared" si="10"/>
        <v>0</v>
      </c>
    </row>
    <row r="653" spans="1:3" x14ac:dyDescent="0.25">
      <c r="A653" s="11">
        <v>0.65100000000000002</v>
      </c>
      <c r="B653" s="12">
        <f>(General_Model!$C$6/General_Model!$C$7)-1/(1+General_Model!$C$26/((1.2+0.2*(General_Model!$C$26/A653)+0.35*SQRT(9.80665*(General_Model!$C$4/1000))/A653)*A653))-(A653^2/(2*9.80665*General_Model!$C$7))*((4*(0.3164/((General_Model!$C$14*A653*(General_Model!$C$4/1000)/General_Model!$C$15)^0.25))*General_Model!$C$7/(General_Model!$C$4/1000)+1)+(4*(0.3164/((General_Model!$C$14*A653*(General_Model!$C$4/1000)/General_Model!$C$15)^0.25))*General_Model!$C$7/(General_Model!$C$4/1000)+2)*(General_Model!$C$26/A653))</f>
        <v>-0.2498562153001638</v>
      </c>
      <c r="C653" s="13">
        <f t="shared" si="10"/>
        <v>0</v>
      </c>
    </row>
    <row r="654" spans="1:3" x14ac:dyDescent="0.25">
      <c r="A654" s="11">
        <v>0.65200000000000002</v>
      </c>
      <c r="B654" s="12">
        <f>(General_Model!$C$6/General_Model!$C$7)-1/(1+General_Model!$C$26/((1.2+0.2*(General_Model!$C$26/A654)+0.35*SQRT(9.80665*(General_Model!$C$4/1000))/A654)*A654))-(A654^2/(2*9.80665*General_Model!$C$7))*((4*(0.3164/((General_Model!$C$14*A654*(General_Model!$C$4/1000)/General_Model!$C$15)^0.25))*General_Model!$C$7/(General_Model!$C$4/1000)+1)+(4*(0.3164/((General_Model!$C$14*A654*(General_Model!$C$4/1000)/General_Model!$C$15)^0.25))*General_Model!$C$7/(General_Model!$C$4/1000)+2)*(General_Model!$C$26/A654))</f>
        <v>-0.25040215815637934</v>
      </c>
      <c r="C654" s="13">
        <f t="shared" si="10"/>
        <v>0</v>
      </c>
    </row>
    <row r="655" spans="1:3" x14ac:dyDescent="0.25">
      <c r="A655" s="11">
        <v>0.65300000000000002</v>
      </c>
      <c r="B655" s="12">
        <f>(General_Model!$C$6/General_Model!$C$7)-1/(1+General_Model!$C$26/((1.2+0.2*(General_Model!$C$26/A655)+0.35*SQRT(9.80665*(General_Model!$C$4/1000))/A655)*A655))-(A655^2/(2*9.80665*General_Model!$C$7))*((4*(0.3164/((General_Model!$C$14*A655*(General_Model!$C$4/1000)/General_Model!$C$15)^0.25))*General_Model!$C$7/(General_Model!$C$4/1000)+1)+(4*(0.3164/((General_Model!$C$14*A655*(General_Model!$C$4/1000)/General_Model!$C$15)^0.25))*General_Model!$C$7/(General_Model!$C$4/1000)+2)*(General_Model!$C$26/A655))</f>
        <v>-0.25094800323073646</v>
      </c>
      <c r="C655" s="13">
        <f t="shared" si="10"/>
        <v>0</v>
      </c>
    </row>
    <row r="656" spans="1:3" x14ac:dyDescent="0.25">
      <c r="A656" s="11">
        <v>0.65400000000000003</v>
      </c>
      <c r="B656" s="12">
        <f>(General_Model!$C$6/General_Model!$C$7)-1/(1+General_Model!$C$26/((1.2+0.2*(General_Model!$C$26/A656)+0.35*SQRT(9.80665*(General_Model!$C$4/1000))/A656)*A656))-(A656^2/(2*9.80665*General_Model!$C$7))*((4*(0.3164/((General_Model!$C$14*A656*(General_Model!$C$4/1000)/General_Model!$C$15)^0.25))*General_Model!$C$7/(General_Model!$C$4/1000)+1)+(4*(0.3164/((General_Model!$C$14*A656*(General_Model!$C$4/1000)/General_Model!$C$15)^0.25))*General_Model!$C$7/(General_Model!$C$4/1000)+2)*(General_Model!$C$26/A656))</f>
        <v>-0.25149375131795515</v>
      </c>
      <c r="C656" s="13">
        <f t="shared" si="10"/>
        <v>0</v>
      </c>
    </row>
    <row r="657" spans="1:3" x14ac:dyDescent="0.25">
      <c r="A657" s="11">
        <v>0.65500000000000003</v>
      </c>
      <c r="B657" s="12">
        <f>(General_Model!$C$6/General_Model!$C$7)-1/(1+General_Model!$C$26/((1.2+0.2*(General_Model!$C$26/A657)+0.35*SQRT(9.80665*(General_Model!$C$4/1000))/A657)*A657))-(A657^2/(2*9.80665*General_Model!$C$7))*((4*(0.3164/((General_Model!$C$14*A657*(General_Model!$C$4/1000)/General_Model!$C$15)^0.25))*General_Model!$C$7/(General_Model!$C$4/1000)+1)+(4*(0.3164/((General_Model!$C$14*A657*(General_Model!$C$4/1000)/General_Model!$C$15)^0.25))*General_Model!$C$7/(General_Model!$C$4/1000)+2)*(General_Model!$C$26/A657))</f>
        <v>-0.2520394032102159</v>
      </c>
      <c r="C657" s="13">
        <f t="shared" si="10"/>
        <v>0</v>
      </c>
    </row>
    <row r="658" spans="1:3" x14ac:dyDescent="0.25">
      <c r="A658" s="11">
        <v>0.65600000000000003</v>
      </c>
      <c r="B658" s="12">
        <f>(General_Model!$C$6/General_Model!$C$7)-1/(1+General_Model!$C$26/((1.2+0.2*(General_Model!$C$26/A658)+0.35*SQRT(9.80665*(General_Model!$C$4/1000))/A658)*A658))-(A658^2/(2*9.80665*General_Model!$C$7))*((4*(0.3164/((General_Model!$C$14*A658*(General_Model!$C$4/1000)/General_Model!$C$15)^0.25))*General_Model!$C$7/(General_Model!$C$4/1000)+1)+(4*(0.3164/((General_Model!$C$14*A658*(General_Model!$C$4/1000)/General_Model!$C$15)^0.25))*General_Model!$C$7/(General_Model!$C$4/1000)+2)*(General_Model!$C$26/A658))</f>
        <v>-0.25258495969716865</v>
      </c>
      <c r="C658" s="13">
        <f t="shared" si="10"/>
        <v>0</v>
      </c>
    </row>
    <row r="659" spans="1:3" x14ac:dyDescent="0.25">
      <c r="A659" s="11">
        <v>0.65700000000000003</v>
      </c>
      <c r="B659" s="12">
        <f>(General_Model!$C$6/General_Model!$C$7)-1/(1+General_Model!$C$26/((1.2+0.2*(General_Model!$C$26/A659)+0.35*SQRT(9.80665*(General_Model!$C$4/1000))/A659)*A659))-(A659^2/(2*9.80665*General_Model!$C$7))*((4*(0.3164/((General_Model!$C$14*A659*(General_Model!$C$4/1000)/General_Model!$C$15)^0.25))*General_Model!$C$7/(General_Model!$C$4/1000)+1)+(4*(0.3164/((General_Model!$C$14*A659*(General_Model!$C$4/1000)/General_Model!$C$15)^0.25))*General_Model!$C$7/(General_Model!$C$4/1000)+2)*(General_Model!$C$26/A659))</f>
        <v>-0.25313042156594368</v>
      </c>
      <c r="C659" s="13">
        <f t="shared" si="10"/>
        <v>0</v>
      </c>
    </row>
    <row r="660" spans="1:3" x14ac:dyDescent="0.25">
      <c r="A660" s="11">
        <v>0.65800000000000003</v>
      </c>
      <c r="B660" s="12">
        <f>(General_Model!$C$6/General_Model!$C$7)-1/(1+General_Model!$C$26/((1.2+0.2*(General_Model!$C$26/A660)+0.35*SQRT(9.80665*(General_Model!$C$4/1000))/A660)*A660))-(A660^2/(2*9.80665*General_Model!$C$7))*((4*(0.3164/((General_Model!$C$14*A660*(General_Model!$C$4/1000)/General_Model!$C$15)^0.25))*General_Model!$C$7/(General_Model!$C$4/1000)+1)+(4*(0.3164/((General_Model!$C$14*A660*(General_Model!$C$4/1000)/General_Model!$C$15)^0.25))*General_Model!$C$7/(General_Model!$C$4/1000)+2)*(General_Model!$C$26/A660))</f>
        <v>-0.25367578960116027</v>
      </c>
      <c r="C660" s="13">
        <f t="shared" si="10"/>
        <v>0</v>
      </c>
    </row>
    <row r="661" spans="1:3" x14ac:dyDescent="0.25">
      <c r="A661" s="11">
        <v>0.65900000000000003</v>
      </c>
      <c r="B661" s="12">
        <f>(General_Model!$C$6/General_Model!$C$7)-1/(1+General_Model!$C$26/((1.2+0.2*(General_Model!$C$26/A661)+0.35*SQRT(9.80665*(General_Model!$C$4/1000))/A661)*A661))-(A661^2/(2*9.80665*General_Model!$C$7))*((4*(0.3164/((General_Model!$C$14*A661*(General_Model!$C$4/1000)/General_Model!$C$15)^0.25))*General_Model!$C$7/(General_Model!$C$4/1000)+1)+(4*(0.3164/((General_Model!$C$14*A661*(General_Model!$C$4/1000)/General_Model!$C$15)^0.25))*General_Model!$C$7/(General_Model!$C$4/1000)+2)*(General_Model!$C$26/A661))</f>
        <v>-0.25422106458493798</v>
      </c>
      <c r="C661" s="13">
        <f t="shared" si="10"/>
        <v>0</v>
      </c>
    </row>
    <row r="662" spans="1:3" x14ac:dyDescent="0.25">
      <c r="A662" s="11">
        <v>0.66</v>
      </c>
      <c r="B662" s="12">
        <f>(General_Model!$C$6/General_Model!$C$7)-1/(1+General_Model!$C$26/((1.2+0.2*(General_Model!$C$26/A662)+0.35*SQRT(9.80665*(General_Model!$C$4/1000))/A662)*A662))-(A662^2/(2*9.80665*General_Model!$C$7))*((4*(0.3164/((General_Model!$C$14*A662*(General_Model!$C$4/1000)/General_Model!$C$15)^0.25))*General_Model!$C$7/(General_Model!$C$4/1000)+1)+(4*(0.3164/((General_Model!$C$14*A662*(General_Model!$C$4/1000)/General_Model!$C$15)^0.25))*General_Model!$C$7/(General_Model!$C$4/1000)+2)*(General_Model!$C$26/A662))</f>
        <v>-0.25476624729690522</v>
      </c>
      <c r="C662" s="13">
        <f t="shared" si="10"/>
        <v>0</v>
      </c>
    </row>
    <row r="663" spans="1:3" x14ac:dyDescent="0.25">
      <c r="A663" s="11">
        <v>0.66100000000000003</v>
      </c>
      <c r="B663" s="12">
        <f>(General_Model!$C$6/General_Model!$C$7)-1/(1+General_Model!$C$26/((1.2+0.2*(General_Model!$C$26/A663)+0.35*SQRT(9.80665*(General_Model!$C$4/1000))/A663)*A663))-(A663^2/(2*9.80665*General_Model!$C$7))*((4*(0.3164/((General_Model!$C$14*A663*(General_Model!$C$4/1000)/General_Model!$C$15)^0.25))*General_Model!$C$7/(General_Model!$C$4/1000)+1)+(4*(0.3164/((General_Model!$C$14*A663*(General_Model!$C$4/1000)/General_Model!$C$15)^0.25))*General_Model!$C$7/(General_Model!$C$4/1000)+2)*(General_Model!$C$26/A663))</f>
        <v>-0.25531133851420951</v>
      </c>
      <c r="C663" s="13">
        <f t="shared" si="10"/>
        <v>0</v>
      </c>
    </row>
    <row r="664" spans="1:3" x14ac:dyDescent="0.25">
      <c r="A664" s="11">
        <v>0.66200000000000003</v>
      </c>
      <c r="B664" s="12">
        <f>(General_Model!$C$6/General_Model!$C$7)-1/(1+General_Model!$C$26/((1.2+0.2*(General_Model!$C$26/A664)+0.35*SQRT(9.80665*(General_Model!$C$4/1000))/A664)*A664))-(A664^2/(2*9.80665*General_Model!$C$7))*((4*(0.3164/((General_Model!$C$14*A664*(General_Model!$C$4/1000)/General_Model!$C$15)^0.25))*General_Model!$C$7/(General_Model!$C$4/1000)+1)+(4*(0.3164/((General_Model!$C$14*A664*(General_Model!$C$4/1000)/General_Model!$C$15)^0.25))*General_Model!$C$7/(General_Model!$C$4/1000)+2)*(General_Model!$C$26/A664))</f>
        <v>-0.25585633901152682</v>
      </c>
      <c r="C664" s="13">
        <f t="shared" si="10"/>
        <v>0</v>
      </c>
    </row>
    <row r="665" spans="1:3" x14ac:dyDescent="0.25">
      <c r="A665" s="11">
        <v>0.66300000000000003</v>
      </c>
      <c r="B665" s="12">
        <f>(General_Model!$C$6/General_Model!$C$7)-1/(1+General_Model!$C$26/((1.2+0.2*(General_Model!$C$26/A665)+0.35*SQRT(9.80665*(General_Model!$C$4/1000))/A665)*A665))-(A665^2/(2*9.80665*General_Model!$C$7))*((4*(0.3164/((General_Model!$C$14*A665*(General_Model!$C$4/1000)/General_Model!$C$15)^0.25))*General_Model!$C$7/(General_Model!$C$4/1000)+1)+(4*(0.3164/((General_Model!$C$14*A665*(General_Model!$C$4/1000)/General_Model!$C$15)^0.25))*General_Model!$C$7/(General_Model!$C$4/1000)+2)*(General_Model!$C$26/A665))</f>
        <v>-0.25640124956107213</v>
      </c>
      <c r="C665" s="13">
        <f t="shared" si="10"/>
        <v>0</v>
      </c>
    </row>
    <row r="666" spans="1:3" x14ac:dyDescent="0.25">
      <c r="A666" s="11">
        <v>0.66400000000000003</v>
      </c>
      <c r="B666" s="12">
        <f>(General_Model!$C$6/General_Model!$C$7)-1/(1+General_Model!$C$26/((1.2+0.2*(General_Model!$C$26/A666)+0.35*SQRT(9.80665*(General_Model!$C$4/1000))/A666)*A666))-(A666^2/(2*9.80665*General_Model!$C$7))*((4*(0.3164/((General_Model!$C$14*A666*(General_Model!$C$4/1000)/General_Model!$C$15)^0.25))*General_Model!$C$7/(General_Model!$C$4/1000)+1)+(4*(0.3164/((General_Model!$C$14*A666*(General_Model!$C$4/1000)/General_Model!$C$15)^0.25))*General_Model!$C$7/(General_Model!$C$4/1000)+2)*(General_Model!$C$26/A666))</f>
        <v>-0.25694607093260774</v>
      </c>
      <c r="C666" s="13">
        <f t="shared" si="10"/>
        <v>0</v>
      </c>
    </row>
    <row r="667" spans="1:3" x14ac:dyDescent="0.25">
      <c r="A667" s="11">
        <v>0.66500000000000004</v>
      </c>
      <c r="B667" s="12">
        <f>(General_Model!$C$6/General_Model!$C$7)-1/(1+General_Model!$C$26/((1.2+0.2*(General_Model!$C$26/A667)+0.35*SQRT(9.80665*(General_Model!$C$4/1000))/A667)*A667))-(A667^2/(2*9.80665*General_Model!$C$7))*((4*(0.3164/((General_Model!$C$14*A667*(General_Model!$C$4/1000)/General_Model!$C$15)^0.25))*General_Model!$C$7/(General_Model!$C$4/1000)+1)+(4*(0.3164/((General_Model!$C$14*A667*(General_Model!$C$4/1000)/General_Model!$C$15)^0.25))*General_Model!$C$7/(General_Model!$C$4/1000)+2)*(General_Model!$C$26/A667))</f>
        <v>-0.25749080389345358</v>
      </c>
      <c r="C667" s="13">
        <f t="shared" si="10"/>
        <v>0</v>
      </c>
    </row>
    <row r="668" spans="1:3" x14ac:dyDescent="0.25">
      <c r="A668" s="11">
        <v>0.66600000000000004</v>
      </c>
      <c r="B668" s="12">
        <f>(General_Model!$C$6/General_Model!$C$7)-1/(1+General_Model!$C$26/((1.2+0.2*(General_Model!$C$26/A668)+0.35*SQRT(9.80665*(General_Model!$C$4/1000))/A668)*A668))-(A668^2/(2*9.80665*General_Model!$C$7))*((4*(0.3164/((General_Model!$C$14*A668*(General_Model!$C$4/1000)/General_Model!$C$15)^0.25))*General_Model!$C$7/(General_Model!$C$4/1000)+1)+(4*(0.3164/((General_Model!$C$14*A668*(General_Model!$C$4/1000)/General_Model!$C$15)^0.25))*General_Model!$C$7/(General_Model!$C$4/1000)+2)*(General_Model!$C$26/A668))</f>
        <v>-0.25803544920849664</v>
      </c>
      <c r="C668" s="13">
        <f t="shared" si="10"/>
        <v>0</v>
      </c>
    </row>
    <row r="669" spans="1:3" x14ac:dyDescent="0.25">
      <c r="A669" s="11">
        <v>0.66700000000000004</v>
      </c>
      <c r="B669" s="12">
        <f>(General_Model!$C$6/General_Model!$C$7)-1/(1+General_Model!$C$26/((1.2+0.2*(General_Model!$C$26/A669)+0.35*SQRT(9.80665*(General_Model!$C$4/1000))/A669)*A669))-(A669^2/(2*9.80665*General_Model!$C$7))*((4*(0.3164/((General_Model!$C$14*A669*(General_Model!$C$4/1000)/General_Model!$C$15)^0.25))*General_Model!$C$7/(General_Model!$C$4/1000)+1)+(4*(0.3164/((General_Model!$C$14*A669*(General_Model!$C$4/1000)/General_Model!$C$15)^0.25))*General_Model!$C$7/(General_Model!$C$4/1000)+2)*(General_Model!$C$26/A669))</f>
        <v>-0.25858000764020039</v>
      </c>
      <c r="C669" s="13">
        <f t="shared" si="10"/>
        <v>0</v>
      </c>
    </row>
    <row r="670" spans="1:3" x14ac:dyDescent="0.25">
      <c r="A670" s="11">
        <v>0.66800000000000004</v>
      </c>
      <c r="B670" s="12">
        <f>(General_Model!$C$6/General_Model!$C$7)-1/(1+General_Model!$C$26/((1.2+0.2*(General_Model!$C$26/A670)+0.35*SQRT(9.80665*(General_Model!$C$4/1000))/A670)*A670))-(A670^2/(2*9.80665*General_Model!$C$7))*((4*(0.3164/((General_Model!$C$14*A670*(General_Model!$C$4/1000)/General_Model!$C$15)^0.25))*General_Model!$C$7/(General_Model!$C$4/1000)+1)+(4*(0.3164/((General_Model!$C$14*A670*(General_Model!$C$4/1000)/General_Model!$C$15)^0.25))*General_Model!$C$7/(General_Model!$C$4/1000)+2)*(General_Model!$C$26/A670))</f>
        <v>-0.25912447994861398</v>
      </c>
      <c r="C670" s="13">
        <f t="shared" si="10"/>
        <v>0</v>
      </c>
    </row>
    <row r="671" spans="1:3" x14ac:dyDescent="0.25">
      <c r="A671" s="11">
        <v>0.66900000000000004</v>
      </c>
      <c r="B671" s="12">
        <f>(General_Model!$C$6/General_Model!$C$7)-1/(1+General_Model!$C$26/((1.2+0.2*(General_Model!$C$26/A671)+0.35*SQRT(9.80665*(General_Model!$C$4/1000))/A671)*A671))-(A671^2/(2*9.80665*General_Model!$C$7))*((4*(0.3164/((General_Model!$C$14*A671*(General_Model!$C$4/1000)/General_Model!$C$15)^0.25))*General_Model!$C$7/(General_Model!$C$4/1000)+1)+(4*(0.3164/((General_Model!$C$14*A671*(General_Model!$C$4/1000)/General_Model!$C$15)^0.25))*General_Model!$C$7/(General_Model!$C$4/1000)+2)*(General_Model!$C$26/A671))</f>
        <v>-0.25966886689138191</v>
      </c>
      <c r="C671" s="13">
        <f t="shared" si="10"/>
        <v>0</v>
      </c>
    </row>
    <row r="672" spans="1:3" x14ac:dyDescent="0.25">
      <c r="A672" s="11">
        <v>0.67</v>
      </c>
      <c r="B672" s="12">
        <f>(General_Model!$C$6/General_Model!$C$7)-1/(1+General_Model!$C$26/((1.2+0.2*(General_Model!$C$26/A672)+0.35*SQRT(9.80665*(General_Model!$C$4/1000))/A672)*A672))-(A672^2/(2*9.80665*General_Model!$C$7))*((4*(0.3164/((General_Model!$C$14*A672*(General_Model!$C$4/1000)/General_Model!$C$15)^0.25))*General_Model!$C$7/(General_Model!$C$4/1000)+1)+(4*(0.3164/((General_Model!$C$14*A672*(General_Model!$C$4/1000)/General_Model!$C$15)^0.25))*General_Model!$C$7/(General_Model!$C$4/1000)+2)*(General_Model!$C$26/A672))</f>
        <v>-0.26021316922375348</v>
      </c>
      <c r="C672" s="13">
        <f t="shared" si="10"/>
        <v>0</v>
      </c>
    </row>
    <row r="673" spans="1:3" x14ac:dyDescent="0.25">
      <c r="A673" s="11">
        <v>0.67100000000000004</v>
      </c>
      <c r="B673" s="12">
        <f>(General_Model!$C$6/General_Model!$C$7)-1/(1+General_Model!$C$26/((1.2+0.2*(General_Model!$C$26/A673)+0.35*SQRT(9.80665*(General_Model!$C$4/1000))/A673)*A673))-(A673^2/(2*9.80665*General_Model!$C$7))*((4*(0.3164/((General_Model!$C$14*A673*(General_Model!$C$4/1000)/General_Model!$C$15)^0.25))*General_Model!$C$7/(General_Model!$C$4/1000)+1)+(4*(0.3164/((General_Model!$C$14*A673*(General_Model!$C$4/1000)/General_Model!$C$15)^0.25))*General_Model!$C$7/(General_Model!$C$4/1000)+2)*(General_Model!$C$26/A673))</f>
        <v>-0.26075738769859141</v>
      </c>
      <c r="C673" s="13">
        <f t="shared" si="10"/>
        <v>0</v>
      </c>
    </row>
    <row r="674" spans="1:3" x14ac:dyDescent="0.25">
      <c r="A674" s="11">
        <v>0.67200000000000004</v>
      </c>
      <c r="B674" s="12">
        <f>(General_Model!$C$6/General_Model!$C$7)-1/(1+General_Model!$C$26/((1.2+0.2*(General_Model!$C$26/A674)+0.35*SQRT(9.80665*(General_Model!$C$4/1000))/A674)*A674))-(A674^2/(2*9.80665*General_Model!$C$7))*((4*(0.3164/((General_Model!$C$14*A674*(General_Model!$C$4/1000)/General_Model!$C$15)^0.25))*General_Model!$C$7/(General_Model!$C$4/1000)+1)+(4*(0.3164/((General_Model!$C$14*A674*(General_Model!$C$4/1000)/General_Model!$C$15)^0.25))*General_Model!$C$7/(General_Model!$C$4/1000)+2)*(General_Model!$C$26/A674))</f>
        <v>-0.26130152306638155</v>
      </c>
      <c r="C674" s="13">
        <f t="shared" si="10"/>
        <v>0</v>
      </c>
    </row>
    <row r="675" spans="1:3" x14ac:dyDescent="0.25">
      <c r="A675" s="11">
        <v>0.67300000000000004</v>
      </c>
      <c r="B675" s="12">
        <f>(General_Model!$C$6/General_Model!$C$7)-1/(1+General_Model!$C$26/((1.2+0.2*(General_Model!$C$26/A675)+0.35*SQRT(9.80665*(General_Model!$C$4/1000))/A675)*A675))-(A675^2/(2*9.80665*General_Model!$C$7))*((4*(0.3164/((General_Model!$C$14*A675*(General_Model!$C$4/1000)/General_Model!$C$15)^0.25))*General_Model!$C$7/(General_Model!$C$4/1000)+1)+(4*(0.3164/((General_Model!$C$14*A675*(General_Model!$C$4/1000)/General_Model!$C$15)^0.25))*General_Model!$C$7/(General_Model!$C$4/1000)+2)*(General_Model!$C$26/A675))</f>
        <v>-0.26184557607524228</v>
      </c>
      <c r="C675" s="13">
        <f t="shared" si="10"/>
        <v>0</v>
      </c>
    </row>
    <row r="676" spans="1:3" x14ac:dyDescent="0.25">
      <c r="A676" s="11">
        <v>0.67400000000000004</v>
      </c>
      <c r="B676" s="12">
        <f>(General_Model!$C$6/General_Model!$C$7)-1/(1+General_Model!$C$26/((1.2+0.2*(General_Model!$C$26/A676)+0.35*SQRT(9.80665*(General_Model!$C$4/1000))/A676)*A676))-(A676^2/(2*9.80665*General_Model!$C$7))*((4*(0.3164/((General_Model!$C$14*A676*(General_Model!$C$4/1000)/General_Model!$C$15)^0.25))*General_Model!$C$7/(General_Model!$C$4/1000)+1)+(4*(0.3164/((General_Model!$C$14*A676*(General_Model!$C$4/1000)/General_Model!$C$15)^0.25))*General_Model!$C$7/(General_Model!$C$4/1000)+2)*(General_Model!$C$26/A676))</f>
        <v>-0.26238954747093324</v>
      </c>
      <c r="C676" s="13">
        <f t="shared" si="10"/>
        <v>0</v>
      </c>
    </row>
    <row r="677" spans="1:3" x14ac:dyDescent="0.25">
      <c r="A677" s="11">
        <v>0.67500000000000004</v>
      </c>
      <c r="B677" s="12">
        <f>(General_Model!$C$6/General_Model!$C$7)-1/(1+General_Model!$C$26/((1.2+0.2*(General_Model!$C$26/A677)+0.35*SQRT(9.80665*(General_Model!$C$4/1000))/A677)*A677))-(A677^2/(2*9.80665*General_Model!$C$7))*((4*(0.3164/((General_Model!$C$14*A677*(General_Model!$C$4/1000)/General_Model!$C$15)^0.25))*General_Model!$C$7/(General_Model!$C$4/1000)+1)+(4*(0.3164/((General_Model!$C$14*A677*(General_Model!$C$4/1000)/General_Model!$C$15)^0.25))*General_Model!$C$7/(General_Model!$C$4/1000)+2)*(General_Model!$C$26/A677))</f>
        <v>-0.26293343799686486</v>
      </c>
      <c r="C677" s="13">
        <f t="shared" si="10"/>
        <v>0</v>
      </c>
    </row>
    <row r="678" spans="1:3" x14ac:dyDescent="0.25">
      <c r="A678" s="11">
        <v>0.67600000000000005</v>
      </c>
      <c r="B678" s="12">
        <f>(General_Model!$C$6/General_Model!$C$7)-1/(1+General_Model!$C$26/((1.2+0.2*(General_Model!$C$26/A678)+0.35*SQRT(9.80665*(General_Model!$C$4/1000))/A678)*A678))-(A678^2/(2*9.80665*General_Model!$C$7))*((4*(0.3164/((General_Model!$C$14*A678*(General_Model!$C$4/1000)/General_Model!$C$15)^0.25))*General_Model!$C$7/(General_Model!$C$4/1000)+1)+(4*(0.3164/((General_Model!$C$14*A678*(General_Model!$C$4/1000)/General_Model!$C$15)^0.25))*General_Model!$C$7/(General_Model!$C$4/1000)+2)*(General_Model!$C$26/A678))</f>
        <v>-0.26347724839410658</v>
      </c>
      <c r="C678" s="13">
        <f t="shared" si="10"/>
        <v>0</v>
      </c>
    </row>
    <row r="679" spans="1:3" x14ac:dyDescent="0.25">
      <c r="A679" s="11">
        <v>0.67700000000000005</v>
      </c>
      <c r="B679" s="12">
        <f>(General_Model!$C$6/General_Model!$C$7)-1/(1+General_Model!$C$26/((1.2+0.2*(General_Model!$C$26/A679)+0.35*SQRT(9.80665*(General_Model!$C$4/1000))/A679)*A679))-(A679^2/(2*9.80665*General_Model!$C$7))*((4*(0.3164/((General_Model!$C$14*A679*(General_Model!$C$4/1000)/General_Model!$C$15)^0.25))*General_Model!$C$7/(General_Model!$C$4/1000)+1)+(4*(0.3164/((General_Model!$C$14*A679*(General_Model!$C$4/1000)/General_Model!$C$15)^0.25))*General_Model!$C$7/(General_Model!$C$4/1000)+2)*(General_Model!$C$26/A679))</f>
        <v>-0.26402097940139735</v>
      </c>
      <c r="C679" s="13">
        <f t="shared" si="10"/>
        <v>0</v>
      </c>
    </row>
    <row r="680" spans="1:3" x14ac:dyDescent="0.25">
      <c r="A680" s="11">
        <v>0.67800000000000005</v>
      </c>
      <c r="B680" s="12">
        <f>(General_Model!$C$6/General_Model!$C$7)-1/(1+General_Model!$C$26/((1.2+0.2*(General_Model!$C$26/A680)+0.35*SQRT(9.80665*(General_Model!$C$4/1000))/A680)*A680))-(A680^2/(2*9.80665*General_Model!$C$7))*((4*(0.3164/((General_Model!$C$14*A680*(General_Model!$C$4/1000)/General_Model!$C$15)^0.25))*General_Model!$C$7/(General_Model!$C$4/1000)+1)+(4*(0.3164/((General_Model!$C$14*A680*(General_Model!$C$4/1000)/General_Model!$C$15)^0.25))*General_Model!$C$7/(General_Model!$C$4/1000)+2)*(General_Model!$C$26/A680))</f>
        <v>-0.2645646317551531</v>
      </c>
      <c r="C680" s="13">
        <f t="shared" si="10"/>
        <v>0</v>
      </c>
    </row>
    <row r="681" spans="1:3" x14ac:dyDescent="0.25">
      <c r="A681" s="11">
        <v>0.67900000000000005</v>
      </c>
      <c r="B681" s="12">
        <f>(General_Model!$C$6/General_Model!$C$7)-1/(1+General_Model!$C$26/((1.2+0.2*(General_Model!$C$26/A681)+0.35*SQRT(9.80665*(General_Model!$C$4/1000))/A681)*A681))-(A681^2/(2*9.80665*General_Model!$C$7))*((4*(0.3164/((General_Model!$C$14*A681*(General_Model!$C$4/1000)/General_Model!$C$15)^0.25))*General_Model!$C$7/(General_Model!$C$4/1000)+1)+(4*(0.3164/((General_Model!$C$14*A681*(General_Model!$C$4/1000)/General_Model!$C$15)^0.25))*General_Model!$C$7/(General_Model!$C$4/1000)+2)*(General_Model!$C$26/A681))</f>
        <v>-0.2651082061894765</v>
      </c>
      <c r="C681" s="13">
        <f t="shared" si="10"/>
        <v>0</v>
      </c>
    </row>
    <row r="682" spans="1:3" x14ac:dyDescent="0.25">
      <c r="A682" s="11">
        <v>0.68</v>
      </c>
      <c r="B682" s="12">
        <f>(General_Model!$C$6/General_Model!$C$7)-1/(1+General_Model!$C$26/((1.2+0.2*(General_Model!$C$26/A682)+0.35*SQRT(9.80665*(General_Model!$C$4/1000))/A682)*A682))-(A682^2/(2*9.80665*General_Model!$C$7))*((4*(0.3164/((General_Model!$C$14*A682*(General_Model!$C$4/1000)/General_Model!$C$15)^0.25))*General_Model!$C$7/(General_Model!$C$4/1000)+1)+(4*(0.3164/((General_Model!$C$14*A682*(General_Model!$C$4/1000)/General_Model!$C$15)^0.25))*General_Model!$C$7/(General_Model!$C$4/1000)+2)*(General_Model!$C$26/A682))</f>
        <v>-0.26565170343616573</v>
      </c>
      <c r="C682" s="13">
        <f t="shared" si="10"/>
        <v>0</v>
      </c>
    </row>
    <row r="683" spans="1:3" x14ac:dyDescent="0.25">
      <c r="A683" s="11">
        <v>0.68100000000000005</v>
      </c>
      <c r="B683" s="12">
        <f>(General_Model!$C$6/General_Model!$C$7)-1/(1+General_Model!$C$26/((1.2+0.2*(General_Model!$C$26/A683)+0.35*SQRT(9.80665*(General_Model!$C$4/1000))/A683)*A683))-(A683^2/(2*9.80665*General_Model!$C$7))*((4*(0.3164/((General_Model!$C$14*A683*(General_Model!$C$4/1000)/General_Model!$C$15)^0.25))*General_Model!$C$7/(General_Model!$C$4/1000)+1)+(4*(0.3164/((General_Model!$C$14*A683*(General_Model!$C$4/1000)/General_Model!$C$15)^0.25))*General_Model!$C$7/(General_Model!$C$4/1000)+2)*(General_Model!$C$26/A683))</f>
        <v>-0.26619512422472313</v>
      </c>
      <c r="C683" s="13">
        <f t="shared" si="10"/>
        <v>0</v>
      </c>
    </row>
    <row r="684" spans="1:3" x14ac:dyDescent="0.25">
      <c r="A684" s="11">
        <v>0.68200000000000005</v>
      </c>
      <c r="B684" s="12">
        <f>(General_Model!$C$6/General_Model!$C$7)-1/(1+General_Model!$C$26/((1.2+0.2*(General_Model!$C$26/A684)+0.35*SQRT(9.80665*(General_Model!$C$4/1000))/A684)*A684))-(A684^2/(2*9.80665*General_Model!$C$7))*((4*(0.3164/((General_Model!$C$14*A684*(General_Model!$C$4/1000)/General_Model!$C$15)^0.25))*General_Model!$C$7/(General_Model!$C$4/1000)+1)+(4*(0.3164/((General_Model!$C$14*A684*(General_Model!$C$4/1000)/General_Model!$C$15)^0.25))*General_Model!$C$7/(General_Model!$C$4/1000)+2)*(General_Model!$C$26/A684))</f>
        <v>-0.26673846928236478</v>
      </c>
      <c r="C684" s="13">
        <f t="shared" si="10"/>
        <v>0</v>
      </c>
    </row>
    <row r="685" spans="1:3" x14ac:dyDescent="0.25">
      <c r="A685" s="11">
        <v>0.68300000000000005</v>
      </c>
      <c r="B685" s="12">
        <f>(General_Model!$C$6/General_Model!$C$7)-1/(1+General_Model!$C$26/((1.2+0.2*(General_Model!$C$26/A685)+0.35*SQRT(9.80665*(General_Model!$C$4/1000))/A685)*A685))-(A685^2/(2*9.80665*General_Model!$C$7))*((4*(0.3164/((General_Model!$C$14*A685*(General_Model!$C$4/1000)/General_Model!$C$15)^0.25))*General_Model!$C$7/(General_Model!$C$4/1000)+1)+(4*(0.3164/((General_Model!$C$14*A685*(General_Model!$C$4/1000)/General_Model!$C$15)^0.25))*General_Model!$C$7/(General_Model!$C$4/1000)+2)*(General_Model!$C$26/A685))</f>
        <v>-0.26728173933402816</v>
      </c>
      <c r="C685" s="13">
        <f t="shared" si="10"/>
        <v>0</v>
      </c>
    </row>
    <row r="686" spans="1:3" x14ac:dyDescent="0.25">
      <c r="A686" s="11">
        <v>0.68400000000000005</v>
      </c>
      <c r="B686" s="12">
        <f>(General_Model!$C$6/General_Model!$C$7)-1/(1+General_Model!$C$26/((1.2+0.2*(General_Model!$C$26/A686)+0.35*SQRT(9.80665*(General_Model!$C$4/1000))/A686)*A686))-(A686^2/(2*9.80665*General_Model!$C$7))*((4*(0.3164/((General_Model!$C$14*A686*(General_Model!$C$4/1000)/General_Model!$C$15)^0.25))*General_Model!$C$7/(General_Model!$C$4/1000)+1)+(4*(0.3164/((General_Model!$C$14*A686*(General_Model!$C$4/1000)/General_Model!$C$15)^0.25))*General_Model!$C$7/(General_Model!$C$4/1000)+2)*(General_Model!$C$26/A686))</f>
        <v>-0.26782493510238153</v>
      </c>
      <c r="C686" s="13">
        <f t="shared" si="10"/>
        <v>0</v>
      </c>
    </row>
    <row r="687" spans="1:3" x14ac:dyDescent="0.25">
      <c r="A687" s="11">
        <v>0.68500000000000005</v>
      </c>
      <c r="B687" s="12">
        <f>(General_Model!$C$6/General_Model!$C$7)-1/(1+General_Model!$C$26/((1.2+0.2*(General_Model!$C$26/A687)+0.35*SQRT(9.80665*(General_Model!$C$4/1000))/A687)*A687))-(A687^2/(2*9.80665*General_Model!$C$7))*((4*(0.3164/((General_Model!$C$14*A687*(General_Model!$C$4/1000)/General_Model!$C$15)^0.25))*General_Model!$C$7/(General_Model!$C$4/1000)+1)+(4*(0.3164/((General_Model!$C$14*A687*(General_Model!$C$4/1000)/General_Model!$C$15)^0.25))*General_Model!$C$7/(General_Model!$C$4/1000)+2)*(General_Model!$C$26/A687))</f>
        <v>-0.26836805730783264</v>
      </c>
      <c r="C687" s="13">
        <f t="shared" si="10"/>
        <v>0</v>
      </c>
    </row>
    <row r="688" spans="1:3" x14ac:dyDescent="0.25">
      <c r="A688" s="11">
        <v>0.68600000000000005</v>
      </c>
      <c r="B688" s="12">
        <f>(General_Model!$C$6/General_Model!$C$7)-1/(1+General_Model!$C$26/((1.2+0.2*(General_Model!$C$26/A688)+0.35*SQRT(9.80665*(General_Model!$C$4/1000))/A688)*A688))-(A688^2/(2*9.80665*General_Model!$C$7))*((4*(0.3164/((General_Model!$C$14*A688*(General_Model!$C$4/1000)/General_Model!$C$15)^0.25))*General_Model!$C$7/(General_Model!$C$4/1000)+1)+(4*(0.3164/((General_Model!$C$14*A688*(General_Model!$C$4/1000)/General_Model!$C$15)^0.25))*General_Model!$C$7/(General_Model!$C$4/1000)+2)*(General_Model!$C$26/A688))</f>
        <v>-0.26891110666853713</v>
      </c>
      <c r="C688" s="13">
        <f t="shared" si="10"/>
        <v>0</v>
      </c>
    </row>
    <row r="689" spans="1:3" x14ac:dyDescent="0.25">
      <c r="A689" s="11">
        <v>0.68700000000000006</v>
      </c>
      <c r="B689" s="12">
        <f>(General_Model!$C$6/General_Model!$C$7)-1/(1+General_Model!$C$26/((1.2+0.2*(General_Model!$C$26/A689)+0.35*SQRT(9.80665*(General_Model!$C$4/1000))/A689)*A689))-(A689^2/(2*9.80665*General_Model!$C$7))*((4*(0.3164/((General_Model!$C$14*A689*(General_Model!$C$4/1000)/General_Model!$C$15)^0.25))*General_Model!$C$7/(General_Model!$C$4/1000)+1)+(4*(0.3164/((General_Model!$C$14*A689*(General_Model!$C$4/1000)/General_Model!$C$15)^0.25))*General_Model!$C$7/(General_Model!$C$4/1000)+2)*(General_Model!$C$26/A689))</f>
        <v>-0.26945408390040754</v>
      </c>
      <c r="C689" s="13">
        <f t="shared" si="10"/>
        <v>0</v>
      </c>
    </row>
    <row r="690" spans="1:3" x14ac:dyDescent="0.25">
      <c r="A690" s="11">
        <v>0.68800000000000006</v>
      </c>
      <c r="B690" s="12">
        <f>(General_Model!$C$6/General_Model!$C$7)-1/(1+General_Model!$C$26/((1.2+0.2*(General_Model!$C$26/A690)+0.35*SQRT(9.80665*(General_Model!$C$4/1000))/A690)*A690))-(A690^2/(2*9.80665*General_Model!$C$7))*((4*(0.3164/((General_Model!$C$14*A690*(General_Model!$C$4/1000)/General_Model!$C$15)^0.25))*General_Model!$C$7/(General_Model!$C$4/1000)+1)+(4*(0.3164/((General_Model!$C$14*A690*(General_Model!$C$4/1000)/General_Model!$C$15)^0.25))*General_Model!$C$7/(General_Model!$C$4/1000)+2)*(General_Model!$C$26/A690))</f>
        <v>-0.26999698971712138</v>
      </c>
      <c r="C690" s="13">
        <f t="shared" si="10"/>
        <v>0</v>
      </c>
    </row>
    <row r="691" spans="1:3" x14ac:dyDescent="0.25">
      <c r="A691" s="11">
        <v>0.68900000000000006</v>
      </c>
      <c r="B691" s="12">
        <f>(General_Model!$C$6/General_Model!$C$7)-1/(1+General_Model!$C$26/((1.2+0.2*(General_Model!$C$26/A691)+0.35*SQRT(9.80665*(General_Model!$C$4/1000))/A691)*A691))-(A691^2/(2*9.80665*General_Model!$C$7))*((4*(0.3164/((General_Model!$C$14*A691*(General_Model!$C$4/1000)/General_Model!$C$15)^0.25))*General_Model!$C$7/(General_Model!$C$4/1000)+1)+(4*(0.3164/((General_Model!$C$14*A691*(General_Model!$C$4/1000)/General_Model!$C$15)^0.25))*General_Model!$C$7/(General_Model!$C$4/1000)+2)*(General_Model!$C$26/A691))</f>
        <v>-0.2705398248301305</v>
      </c>
      <c r="C691" s="13">
        <f t="shared" si="10"/>
        <v>0</v>
      </c>
    </row>
    <row r="692" spans="1:3" x14ac:dyDescent="0.25">
      <c r="A692" s="11">
        <v>0.69000000000000006</v>
      </c>
      <c r="B692" s="12">
        <f>(General_Model!$C$6/General_Model!$C$7)-1/(1+General_Model!$C$26/((1.2+0.2*(General_Model!$C$26/A692)+0.35*SQRT(9.80665*(General_Model!$C$4/1000))/A692)*A692))-(A692^2/(2*9.80665*General_Model!$C$7))*((4*(0.3164/((General_Model!$C$14*A692*(General_Model!$C$4/1000)/General_Model!$C$15)^0.25))*General_Model!$C$7/(General_Model!$C$4/1000)+1)+(4*(0.3164/((General_Model!$C$14*A692*(General_Model!$C$4/1000)/General_Model!$C$15)^0.25))*General_Model!$C$7/(General_Model!$C$4/1000)+2)*(General_Model!$C$26/A692))</f>
        <v>-0.27108258994866796</v>
      </c>
      <c r="C692" s="13">
        <f t="shared" si="10"/>
        <v>0</v>
      </c>
    </row>
    <row r="693" spans="1:3" x14ac:dyDescent="0.25">
      <c r="A693" s="11">
        <v>0.69100000000000006</v>
      </c>
      <c r="B693" s="12">
        <f>(General_Model!$C$6/General_Model!$C$7)-1/(1+General_Model!$C$26/((1.2+0.2*(General_Model!$C$26/A693)+0.35*SQRT(9.80665*(General_Model!$C$4/1000))/A693)*A693))-(A693^2/(2*9.80665*General_Model!$C$7))*((4*(0.3164/((General_Model!$C$14*A693*(General_Model!$C$4/1000)/General_Model!$C$15)^0.25))*General_Model!$C$7/(General_Model!$C$4/1000)+1)+(4*(0.3164/((General_Model!$C$14*A693*(General_Model!$C$4/1000)/General_Model!$C$15)^0.25))*General_Model!$C$7/(General_Model!$C$4/1000)+2)*(General_Model!$C$26/A693))</f>
        <v>-0.27162528577975875</v>
      </c>
      <c r="C693" s="13">
        <f t="shared" si="10"/>
        <v>0</v>
      </c>
    </row>
    <row r="694" spans="1:3" x14ac:dyDescent="0.25">
      <c r="A694" s="11">
        <v>0.69200000000000006</v>
      </c>
      <c r="B694" s="12">
        <f>(General_Model!$C$6/General_Model!$C$7)-1/(1+General_Model!$C$26/((1.2+0.2*(General_Model!$C$26/A694)+0.35*SQRT(9.80665*(General_Model!$C$4/1000))/A694)*A694))-(A694^2/(2*9.80665*General_Model!$C$7))*((4*(0.3164/((General_Model!$C$14*A694*(General_Model!$C$4/1000)/General_Model!$C$15)^0.25))*General_Model!$C$7/(General_Model!$C$4/1000)+1)+(4*(0.3164/((General_Model!$C$14*A694*(General_Model!$C$4/1000)/General_Model!$C$15)^0.25))*General_Model!$C$7/(General_Model!$C$4/1000)+2)*(General_Model!$C$26/A694))</f>
        <v>-0.2721679130282264</v>
      </c>
      <c r="C694" s="13">
        <f t="shared" si="10"/>
        <v>0</v>
      </c>
    </row>
    <row r="695" spans="1:3" x14ac:dyDescent="0.25">
      <c r="A695" s="11">
        <v>0.69300000000000006</v>
      </c>
      <c r="B695" s="12">
        <f>(General_Model!$C$6/General_Model!$C$7)-1/(1+General_Model!$C$26/((1.2+0.2*(General_Model!$C$26/A695)+0.35*SQRT(9.80665*(General_Model!$C$4/1000))/A695)*A695))-(A695^2/(2*9.80665*General_Model!$C$7))*((4*(0.3164/((General_Model!$C$14*A695*(General_Model!$C$4/1000)/General_Model!$C$15)^0.25))*General_Model!$C$7/(General_Model!$C$4/1000)+1)+(4*(0.3164/((General_Model!$C$14*A695*(General_Model!$C$4/1000)/General_Model!$C$15)^0.25))*General_Model!$C$7/(General_Model!$C$4/1000)+2)*(General_Model!$C$26/A695))</f>
        <v>-0.27271047239670215</v>
      </c>
      <c r="C695" s="13">
        <f t="shared" si="10"/>
        <v>0</v>
      </c>
    </row>
    <row r="696" spans="1:3" x14ac:dyDescent="0.25">
      <c r="A696" s="11">
        <v>0.69400000000000006</v>
      </c>
      <c r="B696" s="12">
        <f>(General_Model!$C$6/General_Model!$C$7)-1/(1+General_Model!$C$26/((1.2+0.2*(General_Model!$C$26/A696)+0.35*SQRT(9.80665*(General_Model!$C$4/1000))/A696)*A696))-(A696^2/(2*9.80665*General_Model!$C$7))*((4*(0.3164/((General_Model!$C$14*A696*(General_Model!$C$4/1000)/General_Model!$C$15)^0.25))*General_Model!$C$7/(General_Model!$C$4/1000)+1)+(4*(0.3164/((General_Model!$C$14*A696*(General_Model!$C$4/1000)/General_Model!$C$15)^0.25))*General_Model!$C$7/(General_Model!$C$4/1000)+2)*(General_Model!$C$26/A696))</f>
        <v>-0.27325296458563297</v>
      </c>
      <c r="C696" s="13">
        <f t="shared" si="10"/>
        <v>0</v>
      </c>
    </row>
    <row r="697" spans="1:3" x14ac:dyDescent="0.25">
      <c r="A697" s="11">
        <v>0.69500000000000006</v>
      </c>
      <c r="B697" s="12">
        <f>(General_Model!$C$6/General_Model!$C$7)-1/(1+General_Model!$C$26/((1.2+0.2*(General_Model!$C$26/A697)+0.35*SQRT(9.80665*(General_Model!$C$4/1000))/A697)*A697))-(A697^2/(2*9.80665*General_Model!$C$7))*((4*(0.3164/((General_Model!$C$14*A697*(General_Model!$C$4/1000)/General_Model!$C$15)^0.25))*General_Model!$C$7/(General_Model!$C$4/1000)+1)+(4*(0.3164/((General_Model!$C$14*A697*(General_Model!$C$4/1000)/General_Model!$C$15)^0.25))*General_Model!$C$7/(General_Model!$C$4/1000)+2)*(General_Model!$C$26/A697))</f>
        <v>-0.27379539029329059</v>
      </c>
      <c r="C697" s="13">
        <f t="shared" si="10"/>
        <v>0</v>
      </c>
    </row>
    <row r="698" spans="1:3" x14ac:dyDescent="0.25">
      <c r="A698" s="11">
        <v>0.69600000000000006</v>
      </c>
      <c r="B698" s="12">
        <f>(General_Model!$C$6/General_Model!$C$7)-1/(1+General_Model!$C$26/((1.2+0.2*(General_Model!$C$26/A698)+0.35*SQRT(9.80665*(General_Model!$C$4/1000))/A698)*A698))-(A698^2/(2*9.80665*General_Model!$C$7))*((4*(0.3164/((General_Model!$C$14*A698*(General_Model!$C$4/1000)/General_Model!$C$15)^0.25))*General_Model!$C$7/(General_Model!$C$4/1000)+1)+(4*(0.3164/((General_Model!$C$14*A698*(General_Model!$C$4/1000)/General_Model!$C$15)^0.25))*General_Model!$C$7/(General_Model!$C$4/1000)+2)*(General_Model!$C$26/A698))</f>
        <v>-0.27433775021577866</v>
      </c>
      <c r="C698" s="13">
        <f t="shared" si="10"/>
        <v>0</v>
      </c>
    </row>
    <row r="699" spans="1:3" x14ac:dyDescent="0.25">
      <c r="A699" s="11">
        <v>0.69700000000000006</v>
      </c>
      <c r="B699" s="12">
        <f>(General_Model!$C$6/General_Model!$C$7)-1/(1+General_Model!$C$26/((1.2+0.2*(General_Model!$C$26/A699)+0.35*SQRT(9.80665*(General_Model!$C$4/1000))/A699)*A699))-(A699^2/(2*9.80665*General_Model!$C$7))*((4*(0.3164/((General_Model!$C$14*A699*(General_Model!$C$4/1000)/General_Model!$C$15)^0.25))*General_Model!$C$7/(General_Model!$C$4/1000)+1)+(4*(0.3164/((General_Model!$C$14*A699*(General_Model!$C$4/1000)/General_Model!$C$15)^0.25))*General_Model!$C$7/(General_Model!$C$4/1000)+2)*(General_Model!$C$26/A699))</f>
        <v>-0.27488004504704172</v>
      </c>
      <c r="C699" s="13">
        <f t="shared" si="10"/>
        <v>0</v>
      </c>
    </row>
    <row r="700" spans="1:3" x14ac:dyDescent="0.25">
      <c r="A700" s="11">
        <v>0.69800000000000006</v>
      </c>
      <c r="B700" s="12">
        <f>(General_Model!$C$6/General_Model!$C$7)-1/(1+General_Model!$C$26/((1.2+0.2*(General_Model!$C$26/A700)+0.35*SQRT(9.80665*(General_Model!$C$4/1000))/A700)*A700))-(A700^2/(2*9.80665*General_Model!$C$7))*((4*(0.3164/((General_Model!$C$14*A700*(General_Model!$C$4/1000)/General_Model!$C$15)^0.25))*General_Model!$C$7/(General_Model!$C$4/1000)+1)+(4*(0.3164/((General_Model!$C$14*A700*(General_Model!$C$4/1000)/General_Model!$C$15)^0.25))*General_Model!$C$7/(General_Model!$C$4/1000)+2)*(General_Model!$C$26/A700))</f>
        <v>-0.27542227547887321</v>
      </c>
      <c r="C700" s="13">
        <f t="shared" si="10"/>
        <v>0</v>
      </c>
    </row>
    <row r="701" spans="1:3" x14ac:dyDescent="0.25">
      <c r="A701" s="11">
        <v>0.69900000000000007</v>
      </c>
      <c r="B701" s="12">
        <f>(General_Model!$C$6/General_Model!$C$7)-1/(1+General_Model!$C$26/((1.2+0.2*(General_Model!$C$26/A701)+0.35*SQRT(9.80665*(General_Model!$C$4/1000))/A701)*A701))-(A701^2/(2*9.80665*General_Model!$C$7))*((4*(0.3164/((General_Model!$C$14*A701*(General_Model!$C$4/1000)/General_Model!$C$15)^0.25))*General_Model!$C$7/(General_Model!$C$4/1000)+1)+(4*(0.3164/((General_Model!$C$14*A701*(General_Model!$C$4/1000)/General_Model!$C$15)^0.25))*General_Model!$C$7/(General_Model!$C$4/1000)+2)*(General_Model!$C$26/A701))</f>
        <v>-0.27596444220092398</v>
      </c>
      <c r="C701" s="13">
        <f t="shared" si="10"/>
        <v>0</v>
      </c>
    </row>
    <row r="702" spans="1:3" x14ac:dyDescent="0.25">
      <c r="A702" s="11">
        <v>0.70000000000000007</v>
      </c>
      <c r="B702" s="12">
        <f>(General_Model!$C$6/General_Model!$C$7)-1/(1+General_Model!$C$26/((1.2+0.2*(General_Model!$C$26/A702)+0.35*SQRT(9.80665*(General_Model!$C$4/1000))/A702)*A702))-(A702^2/(2*9.80665*General_Model!$C$7))*((4*(0.3164/((General_Model!$C$14*A702*(General_Model!$C$4/1000)/General_Model!$C$15)^0.25))*General_Model!$C$7/(General_Model!$C$4/1000)+1)+(4*(0.3164/((General_Model!$C$14*A702*(General_Model!$C$4/1000)/General_Model!$C$15)^0.25))*General_Model!$C$7/(General_Model!$C$4/1000)+2)*(General_Model!$C$26/A702))</f>
        <v>-0.27650654590070944</v>
      </c>
      <c r="C702" s="13">
        <f t="shared" si="10"/>
        <v>0</v>
      </c>
    </row>
    <row r="703" spans="1:3" x14ac:dyDescent="0.25">
      <c r="A703" s="11">
        <v>0.70100000000000007</v>
      </c>
      <c r="B703" s="12">
        <f>(General_Model!$C$6/General_Model!$C$7)-1/(1+General_Model!$C$26/((1.2+0.2*(General_Model!$C$26/A703)+0.35*SQRT(9.80665*(General_Model!$C$4/1000))/A703)*A703))-(A703^2/(2*9.80665*General_Model!$C$7))*((4*(0.3164/((General_Model!$C$14*A703*(General_Model!$C$4/1000)/General_Model!$C$15)^0.25))*General_Model!$C$7/(General_Model!$C$4/1000)+1)+(4*(0.3164/((General_Model!$C$14*A703*(General_Model!$C$4/1000)/General_Model!$C$15)^0.25))*General_Model!$C$7/(General_Model!$C$4/1000)+2)*(General_Model!$C$26/A703))</f>
        <v>-0.27704858726361914</v>
      </c>
      <c r="C703" s="13">
        <f t="shared" si="10"/>
        <v>0</v>
      </c>
    </row>
    <row r="704" spans="1:3" x14ac:dyDescent="0.25">
      <c r="A704" s="11">
        <v>0.70200000000000007</v>
      </c>
      <c r="B704" s="12">
        <f>(General_Model!$C$6/General_Model!$C$7)-1/(1+General_Model!$C$26/((1.2+0.2*(General_Model!$C$26/A704)+0.35*SQRT(9.80665*(General_Model!$C$4/1000))/A704)*A704))-(A704^2/(2*9.80665*General_Model!$C$7))*((4*(0.3164/((General_Model!$C$14*A704*(General_Model!$C$4/1000)/General_Model!$C$15)^0.25))*General_Model!$C$7/(General_Model!$C$4/1000)+1)+(4*(0.3164/((General_Model!$C$14*A704*(General_Model!$C$4/1000)/General_Model!$C$15)^0.25))*General_Model!$C$7/(General_Model!$C$4/1000)+2)*(General_Model!$C$26/A704))</f>
        <v>-0.27759056697292306</v>
      </c>
      <c r="C704" s="13">
        <f t="shared" si="10"/>
        <v>0</v>
      </c>
    </row>
    <row r="705" spans="1:3" x14ac:dyDescent="0.25">
      <c r="A705" s="11">
        <v>0.70300000000000007</v>
      </c>
      <c r="B705" s="12">
        <f>(General_Model!$C$6/General_Model!$C$7)-1/(1+General_Model!$C$26/((1.2+0.2*(General_Model!$C$26/A705)+0.35*SQRT(9.80665*(General_Model!$C$4/1000))/A705)*A705))-(A705^2/(2*9.80665*General_Model!$C$7))*((4*(0.3164/((General_Model!$C$14*A705*(General_Model!$C$4/1000)/General_Model!$C$15)^0.25))*General_Model!$C$7/(General_Model!$C$4/1000)+1)+(4*(0.3164/((General_Model!$C$14*A705*(General_Model!$C$4/1000)/General_Model!$C$15)^0.25))*General_Model!$C$7/(General_Model!$C$4/1000)+2)*(General_Model!$C$26/A705))</f>
        <v>-0.27813248570978116</v>
      </c>
      <c r="C705" s="13">
        <f t="shared" si="10"/>
        <v>0</v>
      </c>
    </row>
    <row r="706" spans="1:3" x14ac:dyDescent="0.25">
      <c r="A706" s="11">
        <v>0.70400000000000007</v>
      </c>
      <c r="B706" s="12">
        <f>(General_Model!$C$6/General_Model!$C$7)-1/(1+General_Model!$C$26/((1.2+0.2*(General_Model!$C$26/A706)+0.35*SQRT(9.80665*(General_Model!$C$4/1000))/A706)*A706))-(A706^2/(2*9.80665*General_Model!$C$7))*((4*(0.3164/((General_Model!$C$14*A706*(General_Model!$C$4/1000)/General_Model!$C$15)^0.25))*General_Model!$C$7/(General_Model!$C$4/1000)+1)+(4*(0.3164/((General_Model!$C$14*A706*(General_Model!$C$4/1000)/General_Model!$C$15)^0.25))*General_Model!$C$7/(General_Model!$C$4/1000)+2)*(General_Model!$C$26/A706))</f>
        <v>-0.27867434415325054</v>
      </c>
      <c r="C706" s="13">
        <f t="shared" si="10"/>
        <v>0</v>
      </c>
    </row>
    <row r="707" spans="1:3" x14ac:dyDescent="0.25">
      <c r="A707" s="11">
        <v>0.70499999999999996</v>
      </c>
      <c r="B707" s="12">
        <f>(General_Model!$C$6/General_Model!$C$7)-1/(1+General_Model!$C$26/((1.2+0.2*(General_Model!$C$26/A707)+0.35*SQRT(9.80665*(General_Model!$C$4/1000))/A707)*A707))-(A707^2/(2*9.80665*General_Model!$C$7))*((4*(0.3164/((General_Model!$C$14*A707*(General_Model!$C$4/1000)/General_Model!$C$15)^0.25))*General_Model!$C$7/(General_Model!$C$4/1000)+1)+(4*(0.3164/((General_Model!$C$14*A707*(General_Model!$C$4/1000)/General_Model!$C$15)^0.25))*General_Model!$C$7/(General_Model!$C$4/1000)+2)*(General_Model!$C$26/A707))</f>
        <v>-0.27921614298029351</v>
      </c>
      <c r="C707" s="13">
        <f t="shared" ref="C707:C770" si="11">IF(B707*B708&lt;=0,1,0)</f>
        <v>0</v>
      </c>
    </row>
    <row r="708" spans="1:3" x14ac:dyDescent="0.25">
      <c r="A708" s="11">
        <v>0.70599999999999996</v>
      </c>
      <c r="B708" s="12">
        <f>(General_Model!$C$6/General_Model!$C$7)-1/(1+General_Model!$C$26/((1.2+0.2*(General_Model!$C$26/A708)+0.35*SQRT(9.80665*(General_Model!$C$4/1000))/A708)*A708))-(A708^2/(2*9.80665*General_Model!$C$7))*((4*(0.3164/((General_Model!$C$14*A708*(General_Model!$C$4/1000)/General_Model!$C$15)^0.25))*General_Model!$C$7/(General_Model!$C$4/1000)+1)+(4*(0.3164/((General_Model!$C$14*A708*(General_Model!$C$4/1000)/General_Model!$C$15)^0.25))*General_Model!$C$7/(General_Model!$C$4/1000)+2)*(General_Model!$C$26/A708))</f>
        <v>-0.27975788286578562</v>
      </c>
      <c r="C708" s="13">
        <f t="shared" si="11"/>
        <v>0</v>
      </c>
    </row>
    <row r="709" spans="1:3" x14ac:dyDescent="0.25">
      <c r="A709" s="11">
        <v>0.70699999999999996</v>
      </c>
      <c r="B709" s="12">
        <f>(General_Model!$C$6/General_Model!$C$7)-1/(1+General_Model!$C$26/((1.2+0.2*(General_Model!$C$26/A709)+0.35*SQRT(9.80665*(General_Model!$C$4/1000))/A709)*A709))-(A709^2/(2*9.80665*General_Model!$C$7))*((4*(0.3164/((General_Model!$C$14*A709*(General_Model!$C$4/1000)/General_Model!$C$15)^0.25))*General_Model!$C$7/(General_Model!$C$4/1000)+1)+(4*(0.3164/((General_Model!$C$14*A709*(General_Model!$C$4/1000)/General_Model!$C$15)^0.25))*General_Model!$C$7/(General_Model!$C$4/1000)+2)*(General_Model!$C$26/A709))</f>
        <v>-0.28029956448252369</v>
      </c>
      <c r="C709" s="13">
        <f t="shared" si="11"/>
        <v>0</v>
      </c>
    </row>
    <row r="710" spans="1:3" x14ac:dyDescent="0.25">
      <c r="A710" s="11">
        <v>0.70799999999999996</v>
      </c>
      <c r="B710" s="12">
        <f>(General_Model!$C$6/General_Model!$C$7)-1/(1+General_Model!$C$26/((1.2+0.2*(General_Model!$C$26/A710)+0.35*SQRT(9.80665*(General_Model!$C$4/1000))/A710)*A710))-(A710^2/(2*9.80665*General_Model!$C$7))*((4*(0.3164/((General_Model!$C$14*A710*(General_Model!$C$4/1000)/General_Model!$C$15)^0.25))*General_Model!$C$7/(General_Model!$C$4/1000)+1)+(4*(0.3164/((General_Model!$C$14*A710*(General_Model!$C$4/1000)/General_Model!$C$15)^0.25))*General_Model!$C$7/(General_Model!$C$4/1000)+2)*(General_Model!$C$26/A710))</f>
        <v>-0.28084118850123274</v>
      </c>
      <c r="C710" s="13">
        <f t="shared" si="11"/>
        <v>0</v>
      </c>
    </row>
    <row r="711" spans="1:3" x14ac:dyDescent="0.25">
      <c r="A711" s="11">
        <v>0.70899999999999996</v>
      </c>
      <c r="B711" s="12">
        <f>(General_Model!$C$6/General_Model!$C$7)-1/(1+General_Model!$C$26/((1.2+0.2*(General_Model!$C$26/A711)+0.35*SQRT(9.80665*(General_Model!$C$4/1000))/A711)*A711))-(A711^2/(2*9.80665*General_Model!$C$7))*((4*(0.3164/((General_Model!$C$14*A711*(General_Model!$C$4/1000)/General_Model!$C$15)^0.25))*General_Model!$C$7/(General_Model!$C$4/1000)+1)+(4*(0.3164/((General_Model!$C$14*A711*(General_Model!$C$4/1000)/General_Model!$C$15)^0.25))*General_Model!$C$7/(General_Model!$C$4/1000)+2)*(General_Model!$C$26/A711))</f>
        <v>-0.28138275559057507</v>
      </c>
      <c r="C711" s="13">
        <f t="shared" si="11"/>
        <v>0</v>
      </c>
    </row>
    <row r="712" spans="1:3" x14ac:dyDescent="0.25">
      <c r="A712" s="11">
        <v>0.71</v>
      </c>
      <c r="B712" s="12">
        <f>(General_Model!$C$6/General_Model!$C$7)-1/(1+General_Model!$C$26/((1.2+0.2*(General_Model!$C$26/A712)+0.35*SQRT(9.80665*(General_Model!$C$4/1000))/A712)*A712))-(A712^2/(2*9.80665*General_Model!$C$7))*((4*(0.3164/((General_Model!$C$14*A712*(General_Model!$C$4/1000)/General_Model!$C$15)^0.25))*General_Model!$C$7/(General_Model!$C$4/1000)+1)+(4*(0.3164/((General_Model!$C$14*A712*(General_Model!$C$4/1000)/General_Model!$C$15)^0.25))*General_Model!$C$7/(General_Model!$C$4/1000)+2)*(General_Model!$C$26/A712))</f>
        <v>-0.28192426641715729</v>
      </c>
      <c r="C712" s="13">
        <f t="shared" si="11"/>
        <v>0</v>
      </c>
    </row>
    <row r="713" spans="1:3" x14ac:dyDescent="0.25">
      <c r="A713" s="11">
        <v>0.71099999999999997</v>
      </c>
      <c r="B713" s="12">
        <f>(General_Model!$C$6/General_Model!$C$7)-1/(1+General_Model!$C$26/((1.2+0.2*(General_Model!$C$26/A713)+0.35*SQRT(9.80665*(General_Model!$C$4/1000))/A713)*A713))-(A713^2/(2*9.80665*General_Model!$C$7))*((4*(0.3164/((General_Model!$C$14*A713*(General_Model!$C$4/1000)/General_Model!$C$15)^0.25))*General_Model!$C$7/(General_Model!$C$4/1000)+1)+(4*(0.3164/((General_Model!$C$14*A713*(General_Model!$C$4/1000)/General_Model!$C$15)^0.25))*General_Model!$C$7/(General_Model!$C$4/1000)+2)*(General_Model!$C$26/A713))</f>
        <v>-0.2824657216455379</v>
      </c>
      <c r="C713" s="13">
        <f t="shared" si="11"/>
        <v>0</v>
      </c>
    </row>
    <row r="714" spans="1:3" x14ac:dyDescent="0.25">
      <c r="A714" s="11">
        <v>0.71199999999999997</v>
      </c>
      <c r="B714" s="12">
        <f>(General_Model!$C$6/General_Model!$C$7)-1/(1+General_Model!$C$26/((1.2+0.2*(General_Model!$C$26/A714)+0.35*SQRT(9.80665*(General_Model!$C$4/1000))/A714)*A714))-(A714^2/(2*9.80665*General_Model!$C$7))*((4*(0.3164/((General_Model!$C$14*A714*(General_Model!$C$4/1000)/General_Model!$C$15)^0.25))*General_Model!$C$7/(General_Model!$C$4/1000)+1)+(4*(0.3164/((General_Model!$C$14*A714*(General_Model!$C$4/1000)/General_Model!$C$15)^0.25))*General_Model!$C$7/(General_Model!$C$4/1000)+2)*(General_Model!$C$26/A714))</f>
        <v>-0.28300712193823552</v>
      </c>
      <c r="C714" s="13">
        <f t="shared" si="11"/>
        <v>0</v>
      </c>
    </row>
    <row r="715" spans="1:3" x14ac:dyDescent="0.25">
      <c r="A715" s="11">
        <v>0.71299999999999997</v>
      </c>
      <c r="B715" s="12">
        <f>(General_Model!$C$6/General_Model!$C$7)-1/(1+General_Model!$C$26/((1.2+0.2*(General_Model!$C$26/A715)+0.35*SQRT(9.80665*(General_Model!$C$4/1000))/A715)*A715))-(A715^2/(2*9.80665*General_Model!$C$7))*((4*(0.3164/((General_Model!$C$14*A715*(General_Model!$C$4/1000)/General_Model!$C$15)^0.25))*General_Model!$C$7/(General_Model!$C$4/1000)+1)+(4*(0.3164/((General_Model!$C$14*A715*(General_Model!$C$4/1000)/General_Model!$C$15)^0.25))*General_Model!$C$7/(General_Model!$C$4/1000)+2)*(General_Model!$C$26/A715))</f>
        <v>-0.28354846795573629</v>
      </c>
      <c r="C715" s="13">
        <f t="shared" si="11"/>
        <v>0</v>
      </c>
    </row>
    <row r="716" spans="1:3" x14ac:dyDescent="0.25">
      <c r="A716" s="11">
        <v>0.71399999999999997</v>
      </c>
      <c r="B716" s="12">
        <f>(General_Model!$C$6/General_Model!$C$7)-1/(1+General_Model!$C$26/((1.2+0.2*(General_Model!$C$26/A716)+0.35*SQRT(9.80665*(General_Model!$C$4/1000))/A716)*A716))-(A716^2/(2*9.80665*General_Model!$C$7))*((4*(0.3164/((General_Model!$C$14*A716*(General_Model!$C$4/1000)/General_Model!$C$15)^0.25))*General_Model!$C$7/(General_Model!$C$4/1000)+1)+(4*(0.3164/((General_Model!$C$14*A716*(General_Model!$C$4/1000)/General_Model!$C$15)^0.25))*General_Model!$C$7/(General_Model!$C$4/1000)+2)*(General_Model!$C$26/A716))</f>
        <v>-0.28408976035650108</v>
      </c>
      <c r="C716" s="13">
        <f t="shared" si="11"/>
        <v>0</v>
      </c>
    </row>
    <row r="717" spans="1:3" x14ac:dyDescent="0.25">
      <c r="A717" s="11">
        <v>0.71499999999999997</v>
      </c>
      <c r="B717" s="12">
        <f>(General_Model!$C$6/General_Model!$C$7)-1/(1+General_Model!$C$26/((1.2+0.2*(General_Model!$C$26/A717)+0.35*SQRT(9.80665*(General_Model!$C$4/1000))/A717)*A717))-(A717^2/(2*9.80665*General_Model!$C$7))*((4*(0.3164/((General_Model!$C$14*A717*(General_Model!$C$4/1000)/General_Model!$C$15)^0.25))*General_Model!$C$7/(General_Model!$C$4/1000)+1)+(4*(0.3164/((General_Model!$C$14*A717*(General_Model!$C$4/1000)/General_Model!$C$15)^0.25))*General_Model!$C$7/(General_Model!$C$4/1000)+2)*(General_Model!$C$26/A717))</f>
        <v>-0.28463099979697404</v>
      </c>
      <c r="C717" s="13">
        <f t="shared" si="11"/>
        <v>0</v>
      </c>
    </row>
    <row r="718" spans="1:3" x14ac:dyDescent="0.25">
      <c r="A718" s="11">
        <v>0.71599999999999997</v>
      </c>
      <c r="B718" s="12">
        <f>(General_Model!$C$6/General_Model!$C$7)-1/(1+General_Model!$C$26/((1.2+0.2*(General_Model!$C$26/A718)+0.35*SQRT(9.80665*(General_Model!$C$4/1000))/A718)*A718))-(A718^2/(2*9.80665*General_Model!$C$7))*((4*(0.3164/((General_Model!$C$14*A718*(General_Model!$C$4/1000)/General_Model!$C$15)^0.25))*General_Model!$C$7/(General_Model!$C$4/1000)+1)+(4*(0.3164/((General_Model!$C$14*A718*(General_Model!$C$4/1000)/General_Model!$C$15)^0.25))*General_Model!$C$7/(General_Model!$C$4/1000)+2)*(General_Model!$C$26/A718))</f>
        <v>-0.28517218693158919</v>
      </c>
      <c r="C718" s="13">
        <f t="shared" si="11"/>
        <v>0</v>
      </c>
    </row>
    <row r="719" spans="1:3" x14ac:dyDescent="0.25">
      <c r="A719" s="11">
        <v>0.71699999999999997</v>
      </c>
      <c r="B719" s="12">
        <f>(General_Model!$C$6/General_Model!$C$7)-1/(1+General_Model!$C$26/((1.2+0.2*(General_Model!$C$26/A719)+0.35*SQRT(9.80665*(General_Model!$C$4/1000))/A719)*A719))-(A719^2/(2*9.80665*General_Model!$C$7))*((4*(0.3164/((General_Model!$C$14*A719*(General_Model!$C$4/1000)/General_Model!$C$15)^0.25))*General_Model!$C$7/(General_Model!$C$4/1000)+1)+(4*(0.3164/((General_Model!$C$14*A719*(General_Model!$C$4/1000)/General_Model!$C$15)^0.25))*General_Model!$C$7/(General_Model!$C$4/1000)+2)*(General_Model!$C$26/A719))</f>
        <v>-0.28571332241277847</v>
      </c>
      <c r="C719" s="13">
        <f t="shared" si="11"/>
        <v>0</v>
      </c>
    </row>
    <row r="720" spans="1:3" x14ac:dyDescent="0.25">
      <c r="A720" s="11">
        <v>0.71799999999999997</v>
      </c>
      <c r="B720" s="12">
        <f>(General_Model!$C$6/General_Model!$C$7)-1/(1+General_Model!$C$26/((1.2+0.2*(General_Model!$C$26/A720)+0.35*SQRT(9.80665*(General_Model!$C$4/1000))/A720)*A720))-(A720^2/(2*9.80665*General_Model!$C$7))*((4*(0.3164/((General_Model!$C$14*A720*(General_Model!$C$4/1000)/General_Model!$C$15)^0.25))*General_Model!$C$7/(General_Model!$C$4/1000)+1)+(4*(0.3164/((General_Model!$C$14*A720*(General_Model!$C$4/1000)/General_Model!$C$15)^0.25))*General_Model!$C$7/(General_Model!$C$4/1000)+2)*(General_Model!$C$26/A720))</f>
        <v>-0.28625440689097925</v>
      </c>
      <c r="C720" s="13">
        <f t="shared" si="11"/>
        <v>0</v>
      </c>
    </row>
    <row r="721" spans="1:3" x14ac:dyDescent="0.25">
      <c r="A721" s="11">
        <v>0.71899999999999997</v>
      </c>
      <c r="B721" s="12">
        <f>(General_Model!$C$6/General_Model!$C$7)-1/(1+General_Model!$C$26/((1.2+0.2*(General_Model!$C$26/A721)+0.35*SQRT(9.80665*(General_Model!$C$4/1000))/A721)*A721))-(A721^2/(2*9.80665*General_Model!$C$7))*((4*(0.3164/((General_Model!$C$14*A721*(General_Model!$C$4/1000)/General_Model!$C$15)^0.25))*General_Model!$C$7/(General_Model!$C$4/1000)+1)+(4*(0.3164/((General_Model!$C$14*A721*(General_Model!$C$4/1000)/General_Model!$C$15)^0.25))*General_Model!$C$7/(General_Model!$C$4/1000)+2)*(General_Model!$C$26/A721))</f>
        <v>-0.28679544101464116</v>
      </c>
      <c r="C721" s="13">
        <f t="shared" si="11"/>
        <v>0</v>
      </c>
    </row>
    <row r="722" spans="1:3" x14ac:dyDescent="0.25">
      <c r="A722" s="11">
        <v>0.72</v>
      </c>
      <c r="B722" s="12">
        <f>(General_Model!$C$6/General_Model!$C$7)-1/(1+General_Model!$C$26/((1.2+0.2*(General_Model!$C$26/A722)+0.35*SQRT(9.80665*(General_Model!$C$4/1000))/A722)*A722))-(A722^2/(2*9.80665*General_Model!$C$7))*((4*(0.3164/((General_Model!$C$14*A722*(General_Model!$C$4/1000)/General_Model!$C$15)^0.25))*General_Model!$C$7/(General_Model!$C$4/1000)+1)+(4*(0.3164/((General_Model!$C$14*A722*(General_Model!$C$4/1000)/General_Model!$C$15)^0.25))*General_Model!$C$7/(General_Model!$C$4/1000)+2)*(General_Model!$C$26/A722))</f>
        <v>-0.28733642543023463</v>
      </c>
      <c r="C722" s="13">
        <f t="shared" si="11"/>
        <v>0</v>
      </c>
    </row>
    <row r="723" spans="1:3" x14ac:dyDescent="0.25">
      <c r="A723" s="11">
        <v>0.72099999999999997</v>
      </c>
      <c r="B723" s="12">
        <f>(General_Model!$C$6/General_Model!$C$7)-1/(1+General_Model!$C$26/((1.2+0.2*(General_Model!$C$26/A723)+0.35*SQRT(9.80665*(General_Model!$C$4/1000))/A723)*A723))-(A723^2/(2*9.80665*General_Model!$C$7))*((4*(0.3164/((General_Model!$C$14*A723*(General_Model!$C$4/1000)/General_Model!$C$15)^0.25))*General_Model!$C$7/(General_Model!$C$4/1000)+1)+(4*(0.3164/((General_Model!$C$14*A723*(General_Model!$C$4/1000)/General_Model!$C$15)^0.25))*General_Model!$C$7/(General_Model!$C$4/1000)+2)*(General_Model!$C$26/A723))</f>
        <v>-0.28787736078225701</v>
      </c>
      <c r="C723" s="13">
        <f t="shared" si="11"/>
        <v>0</v>
      </c>
    </row>
    <row r="724" spans="1:3" x14ac:dyDescent="0.25">
      <c r="A724" s="11">
        <v>0.72199999999999998</v>
      </c>
      <c r="B724" s="12">
        <f>(General_Model!$C$6/General_Model!$C$7)-1/(1+General_Model!$C$26/((1.2+0.2*(General_Model!$C$26/A724)+0.35*SQRT(9.80665*(General_Model!$C$4/1000))/A724)*A724))-(A724^2/(2*9.80665*General_Model!$C$7))*((4*(0.3164/((General_Model!$C$14*A724*(General_Model!$C$4/1000)/General_Model!$C$15)^0.25))*General_Model!$C$7/(General_Model!$C$4/1000)+1)+(4*(0.3164/((General_Model!$C$14*A724*(General_Model!$C$4/1000)/General_Model!$C$15)^0.25))*General_Model!$C$7/(General_Model!$C$4/1000)+2)*(General_Model!$C$26/A724))</f>
        <v>-0.28841824771324098</v>
      </c>
      <c r="C724" s="13">
        <f t="shared" si="11"/>
        <v>0</v>
      </c>
    </row>
    <row r="725" spans="1:3" x14ac:dyDescent="0.25">
      <c r="A725" s="11">
        <v>0.72299999999999998</v>
      </c>
      <c r="B725" s="12">
        <f>(General_Model!$C$6/General_Model!$C$7)-1/(1+General_Model!$C$26/((1.2+0.2*(General_Model!$C$26/A725)+0.35*SQRT(9.80665*(General_Model!$C$4/1000))/A725)*A725))-(A725^2/(2*9.80665*General_Model!$C$7))*((4*(0.3164/((General_Model!$C$14*A725*(General_Model!$C$4/1000)/General_Model!$C$15)^0.25))*General_Model!$C$7/(General_Model!$C$4/1000)+1)+(4*(0.3164/((General_Model!$C$14*A725*(General_Model!$C$4/1000)/General_Model!$C$15)^0.25))*General_Model!$C$7/(General_Model!$C$4/1000)+2)*(General_Model!$C$26/A725))</f>
        <v>-0.28895908686376126</v>
      </c>
      <c r="C725" s="13">
        <f t="shared" si="11"/>
        <v>0</v>
      </c>
    </row>
    <row r="726" spans="1:3" x14ac:dyDescent="0.25">
      <c r="A726" s="11">
        <v>0.72399999999999998</v>
      </c>
      <c r="B726" s="12">
        <f>(General_Model!$C$6/General_Model!$C$7)-1/(1+General_Model!$C$26/((1.2+0.2*(General_Model!$C$26/A726)+0.35*SQRT(9.80665*(General_Model!$C$4/1000))/A726)*A726))-(A726^2/(2*9.80665*General_Model!$C$7))*((4*(0.3164/((General_Model!$C$14*A726*(General_Model!$C$4/1000)/General_Model!$C$15)^0.25))*General_Model!$C$7/(General_Model!$C$4/1000)+1)+(4*(0.3164/((General_Model!$C$14*A726*(General_Model!$C$4/1000)/General_Model!$C$15)^0.25))*General_Model!$C$7/(General_Model!$C$4/1000)+2)*(General_Model!$C$26/A726))</f>
        <v>-0.289499878872442</v>
      </c>
      <c r="C726" s="13">
        <f t="shared" si="11"/>
        <v>0</v>
      </c>
    </row>
    <row r="727" spans="1:3" x14ac:dyDescent="0.25">
      <c r="A727" s="11">
        <v>0.72499999999999998</v>
      </c>
      <c r="B727" s="12">
        <f>(General_Model!$C$6/General_Model!$C$7)-1/(1+General_Model!$C$26/((1.2+0.2*(General_Model!$C$26/A727)+0.35*SQRT(9.80665*(General_Model!$C$4/1000))/A727)*A727))-(A727^2/(2*9.80665*General_Model!$C$7))*((4*(0.3164/((General_Model!$C$14*A727*(General_Model!$C$4/1000)/General_Model!$C$15)^0.25))*General_Model!$C$7/(General_Model!$C$4/1000)+1)+(4*(0.3164/((General_Model!$C$14*A727*(General_Model!$C$4/1000)/General_Model!$C$15)^0.25))*General_Model!$C$7/(General_Model!$C$4/1000)+2)*(General_Model!$C$26/A727))</f>
        <v>-0.29004062437596434</v>
      </c>
      <c r="C727" s="13">
        <f t="shared" si="11"/>
        <v>0</v>
      </c>
    </row>
    <row r="728" spans="1:3" x14ac:dyDescent="0.25">
      <c r="A728" s="11">
        <v>0.72599999999999998</v>
      </c>
      <c r="B728" s="12">
        <f>(General_Model!$C$6/General_Model!$C$7)-1/(1+General_Model!$C$26/((1.2+0.2*(General_Model!$C$26/A728)+0.35*SQRT(9.80665*(General_Model!$C$4/1000))/A728)*A728))-(A728^2/(2*9.80665*General_Model!$C$7))*((4*(0.3164/((General_Model!$C$14*A728*(General_Model!$C$4/1000)/General_Model!$C$15)^0.25))*General_Model!$C$7/(General_Model!$C$4/1000)+1)+(4*(0.3164/((General_Model!$C$14*A728*(General_Model!$C$4/1000)/General_Model!$C$15)^0.25))*General_Model!$C$7/(General_Model!$C$4/1000)+2)*(General_Model!$C$26/A728))</f>
        <v>-0.29058132400907311</v>
      </c>
      <c r="C728" s="13">
        <f t="shared" si="11"/>
        <v>0</v>
      </c>
    </row>
    <row r="729" spans="1:3" x14ac:dyDescent="0.25">
      <c r="A729" s="11">
        <v>0.72699999999999998</v>
      </c>
      <c r="B729" s="12">
        <f>(General_Model!$C$6/General_Model!$C$7)-1/(1+General_Model!$C$26/((1.2+0.2*(General_Model!$C$26/A729)+0.35*SQRT(9.80665*(General_Model!$C$4/1000))/A729)*A729))-(A729^2/(2*9.80665*General_Model!$C$7))*((4*(0.3164/((General_Model!$C$14*A729*(General_Model!$C$4/1000)/General_Model!$C$15)^0.25))*General_Model!$C$7/(General_Model!$C$4/1000)+1)+(4*(0.3164/((General_Model!$C$14*A729*(General_Model!$C$4/1000)/General_Model!$C$15)^0.25))*General_Model!$C$7/(General_Model!$C$4/1000)+2)*(General_Model!$C$26/A729))</f>
        <v>-0.29112197840458448</v>
      </c>
      <c r="C729" s="13">
        <f t="shared" si="11"/>
        <v>0</v>
      </c>
    </row>
    <row r="730" spans="1:3" x14ac:dyDescent="0.25">
      <c r="A730" s="11">
        <v>0.72799999999999998</v>
      </c>
      <c r="B730" s="12">
        <f>(General_Model!$C$6/General_Model!$C$7)-1/(1+General_Model!$C$26/((1.2+0.2*(General_Model!$C$26/A730)+0.35*SQRT(9.80665*(General_Model!$C$4/1000))/A730)*A730))-(A730^2/(2*9.80665*General_Model!$C$7))*((4*(0.3164/((General_Model!$C$14*A730*(General_Model!$C$4/1000)/General_Model!$C$15)^0.25))*General_Model!$C$7/(General_Model!$C$4/1000)+1)+(4*(0.3164/((General_Model!$C$14*A730*(General_Model!$C$4/1000)/General_Model!$C$15)^0.25))*General_Model!$C$7/(General_Model!$C$4/1000)+2)*(General_Model!$C$26/A730))</f>
        <v>-0.29166258819339297</v>
      </c>
      <c r="C730" s="13">
        <f t="shared" si="11"/>
        <v>0</v>
      </c>
    </row>
    <row r="731" spans="1:3" x14ac:dyDescent="0.25">
      <c r="A731" s="11">
        <v>0.72899999999999998</v>
      </c>
      <c r="B731" s="12">
        <f>(General_Model!$C$6/General_Model!$C$7)-1/(1+General_Model!$C$26/((1.2+0.2*(General_Model!$C$26/A731)+0.35*SQRT(9.80665*(General_Model!$C$4/1000))/A731)*A731))-(A731^2/(2*9.80665*General_Model!$C$7))*((4*(0.3164/((General_Model!$C$14*A731*(General_Model!$C$4/1000)/General_Model!$C$15)^0.25))*General_Model!$C$7/(General_Model!$C$4/1000)+1)+(4*(0.3164/((General_Model!$C$14*A731*(General_Model!$C$4/1000)/General_Model!$C$15)^0.25))*General_Model!$C$7/(General_Model!$C$4/1000)+2)*(General_Model!$C$26/A731))</f>
        <v>-0.29220315400447866</v>
      </c>
      <c r="C731" s="13">
        <f t="shared" si="11"/>
        <v>0</v>
      </c>
    </row>
    <row r="732" spans="1:3" x14ac:dyDescent="0.25">
      <c r="A732" s="11">
        <v>0.73</v>
      </c>
      <c r="B732" s="12">
        <f>(General_Model!$C$6/General_Model!$C$7)-1/(1+General_Model!$C$26/((1.2+0.2*(General_Model!$C$26/A732)+0.35*SQRT(9.80665*(General_Model!$C$4/1000))/A732)*A732))-(A732^2/(2*9.80665*General_Model!$C$7))*((4*(0.3164/((General_Model!$C$14*A732*(General_Model!$C$4/1000)/General_Model!$C$15)^0.25))*General_Model!$C$7/(General_Model!$C$4/1000)+1)+(4*(0.3164/((General_Model!$C$14*A732*(General_Model!$C$4/1000)/General_Model!$C$15)^0.25))*General_Model!$C$7/(General_Model!$C$4/1000)+2)*(General_Model!$C$26/A732))</f>
        <v>-0.29274367646491362</v>
      </c>
      <c r="C732" s="13">
        <f t="shared" si="11"/>
        <v>0</v>
      </c>
    </row>
    <row r="733" spans="1:3" x14ac:dyDescent="0.25">
      <c r="A733" s="11">
        <v>0.73099999999999998</v>
      </c>
      <c r="B733" s="12">
        <f>(General_Model!$C$6/General_Model!$C$7)-1/(1+General_Model!$C$26/((1.2+0.2*(General_Model!$C$26/A733)+0.35*SQRT(9.80665*(General_Model!$C$4/1000))/A733)*A733))-(A733^2/(2*9.80665*General_Model!$C$7))*((4*(0.3164/((General_Model!$C$14*A733*(General_Model!$C$4/1000)/General_Model!$C$15)^0.25))*General_Model!$C$7/(General_Model!$C$4/1000)+1)+(4*(0.3164/((General_Model!$C$14*A733*(General_Model!$C$4/1000)/General_Model!$C$15)^0.25))*General_Model!$C$7/(General_Model!$C$4/1000)+2)*(General_Model!$C$26/A733))</f>
        <v>-0.29328415619987025</v>
      </c>
      <c r="C733" s="13">
        <f t="shared" si="11"/>
        <v>0</v>
      </c>
    </row>
    <row r="734" spans="1:3" x14ac:dyDescent="0.25">
      <c r="A734" s="11">
        <v>0.73199999999999998</v>
      </c>
      <c r="B734" s="12">
        <f>(General_Model!$C$6/General_Model!$C$7)-1/(1+General_Model!$C$26/((1.2+0.2*(General_Model!$C$26/A734)+0.35*SQRT(9.80665*(General_Model!$C$4/1000))/A734)*A734))-(A734^2/(2*9.80665*General_Model!$C$7))*((4*(0.3164/((General_Model!$C$14*A734*(General_Model!$C$4/1000)/General_Model!$C$15)^0.25))*General_Model!$C$7/(General_Model!$C$4/1000)+1)+(4*(0.3164/((General_Model!$C$14*A734*(General_Model!$C$4/1000)/General_Model!$C$15)^0.25))*General_Model!$C$7/(General_Model!$C$4/1000)+2)*(General_Model!$C$26/A734))</f>
        <v>-0.29382459383262727</v>
      </c>
      <c r="C734" s="13">
        <f t="shared" si="11"/>
        <v>0</v>
      </c>
    </row>
    <row r="735" spans="1:3" x14ac:dyDescent="0.25">
      <c r="A735" s="11">
        <v>0.73299999999999998</v>
      </c>
      <c r="B735" s="12">
        <f>(General_Model!$C$6/General_Model!$C$7)-1/(1+General_Model!$C$26/((1.2+0.2*(General_Model!$C$26/A735)+0.35*SQRT(9.80665*(General_Model!$C$4/1000))/A735)*A735))-(A735^2/(2*9.80665*General_Model!$C$7))*((4*(0.3164/((General_Model!$C$14*A735*(General_Model!$C$4/1000)/General_Model!$C$15)^0.25))*General_Model!$C$7/(General_Model!$C$4/1000)+1)+(4*(0.3164/((General_Model!$C$14*A735*(General_Model!$C$4/1000)/General_Model!$C$15)^0.25))*General_Model!$C$7/(General_Model!$C$4/1000)+2)*(General_Model!$C$26/A735))</f>
        <v>-0.29436498998457705</v>
      </c>
      <c r="C735" s="13">
        <f t="shared" si="11"/>
        <v>0</v>
      </c>
    </row>
    <row r="736" spans="1:3" x14ac:dyDescent="0.25">
      <c r="A736" s="11">
        <v>0.73399999999999999</v>
      </c>
      <c r="B736" s="12">
        <f>(General_Model!$C$6/General_Model!$C$7)-1/(1+General_Model!$C$26/((1.2+0.2*(General_Model!$C$26/A736)+0.35*SQRT(9.80665*(General_Model!$C$4/1000))/A736)*A736))-(A736^2/(2*9.80665*General_Model!$C$7))*((4*(0.3164/((General_Model!$C$14*A736*(General_Model!$C$4/1000)/General_Model!$C$15)^0.25))*General_Model!$C$7/(General_Model!$C$4/1000)+1)+(4*(0.3164/((General_Model!$C$14*A736*(General_Model!$C$4/1000)/General_Model!$C$15)^0.25))*General_Model!$C$7/(General_Model!$C$4/1000)+2)*(General_Model!$C$26/A736))</f>
        <v>-0.29490534527523249</v>
      </c>
      <c r="C736" s="13">
        <f t="shared" si="11"/>
        <v>0</v>
      </c>
    </row>
    <row r="737" spans="1:3" x14ac:dyDescent="0.25">
      <c r="A737" s="11">
        <v>0.73499999999999999</v>
      </c>
      <c r="B737" s="12">
        <f>(General_Model!$C$6/General_Model!$C$7)-1/(1+General_Model!$C$26/((1.2+0.2*(General_Model!$C$26/A737)+0.35*SQRT(9.80665*(General_Model!$C$4/1000))/A737)*A737))-(A737^2/(2*9.80665*General_Model!$C$7))*((4*(0.3164/((General_Model!$C$14*A737*(General_Model!$C$4/1000)/General_Model!$C$15)^0.25))*General_Model!$C$7/(General_Model!$C$4/1000)+1)+(4*(0.3164/((General_Model!$C$14*A737*(General_Model!$C$4/1000)/General_Model!$C$15)^0.25))*General_Model!$C$7/(General_Model!$C$4/1000)+2)*(General_Model!$C$26/A737))</f>
        <v>-0.29544566032223452</v>
      </c>
      <c r="C737" s="13">
        <f t="shared" si="11"/>
        <v>0</v>
      </c>
    </row>
    <row r="738" spans="1:3" x14ac:dyDescent="0.25">
      <c r="A738" s="11">
        <v>0.73599999999999999</v>
      </c>
      <c r="B738" s="12">
        <f>(General_Model!$C$6/General_Model!$C$7)-1/(1+General_Model!$C$26/((1.2+0.2*(General_Model!$C$26/A738)+0.35*SQRT(9.80665*(General_Model!$C$4/1000))/A738)*A738))-(A738^2/(2*9.80665*General_Model!$C$7))*((4*(0.3164/((General_Model!$C$14*A738*(General_Model!$C$4/1000)/General_Model!$C$15)^0.25))*General_Model!$C$7/(General_Model!$C$4/1000)+1)+(4*(0.3164/((General_Model!$C$14*A738*(General_Model!$C$4/1000)/General_Model!$C$15)^0.25))*General_Model!$C$7/(General_Model!$C$4/1000)+2)*(General_Model!$C$26/A738))</f>
        <v>-0.29598593574135801</v>
      </c>
      <c r="C738" s="13">
        <f t="shared" si="11"/>
        <v>0</v>
      </c>
    </row>
    <row r="739" spans="1:3" x14ac:dyDescent="0.25">
      <c r="A739" s="11">
        <v>0.73699999999999999</v>
      </c>
      <c r="B739" s="12">
        <f>(General_Model!$C$6/General_Model!$C$7)-1/(1+General_Model!$C$26/((1.2+0.2*(General_Model!$C$26/A739)+0.35*SQRT(9.80665*(General_Model!$C$4/1000))/A739)*A739))-(A739^2/(2*9.80665*General_Model!$C$7))*((4*(0.3164/((General_Model!$C$14*A739*(General_Model!$C$4/1000)/General_Model!$C$15)^0.25))*General_Model!$C$7/(General_Model!$C$4/1000)+1)+(4*(0.3164/((General_Model!$C$14*A739*(General_Model!$C$4/1000)/General_Model!$C$15)^0.25))*General_Model!$C$7/(General_Model!$C$4/1000)+2)*(General_Model!$C$26/A739))</f>
        <v>-0.29652617214651922</v>
      </c>
      <c r="C739" s="13">
        <f t="shared" si="11"/>
        <v>0</v>
      </c>
    </row>
    <row r="740" spans="1:3" x14ac:dyDescent="0.25">
      <c r="A740" s="11">
        <v>0.73799999999999999</v>
      </c>
      <c r="B740" s="12">
        <f>(General_Model!$C$6/General_Model!$C$7)-1/(1+General_Model!$C$26/((1.2+0.2*(General_Model!$C$26/A740)+0.35*SQRT(9.80665*(General_Model!$C$4/1000))/A740)*A740))-(A740^2/(2*9.80665*General_Model!$C$7))*((4*(0.3164/((General_Model!$C$14*A740*(General_Model!$C$4/1000)/General_Model!$C$15)^0.25))*General_Model!$C$7/(General_Model!$C$4/1000)+1)+(4*(0.3164/((General_Model!$C$14*A740*(General_Model!$C$4/1000)/General_Model!$C$15)^0.25))*General_Model!$C$7/(General_Model!$C$4/1000)+2)*(General_Model!$C$26/A740))</f>
        <v>-0.29706637014978288</v>
      </c>
      <c r="C740" s="13">
        <f t="shared" si="11"/>
        <v>0</v>
      </c>
    </row>
    <row r="741" spans="1:3" x14ac:dyDescent="0.25">
      <c r="A741" s="11">
        <v>0.73899999999999999</v>
      </c>
      <c r="B741" s="12">
        <f>(General_Model!$C$6/General_Model!$C$7)-1/(1+General_Model!$C$26/((1.2+0.2*(General_Model!$C$26/A741)+0.35*SQRT(9.80665*(General_Model!$C$4/1000))/A741)*A741))-(A741^2/(2*9.80665*General_Model!$C$7))*((4*(0.3164/((General_Model!$C$14*A741*(General_Model!$C$4/1000)/General_Model!$C$15)^0.25))*General_Model!$C$7/(General_Model!$C$4/1000)+1)+(4*(0.3164/((General_Model!$C$14*A741*(General_Model!$C$4/1000)/General_Model!$C$15)^0.25))*General_Model!$C$7/(General_Model!$C$4/1000)+2)*(General_Model!$C$26/A741))</f>
        <v>-0.29760653036136864</v>
      </c>
      <c r="C741" s="13">
        <f t="shared" si="11"/>
        <v>0</v>
      </c>
    </row>
    <row r="742" spans="1:3" x14ac:dyDescent="0.25">
      <c r="A742" s="11">
        <v>0.74</v>
      </c>
      <c r="B742" s="12">
        <f>(General_Model!$C$6/General_Model!$C$7)-1/(1+General_Model!$C$26/((1.2+0.2*(General_Model!$C$26/A742)+0.35*SQRT(9.80665*(General_Model!$C$4/1000))/A742)*A742))-(A742^2/(2*9.80665*General_Model!$C$7))*((4*(0.3164/((General_Model!$C$14*A742*(General_Model!$C$4/1000)/General_Model!$C$15)^0.25))*General_Model!$C$7/(General_Model!$C$4/1000)+1)+(4*(0.3164/((General_Model!$C$14*A742*(General_Model!$C$4/1000)/General_Model!$C$15)^0.25))*General_Model!$C$7/(General_Model!$C$4/1000)+2)*(General_Model!$C$26/A742))</f>
        <v>-0.29814665338965796</v>
      </c>
      <c r="C742" s="13">
        <f t="shared" si="11"/>
        <v>0</v>
      </c>
    </row>
    <row r="743" spans="1:3" x14ac:dyDescent="0.25">
      <c r="A743" s="11">
        <v>0.74099999999999999</v>
      </c>
      <c r="B743" s="12">
        <f>(General_Model!$C$6/General_Model!$C$7)-1/(1+General_Model!$C$26/((1.2+0.2*(General_Model!$C$26/A743)+0.35*SQRT(9.80665*(General_Model!$C$4/1000))/A743)*A743))-(A743^2/(2*9.80665*General_Model!$C$7))*((4*(0.3164/((General_Model!$C$14*A743*(General_Model!$C$4/1000)/General_Model!$C$15)^0.25))*General_Model!$C$7/(General_Model!$C$4/1000)+1)+(4*(0.3164/((General_Model!$C$14*A743*(General_Model!$C$4/1000)/General_Model!$C$15)^0.25))*General_Model!$C$7/(General_Model!$C$4/1000)+2)*(General_Model!$C$26/A743))</f>
        <v>-0.29868673984120087</v>
      </c>
      <c r="C743" s="13">
        <f t="shared" si="11"/>
        <v>0</v>
      </c>
    </row>
    <row r="744" spans="1:3" x14ac:dyDescent="0.25">
      <c r="A744" s="11">
        <v>0.74199999999999999</v>
      </c>
      <c r="B744" s="12">
        <f>(General_Model!$C$6/General_Model!$C$7)-1/(1+General_Model!$C$26/((1.2+0.2*(General_Model!$C$26/A744)+0.35*SQRT(9.80665*(General_Model!$C$4/1000))/A744)*A744))-(A744^2/(2*9.80665*General_Model!$C$7))*((4*(0.3164/((General_Model!$C$14*A744*(General_Model!$C$4/1000)/General_Model!$C$15)^0.25))*General_Model!$C$7/(General_Model!$C$4/1000)+1)+(4*(0.3164/((General_Model!$C$14*A744*(General_Model!$C$4/1000)/General_Model!$C$15)^0.25))*General_Model!$C$7/(General_Model!$C$4/1000)+2)*(General_Model!$C$26/A744))</f>
        <v>-0.29922679032072236</v>
      </c>
      <c r="C744" s="13">
        <f t="shared" si="11"/>
        <v>0</v>
      </c>
    </row>
    <row r="745" spans="1:3" x14ac:dyDescent="0.25">
      <c r="A745" s="11">
        <v>0.74299999999999999</v>
      </c>
      <c r="B745" s="12">
        <f>(General_Model!$C$6/General_Model!$C$7)-1/(1+General_Model!$C$26/((1.2+0.2*(General_Model!$C$26/A745)+0.35*SQRT(9.80665*(General_Model!$C$4/1000))/A745)*A745))-(A745^2/(2*9.80665*General_Model!$C$7))*((4*(0.3164/((General_Model!$C$14*A745*(General_Model!$C$4/1000)/General_Model!$C$15)^0.25))*General_Model!$C$7/(General_Model!$C$4/1000)+1)+(4*(0.3164/((General_Model!$C$14*A745*(General_Model!$C$4/1000)/General_Model!$C$15)^0.25))*General_Model!$C$7/(General_Model!$C$4/1000)+2)*(General_Model!$C$26/A745))</f>
        <v>-0.29976680543113032</v>
      </c>
      <c r="C745" s="13">
        <f t="shared" si="11"/>
        <v>0</v>
      </c>
    </row>
    <row r="746" spans="1:3" x14ac:dyDescent="0.25">
      <c r="A746" s="11">
        <v>0.74399999999999999</v>
      </c>
      <c r="B746" s="12">
        <f>(General_Model!$C$6/General_Model!$C$7)-1/(1+General_Model!$C$26/((1.2+0.2*(General_Model!$C$26/A746)+0.35*SQRT(9.80665*(General_Model!$C$4/1000))/A746)*A746))-(A746^2/(2*9.80665*General_Model!$C$7))*((4*(0.3164/((General_Model!$C$14*A746*(General_Model!$C$4/1000)/General_Model!$C$15)^0.25))*General_Model!$C$7/(General_Model!$C$4/1000)+1)+(4*(0.3164/((General_Model!$C$14*A746*(General_Model!$C$4/1000)/General_Model!$C$15)^0.25))*General_Model!$C$7/(General_Model!$C$4/1000)+2)*(General_Model!$C$26/A746))</f>
        <v>-0.3003067857735201</v>
      </c>
      <c r="C746" s="13">
        <f t="shared" si="11"/>
        <v>0</v>
      </c>
    </row>
    <row r="747" spans="1:3" x14ac:dyDescent="0.25">
      <c r="A747" s="11">
        <v>0.745</v>
      </c>
      <c r="B747" s="12">
        <f>(General_Model!$C$6/General_Model!$C$7)-1/(1+General_Model!$C$26/((1.2+0.2*(General_Model!$C$26/A747)+0.35*SQRT(9.80665*(General_Model!$C$4/1000))/A747)*A747))-(A747^2/(2*9.80665*General_Model!$C$7))*((4*(0.3164/((General_Model!$C$14*A747*(General_Model!$C$4/1000)/General_Model!$C$15)^0.25))*General_Model!$C$7/(General_Model!$C$4/1000)+1)+(4*(0.3164/((General_Model!$C$14*A747*(General_Model!$C$4/1000)/General_Model!$C$15)^0.25))*General_Model!$C$7/(General_Model!$C$4/1000)+2)*(General_Model!$C$26/A747))</f>
        <v>-0.3008467319471832</v>
      </c>
      <c r="C747" s="13">
        <f t="shared" si="11"/>
        <v>0</v>
      </c>
    </row>
    <row r="748" spans="1:3" x14ac:dyDescent="0.25">
      <c r="A748" s="11">
        <v>0.746</v>
      </c>
      <c r="B748" s="12">
        <f>(General_Model!$C$6/General_Model!$C$7)-1/(1+General_Model!$C$26/((1.2+0.2*(General_Model!$C$26/A748)+0.35*SQRT(9.80665*(General_Model!$C$4/1000))/A748)*A748))-(A748^2/(2*9.80665*General_Model!$C$7))*((4*(0.3164/((General_Model!$C$14*A748*(General_Model!$C$4/1000)/General_Model!$C$15)^0.25))*General_Model!$C$7/(General_Model!$C$4/1000)+1)+(4*(0.3164/((General_Model!$C$14*A748*(General_Model!$C$4/1000)/General_Model!$C$15)^0.25))*General_Model!$C$7/(General_Model!$C$4/1000)+2)*(General_Model!$C$26/A748))</f>
        <v>-0.30138664454961261</v>
      </c>
      <c r="C748" s="13">
        <f t="shared" si="11"/>
        <v>0</v>
      </c>
    </row>
    <row r="749" spans="1:3" x14ac:dyDescent="0.25">
      <c r="A749" s="11">
        <v>0.747</v>
      </c>
      <c r="B749" s="12">
        <f>(General_Model!$C$6/General_Model!$C$7)-1/(1+General_Model!$C$26/((1.2+0.2*(General_Model!$C$26/A749)+0.35*SQRT(9.80665*(General_Model!$C$4/1000))/A749)*A749))-(A749^2/(2*9.80665*General_Model!$C$7))*((4*(0.3164/((General_Model!$C$14*A749*(General_Model!$C$4/1000)/General_Model!$C$15)^0.25))*General_Model!$C$7/(General_Model!$C$4/1000)+1)+(4*(0.3164/((General_Model!$C$14*A749*(General_Model!$C$4/1000)/General_Model!$C$15)^0.25))*General_Model!$C$7/(General_Model!$C$4/1000)+2)*(General_Model!$C$26/A749))</f>
        <v>-0.30192652417651045</v>
      </c>
      <c r="C749" s="13">
        <f t="shared" si="11"/>
        <v>0</v>
      </c>
    </row>
    <row r="750" spans="1:3" x14ac:dyDescent="0.25">
      <c r="A750" s="11">
        <v>0.748</v>
      </c>
      <c r="B750" s="12">
        <f>(General_Model!$C$6/General_Model!$C$7)-1/(1+General_Model!$C$26/((1.2+0.2*(General_Model!$C$26/A750)+0.35*SQRT(9.80665*(General_Model!$C$4/1000))/A750)*A750))-(A750^2/(2*9.80665*General_Model!$C$7))*((4*(0.3164/((General_Model!$C$14*A750*(General_Model!$C$4/1000)/General_Model!$C$15)^0.25))*General_Model!$C$7/(General_Model!$C$4/1000)+1)+(4*(0.3164/((General_Model!$C$14*A750*(General_Model!$C$4/1000)/General_Model!$C$15)^0.25))*General_Model!$C$7/(General_Model!$C$4/1000)+2)*(General_Model!$C$26/A750))</f>
        <v>-0.30246637142179289</v>
      </c>
      <c r="C750" s="13">
        <f t="shared" si="11"/>
        <v>0</v>
      </c>
    </row>
    <row r="751" spans="1:3" x14ac:dyDescent="0.25">
      <c r="A751" s="11">
        <v>0.749</v>
      </c>
      <c r="B751" s="12">
        <f>(General_Model!$C$6/General_Model!$C$7)-1/(1+General_Model!$C$26/((1.2+0.2*(General_Model!$C$26/A751)+0.35*SQRT(9.80665*(General_Model!$C$4/1000))/A751)*A751))-(A751^2/(2*9.80665*General_Model!$C$7))*((4*(0.3164/((General_Model!$C$14*A751*(General_Model!$C$4/1000)/General_Model!$C$15)^0.25))*General_Model!$C$7/(General_Model!$C$4/1000)+1)+(4*(0.3164/((General_Model!$C$14*A751*(General_Model!$C$4/1000)/General_Model!$C$15)^0.25))*General_Model!$C$7/(General_Model!$C$4/1000)+2)*(General_Model!$C$26/A751))</f>
        <v>-0.30300618687759839</v>
      </c>
      <c r="C751" s="13">
        <f t="shared" si="11"/>
        <v>0</v>
      </c>
    </row>
    <row r="752" spans="1:3" x14ac:dyDescent="0.25">
      <c r="A752" s="11">
        <v>0.75</v>
      </c>
      <c r="B752" s="12">
        <f>(General_Model!$C$6/General_Model!$C$7)-1/(1+General_Model!$C$26/((1.2+0.2*(General_Model!$C$26/A752)+0.35*SQRT(9.80665*(General_Model!$C$4/1000))/A752)*A752))-(A752^2/(2*9.80665*General_Model!$C$7))*((4*(0.3164/((General_Model!$C$14*A752*(General_Model!$C$4/1000)/General_Model!$C$15)^0.25))*General_Model!$C$7/(General_Model!$C$4/1000)+1)+(4*(0.3164/((General_Model!$C$14*A752*(General_Model!$C$4/1000)/General_Model!$C$15)^0.25))*General_Model!$C$7/(General_Model!$C$4/1000)+2)*(General_Model!$C$26/A752))</f>
        <v>-0.30354597113429338</v>
      </c>
      <c r="C752" s="13">
        <f t="shared" si="11"/>
        <v>0</v>
      </c>
    </row>
    <row r="753" spans="1:3" x14ac:dyDescent="0.25">
      <c r="A753" s="11">
        <v>0.751</v>
      </c>
      <c r="B753" s="12">
        <f>(General_Model!$C$6/General_Model!$C$7)-1/(1+General_Model!$C$26/((1.2+0.2*(General_Model!$C$26/A753)+0.35*SQRT(9.80665*(General_Model!$C$4/1000))/A753)*A753))-(A753^2/(2*9.80665*General_Model!$C$7))*((4*(0.3164/((General_Model!$C$14*A753*(General_Model!$C$4/1000)/General_Model!$C$15)^0.25))*General_Model!$C$7/(General_Model!$C$4/1000)+1)+(4*(0.3164/((General_Model!$C$14*A753*(General_Model!$C$4/1000)/General_Model!$C$15)^0.25))*General_Model!$C$7/(General_Model!$C$4/1000)+2)*(General_Model!$C$26/A753))</f>
        <v>-0.30408572478047857</v>
      </c>
      <c r="C753" s="13">
        <f t="shared" si="11"/>
        <v>0</v>
      </c>
    </row>
    <row r="754" spans="1:3" x14ac:dyDescent="0.25">
      <c r="A754" s="11">
        <v>0.752</v>
      </c>
      <c r="B754" s="12">
        <f>(General_Model!$C$6/General_Model!$C$7)-1/(1+General_Model!$C$26/((1.2+0.2*(General_Model!$C$26/A754)+0.35*SQRT(9.80665*(General_Model!$C$4/1000))/A754)*A754))-(A754^2/(2*9.80665*General_Model!$C$7))*((4*(0.3164/((General_Model!$C$14*A754*(General_Model!$C$4/1000)/General_Model!$C$15)^0.25))*General_Model!$C$7/(General_Model!$C$4/1000)+1)+(4*(0.3164/((General_Model!$C$14*A754*(General_Model!$C$4/1000)/General_Model!$C$15)^0.25))*General_Model!$C$7/(General_Model!$C$4/1000)+2)*(General_Model!$C$26/A754))</f>
        <v>-0.30462544840299577</v>
      </c>
      <c r="C754" s="13">
        <f t="shared" si="11"/>
        <v>0</v>
      </c>
    </row>
    <row r="755" spans="1:3" x14ac:dyDescent="0.25">
      <c r="A755" s="11">
        <v>0.753</v>
      </c>
      <c r="B755" s="12">
        <f>(General_Model!$C$6/General_Model!$C$7)-1/(1+General_Model!$C$26/((1.2+0.2*(General_Model!$C$26/A755)+0.35*SQRT(9.80665*(General_Model!$C$4/1000))/A755)*A755))-(A755^2/(2*9.80665*General_Model!$C$7))*((4*(0.3164/((General_Model!$C$14*A755*(General_Model!$C$4/1000)/General_Model!$C$15)^0.25))*General_Model!$C$7/(General_Model!$C$4/1000)+1)+(4*(0.3164/((General_Model!$C$14*A755*(General_Model!$C$4/1000)/General_Model!$C$15)^0.25))*General_Model!$C$7/(General_Model!$C$4/1000)+2)*(General_Model!$C$26/A755))</f>
        <v>-0.30516514258693428</v>
      </c>
      <c r="C755" s="13">
        <f t="shared" si="11"/>
        <v>0</v>
      </c>
    </row>
    <row r="756" spans="1:3" x14ac:dyDescent="0.25">
      <c r="A756" s="11">
        <v>0.754</v>
      </c>
      <c r="B756" s="12">
        <f>(General_Model!$C$6/General_Model!$C$7)-1/(1+General_Model!$C$26/((1.2+0.2*(General_Model!$C$26/A756)+0.35*SQRT(9.80665*(General_Model!$C$4/1000))/A756)*A756))-(A756^2/(2*9.80665*General_Model!$C$7))*((4*(0.3164/((General_Model!$C$14*A756*(General_Model!$C$4/1000)/General_Model!$C$15)^0.25))*General_Model!$C$7/(General_Model!$C$4/1000)+1)+(4*(0.3164/((General_Model!$C$14*A756*(General_Model!$C$4/1000)/General_Model!$C$15)^0.25))*General_Model!$C$7/(General_Model!$C$4/1000)+2)*(General_Model!$C$26/A756))</f>
        <v>-0.30570480791563737</v>
      </c>
      <c r="C756" s="13">
        <f t="shared" si="11"/>
        <v>0</v>
      </c>
    </row>
    <row r="757" spans="1:3" x14ac:dyDescent="0.25">
      <c r="A757" s="11">
        <v>0.755</v>
      </c>
      <c r="B757" s="12">
        <f>(General_Model!$C$6/General_Model!$C$7)-1/(1+General_Model!$C$26/((1.2+0.2*(General_Model!$C$26/A757)+0.35*SQRT(9.80665*(General_Model!$C$4/1000))/A757)*A757))-(A757^2/(2*9.80665*General_Model!$C$7))*((4*(0.3164/((General_Model!$C$14*A757*(General_Model!$C$4/1000)/General_Model!$C$15)^0.25))*General_Model!$C$7/(General_Model!$C$4/1000)+1)+(4*(0.3164/((General_Model!$C$14*A757*(General_Model!$C$4/1000)/General_Model!$C$15)^0.25))*General_Model!$C$7/(General_Model!$C$4/1000)+2)*(General_Model!$C$26/A757))</f>
        <v>-0.30624444497070757</v>
      </c>
      <c r="C757" s="13">
        <f t="shared" si="11"/>
        <v>0</v>
      </c>
    </row>
    <row r="758" spans="1:3" x14ac:dyDescent="0.25">
      <c r="A758" s="11">
        <v>0.75600000000000001</v>
      </c>
      <c r="B758" s="12">
        <f>(General_Model!$C$6/General_Model!$C$7)-1/(1+General_Model!$C$26/((1.2+0.2*(General_Model!$C$26/A758)+0.35*SQRT(9.80665*(General_Model!$C$4/1000))/A758)*A758))-(A758^2/(2*9.80665*General_Model!$C$7))*((4*(0.3164/((General_Model!$C$14*A758*(General_Model!$C$4/1000)/General_Model!$C$15)^0.25))*General_Model!$C$7/(General_Model!$C$4/1000)+1)+(4*(0.3164/((General_Model!$C$14*A758*(General_Model!$C$4/1000)/General_Model!$C$15)^0.25))*General_Model!$C$7/(General_Model!$C$4/1000)+2)*(General_Model!$C$26/A758))</f>
        <v>-0.30678405433201494</v>
      </c>
      <c r="C758" s="13">
        <f t="shared" si="11"/>
        <v>0</v>
      </c>
    </row>
    <row r="759" spans="1:3" x14ac:dyDescent="0.25">
      <c r="A759" s="11">
        <v>0.75700000000000001</v>
      </c>
      <c r="B759" s="12">
        <f>(General_Model!$C$6/General_Model!$C$7)-1/(1+General_Model!$C$26/((1.2+0.2*(General_Model!$C$26/A759)+0.35*SQRT(9.80665*(General_Model!$C$4/1000))/A759)*A759))-(A759^2/(2*9.80665*General_Model!$C$7))*((4*(0.3164/((General_Model!$C$14*A759*(General_Model!$C$4/1000)/General_Model!$C$15)^0.25))*General_Model!$C$7/(General_Model!$C$4/1000)+1)+(4*(0.3164/((General_Model!$C$14*A759*(General_Model!$C$4/1000)/General_Model!$C$15)^0.25))*General_Model!$C$7/(General_Model!$C$4/1000)+2)*(General_Model!$C$26/A759))</f>
        <v>-0.30732363657770179</v>
      </c>
      <c r="C759" s="13">
        <f t="shared" si="11"/>
        <v>0</v>
      </c>
    </row>
    <row r="760" spans="1:3" x14ac:dyDescent="0.25">
      <c r="A760" s="11">
        <v>0.75800000000000001</v>
      </c>
      <c r="B760" s="12">
        <f>(General_Model!$C$6/General_Model!$C$7)-1/(1+General_Model!$C$26/((1.2+0.2*(General_Model!$C$26/A760)+0.35*SQRT(9.80665*(General_Model!$C$4/1000))/A760)*A760))-(A760^2/(2*9.80665*General_Model!$C$7))*((4*(0.3164/((General_Model!$C$14*A760*(General_Model!$C$4/1000)/General_Model!$C$15)^0.25))*General_Model!$C$7/(General_Model!$C$4/1000)+1)+(4*(0.3164/((General_Model!$C$14*A760*(General_Model!$C$4/1000)/General_Model!$C$15)^0.25))*General_Model!$C$7/(General_Model!$C$4/1000)+2)*(General_Model!$C$26/A760))</f>
        <v>-0.30786319228418924</v>
      </c>
      <c r="C760" s="13">
        <f t="shared" si="11"/>
        <v>0</v>
      </c>
    </row>
    <row r="761" spans="1:3" x14ac:dyDescent="0.25">
      <c r="A761" s="11">
        <v>0.75900000000000001</v>
      </c>
      <c r="B761" s="12">
        <f>(General_Model!$C$6/General_Model!$C$7)-1/(1+General_Model!$C$26/((1.2+0.2*(General_Model!$C$26/A761)+0.35*SQRT(9.80665*(General_Model!$C$4/1000))/A761)*A761))-(A761^2/(2*9.80665*General_Model!$C$7))*((4*(0.3164/((General_Model!$C$14*A761*(General_Model!$C$4/1000)/General_Model!$C$15)^0.25))*General_Model!$C$7/(General_Model!$C$4/1000)+1)+(4*(0.3164/((General_Model!$C$14*A761*(General_Model!$C$4/1000)/General_Model!$C$15)^0.25))*General_Model!$C$7/(General_Model!$C$4/1000)+2)*(General_Model!$C$26/A761))</f>
        <v>-0.3084027220261838</v>
      </c>
      <c r="C761" s="13">
        <f t="shared" si="11"/>
        <v>0</v>
      </c>
    </row>
    <row r="762" spans="1:3" x14ac:dyDescent="0.25">
      <c r="A762" s="11">
        <v>0.76</v>
      </c>
      <c r="B762" s="12">
        <f>(General_Model!$C$6/General_Model!$C$7)-1/(1+General_Model!$C$26/((1.2+0.2*(General_Model!$C$26/A762)+0.35*SQRT(9.80665*(General_Model!$C$4/1000))/A762)*A762))-(A762^2/(2*9.80665*General_Model!$C$7))*((4*(0.3164/((General_Model!$C$14*A762*(General_Model!$C$4/1000)/General_Model!$C$15)^0.25))*General_Model!$C$7/(General_Model!$C$4/1000)+1)+(4*(0.3164/((General_Model!$C$14*A762*(General_Model!$C$4/1000)/General_Model!$C$15)^0.25))*General_Model!$C$7/(General_Model!$C$4/1000)+2)*(General_Model!$C$26/A762))</f>
        <v>-0.30894222637668378</v>
      </c>
      <c r="C762" s="13">
        <f t="shared" si="11"/>
        <v>0</v>
      </c>
    </row>
    <row r="763" spans="1:3" x14ac:dyDescent="0.25">
      <c r="A763" s="11">
        <v>0.76100000000000001</v>
      </c>
      <c r="B763" s="12">
        <f>(General_Model!$C$6/General_Model!$C$7)-1/(1+General_Model!$C$26/((1.2+0.2*(General_Model!$C$26/A763)+0.35*SQRT(9.80665*(General_Model!$C$4/1000))/A763)*A763))-(A763^2/(2*9.80665*General_Model!$C$7))*((4*(0.3164/((General_Model!$C$14*A763*(General_Model!$C$4/1000)/General_Model!$C$15)^0.25))*General_Model!$C$7/(General_Model!$C$4/1000)+1)+(4*(0.3164/((General_Model!$C$14*A763*(General_Model!$C$4/1000)/General_Model!$C$15)^0.25))*General_Model!$C$7/(General_Model!$C$4/1000)+2)*(General_Model!$C$26/A763))</f>
        <v>-0.30948170590698498</v>
      </c>
      <c r="C763" s="13">
        <f t="shared" si="11"/>
        <v>0</v>
      </c>
    </row>
    <row r="764" spans="1:3" x14ac:dyDescent="0.25">
      <c r="A764" s="11">
        <v>0.76200000000000001</v>
      </c>
      <c r="B764" s="12">
        <f>(General_Model!$C$6/General_Model!$C$7)-1/(1+General_Model!$C$26/((1.2+0.2*(General_Model!$C$26/A764)+0.35*SQRT(9.80665*(General_Model!$C$4/1000))/A764)*A764))-(A764^2/(2*9.80665*General_Model!$C$7))*((4*(0.3164/((General_Model!$C$14*A764*(General_Model!$C$4/1000)/General_Model!$C$15)^0.25))*General_Model!$C$7/(General_Model!$C$4/1000)+1)+(4*(0.3164/((General_Model!$C$14*A764*(General_Model!$C$4/1000)/General_Model!$C$15)^0.25))*General_Model!$C$7/(General_Model!$C$4/1000)+2)*(General_Model!$C$26/A764))</f>
        <v>-0.3100211611866871</v>
      </c>
      <c r="C764" s="13">
        <f t="shared" si="11"/>
        <v>0</v>
      </c>
    </row>
    <row r="765" spans="1:3" x14ac:dyDescent="0.25">
      <c r="A765" s="11">
        <v>0.76300000000000001</v>
      </c>
      <c r="B765" s="12">
        <f>(General_Model!$C$6/General_Model!$C$7)-1/(1+General_Model!$C$26/((1.2+0.2*(General_Model!$C$26/A765)+0.35*SQRT(9.80665*(General_Model!$C$4/1000))/A765)*A765))-(A765^2/(2*9.80665*General_Model!$C$7))*((4*(0.3164/((General_Model!$C$14*A765*(General_Model!$C$4/1000)/General_Model!$C$15)^0.25))*General_Model!$C$7/(General_Model!$C$4/1000)+1)+(4*(0.3164/((General_Model!$C$14*A765*(General_Model!$C$4/1000)/General_Model!$C$15)^0.25))*General_Model!$C$7/(General_Model!$C$4/1000)+2)*(General_Model!$C$26/A765))</f>
        <v>-0.31056059278369935</v>
      </c>
      <c r="C765" s="13">
        <f t="shared" si="11"/>
        <v>0</v>
      </c>
    </row>
    <row r="766" spans="1:3" x14ac:dyDescent="0.25">
      <c r="A766" s="11">
        <v>0.76400000000000001</v>
      </c>
      <c r="B766" s="12">
        <f>(General_Model!$C$6/General_Model!$C$7)-1/(1+General_Model!$C$26/((1.2+0.2*(General_Model!$C$26/A766)+0.35*SQRT(9.80665*(General_Model!$C$4/1000))/A766)*A766))-(A766^2/(2*9.80665*General_Model!$C$7))*((4*(0.3164/((General_Model!$C$14*A766*(General_Model!$C$4/1000)/General_Model!$C$15)^0.25))*General_Model!$C$7/(General_Model!$C$4/1000)+1)+(4*(0.3164/((General_Model!$C$14*A766*(General_Model!$C$4/1000)/General_Model!$C$15)^0.25))*General_Model!$C$7/(General_Model!$C$4/1000)+2)*(General_Model!$C$26/A766))</f>
        <v>-0.31110000126424775</v>
      </c>
      <c r="C766" s="13">
        <f t="shared" si="11"/>
        <v>0</v>
      </c>
    </row>
    <row r="767" spans="1:3" x14ac:dyDescent="0.25">
      <c r="A767" s="11">
        <v>0.76500000000000001</v>
      </c>
      <c r="B767" s="12">
        <f>(General_Model!$C$6/General_Model!$C$7)-1/(1+General_Model!$C$26/((1.2+0.2*(General_Model!$C$26/A767)+0.35*SQRT(9.80665*(General_Model!$C$4/1000))/A767)*A767))-(A767^2/(2*9.80665*General_Model!$C$7))*((4*(0.3164/((General_Model!$C$14*A767*(General_Model!$C$4/1000)/General_Model!$C$15)^0.25))*General_Model!$C$7/(General_Model!$C$4/1000)+1)+(4*(0.3164/((General_Model!$C$14*A767*(General_Model!$C$4/1000)/General_Model!$C$15)^0.25))*General_Model!$C$7/(General_Model!$C$4/1000)+2)*(General_Model!$C$26/A767))</f>
        <v>-0.3116393871928802</v>
      </c>
      <c r="C767" s="13">
        <f t="shared" si="11"/>
        <v>0</v>
      </c>
    </row>
    <row r="768" spans="1:3" x14ac:dyDescent="0.25">
      <c r="A768" s="11">
        <v>0.76600000000000001</v>
      </c>
      <c r="B768" s="12">
        <f>(General_Model!$C$6/General_Model!$C$7)-1/(1+General_Model!$C$26/((1.2+0.2*(General_Model!$C$26/A768)+0.35*SQRT(9.80665*(General_Model!$C$4/1000))/A768)*A768))-(A768^2/(2*9.80665*General_Model!$C$7))*((4*(0.3164/((General_Model!$C$14*A768*(General_Model!$C$4/1000)/General_Model!$C$15)^0.25))*General_Model!$C$7/(General_Model!$C$4/1000)+1)+(4*(0.3164/((General_Model!$C$14*A768*(General_Model!$C$4/1000)/General_Model!$C$15)^0.25))*General_Model!$C$7/(General_Model!$C$4/1000)+2)*(General_Model!$C$26/A768))</f>
        <v>-0.31217875113247273</v>
      </c>
      <c r="C768" s="13">
        <f t="shared" si="11"/>
        <v>0</v>
      </c>
    </row>
    <row r="769" spans="1:3" x14ac:dyDescent="0.25">
      <c r="A769" s="11">
        <v>0.76700000000000002</v>
      </c>
      <c r="B769" s="12">
        <f>(General_Model!$C$6/General_Model!$C$7)-1/(1+General_Model!$C$26/((1.2+0.2*(General_Model!$C$26/A769)+0.35*SQRT(9.80665*(General_Model!$C$4/1000))/A769)*A769))-(A769^2/(2*9.80665*General_Model!$C$7))*((4*(0.3164/((General_Model!$C$14*A769*(General_Model!$C$4/1000)/General_Model!$C$15)^0.25))*General_Model!$C$7/(General_Model!$C$4/1000)+1)+(4*(0.3164/((General_Model!$C$14*A769*(General_Model!$C$4/1000)/General_Model!$C$15)^0.25))*General_Model!$C$7/(General_Model!$C$4/1000)+2)*(General_Model!$C$26/A769))</f>
        <v>-0.31271809364423553</v>
      </c>
      <c r="C769" s="13">
        <f t="shared" si="11"/>
        <v>0</v>
      </c>
    </row>
    <row r="770" spans="1:3" x14ac:dyDescent="0.25">
      <c r="A770" s="11">
        <v>0.76800000000000002</v>
      </c>
      <c r="B770" s="12">
        <f>(General_Model!$C$6/General_Model!$C$7)-1/(1+General_Model!$C$26/((1.2+0.2*(General_Model!$C$26/A770)+0.35*SQRT(9.80665*(General_Model!$C$4/1000))/A770)*A770))-(A770^2/(2*9.80665*General_Model!$C$7))*((4*(0.3164/((General_Model!$C$14*A770*(General_Model!$C$4/1000)/General_Model!$C$15)^0.25))*General_Model!$C$7/(General_Model!$C$4/1000)+1)+(4*(0.3164/((General_Model!$C$14*A770*(General_Model!$C$4/1000)/General_Model!$C$15)^0.25))*General_Model!$C$7/(General_Model!$C$4/1000)+2)*(General_Model!$C$26/A770))</f>
        <v>-0.31325741528771955</v>
      </c>
      <c r="C770" s="13">
        <f t="shared" si="11"/>
        <v>0</v>
      </c>
    </row>
    <row r="771" spans="1:3" x14ac:dyDescent="0.25">
      <c r="A771" s="11">
        <v>0.76900000000000002</v>
      </c>
      <c r="B771" s="12">
        <f>(General_Model!$C$6/General_Model!$C$7)-1/(1+General_Model!$C$26/((1.2+0.2*(General_Model!$C$26/A771)+0.35*SQRT(9.80665*(General_Model!$C$4/1000))/A771)*A771))-(A771^2/(2*9.80665*General_Model!$C$7))*((4*(0.3164/((General_Model!$C$14*A771*(General_Model!$C$4/1000)/General_Model!$C$15)^0.25))*General_Model!$C$7/(General_Model!$C$4/1000)+1)+(4*(0.3164/((General_Model!$C$14*A771*(General_Model!$C$4/1000)/General_Model!$C$15)^0.25))*General_Model!$C$7/(General_Model!$C$4/1000)+2)*(General_Model!$C$26/A771))</f>
        <v>-0.31379671662082143</v>
      </c>
      <c r="C771" s="13">
        <f t="shared" ref="C771:C834" si="12">IF(B771*B772&lt;=0,1,0)</f>
        <v>0</v>
      </c>
    </row>
    <row r="772" spans="1:3" x14ac:dyDescent="0.25">
      <c r="A772" s="11">
        <v>0.77</v>
      </c>
      <c r="B772" s="12">
        <f>(General_Model!$C$6/General_Model!$C$7)-1/(1+General_Model!$C$26/((1.2+0.2*(General_Model!$C$26/A772)+0.35*SQRT(9.80665*(General_Model!$C$4/1000))/A772)*A772))-(A772^2/(2*9.80665*General_Model!$C$7))*((4*(0.3164/((General_Model!$C$14*A772*(General_Model!$C$4/1000)/General_Model!$C$15)^0.25))*General_Model!$C$7/(General_Model!$C$4/1000)+1)+(4*(0.3164/((General_Model!$C$14*A772*(General_Model!$C$4/1000)/General_Model!$C$15)^0.25))*General_Model!$C$7/(General_Model!$C$4/1000)+2)*(General_Model!$C$26/A772))</f>
        <v>-0.3143359981997903</v>
      </c>
      <c r="C772" s="13">
        <f t="shared" si="12"/>
        <v>0</v>
      </c>
    </row>
    <row r="773" spans="1:3" x14ac:dyDescent="0.25">
      <c r="A773" s="11">
        <v>0.77100000000000002</v>
      </c>
      <c r="B773" s="12">
        <f>(General_Model!$C$6/General_Model!$C$7)-1/(1+General_Model!$C$26/((1.2+0.2*(General_Model!$C$26/A773)+0.35*SQRT(9.80665*(General_Model!$C$4/1000))/A773)*A773))-(A773^2/(2*9.80665*General_Model!$C$7))*((4*(0.3164/((General_Model!$C$14*A773*(General_Model!$C$4/1000)/General_Model!$C$15)^0.25))*General_Model!$C$7/(General_Model!$C$4/1000)+1)+(4*(0.3164/((General_Model!$C$14*A773*(General_Model!$C$4/1000)/General_Model!$C$15)^0.25))*General_Model!$C$7/(General_Model!$C$4/1000)+2)*(General_Model!$C$26/A773))</f>
        <v>-0.31487526057923387</v>
      </c>
      <c r="C773" s="13">
        <f t="shared" si="12"/>
        <v>0</v>
      </c>
    </row>
    <row r="774" spans="1:3" x14ac:dyDescent="0.25">
      <c r="A774" s="11">
        <v>0.77200000000000002</v>
      </c>
      <c r="B774" s="12">
        <f>(General_Model!$C$6/General_Model!$C$7)-1/(1+General_Model!$C$26/((1.2+0.2*(General_Model!$C$26/A774)+0.35*SQRT(9.80665*(General_Model!$C$4/1000))/A774)*A774))-(A774^2/(2*9.80665*General_Model!$C$7))*((4*(0.3164/((General_Model!$C$14*A774*(General_Model!$C$4/1000)/General_Model!$C$15)^0.25))*General_Model!$C$7/(General_Model!$C$4/1000)+1)+(4*(0.3164/((General_Model!$C$14*A774*(General_Model!$C$4/1000)/General_Model!$C$15)^0.25))*General_Model!$C$7/(General_Model!$C$4/1000)+2)*(General_Model!$C$26/A774))</f>
        <v>-0.3154145043121227</v>
      </c>
      <c r="C774" s="13">
        <f t="shared" si="12"/>
        <v>0</v>
      </c>
    </row>
    <row r="775" spans="1:3" x14ac:dyDescent="0.25">
      <c r="A775" s="11">
        <v>0.77300000000000002</v>
      </c>
      <c r="B775" s="12">
        <f>(General_Model!$C$6/General_Model!$C$7)-1/(1+General_Model!$C$26/((1.2+0.2*(General_Model!$C$26/A775)+0.35*SQRT(9.80665*(General_Model!$C$4/1000))/A775)*A775))-(A775^2/(2*9.80665*General_Model!$C$7))*((4*(0.3164/((General_Model!$C$14*A775*(General_Model!$C$4/1000)/General_Model!$C$15)^0.25))*General_Model!$C$7/(General_Model!$C$4/1000)+1)+(4*(0.3164/((General_Model!$C$14*A775*(General_Model!$C$4/1000)/General_Model!$C$15)^0.25))*General_Model!$C$7/(General_Model!$C$4/1000)+2)*(General_Model!$C$26/A775))</f>
        <v>-0.31595372994979865</v>
      </c>
      <c r="C775" s="13">
        <f t="shared" si="12"/>
        <v>0</v>
      </c>
    </row>
    <row r="776" spans="1:3" x14ac:dyDescent="0.25">
      <c r="A776" s="11">
        <v>0.77400000000000002</v>
      </c>
      <c r="B776" s="12">
        <f>(General_Model!$C$6/General_Model!$C$7)-1/(1+General_Model!$C$26/((1.2+0.2*(General_Model!$C$26/A776)+0.35*SQRT(9.80665*(General_Model!$C$4/1000))/A776)*A776))-(A776^2/(2*9.80665*General_Model!$C$7))*((4*(0.3164/((General_Model!$C$14*A776*(General_Model!$C$4/1000)/General_Model!$C$15)^0.25))*General_Model!$C$7/(General_Model!$C$4/1000)+1)+(4*(0.3164/((General_Model!$C$14*A776*(General_Model!$C$4/1000)/General_Model!$C$15)^0.25))*General_Model!$C$7/(General_Model!$C$4/1000)+2)*(General_Model!$C$26/A776))</f>
        <v>-0.31649293804197826</v>
      </c>
      <c r="C776" s="13">
        <f t="shared" si="12"/>
        <v>0</v>
      </c>
    </row>
    <row r="777" spans="1:3" x14ac:dyDescent="0.25">
      <c r="A777" s="11">
        <v>0.77500000000000002</v>
      </c>
      <c r="B777" s="12">
        <f>(General_Model!$C$6/General_Model!$C$7)-1/(1+General_Model!$C$26/((1.2+0.2*(General_Model!$C$26/A777)+0.35*SQRT(9.80665*(General_Model!$C$4/1000))/A777)*A777))-(A777^2/(2*9.80665*General_Model!$C$7))*((4*(0.3164/((General_Model!$C$14*A777*(General_Model!$C$4/1000)/General_Model!$C$15)^0.25))*General_Model!$C$7/(General_Model!$C$4/1000)+1)+(4*(0.3164/((General_Model!$C$14*A777*(General_Model!$C$4/1000)/General_Model!$C$15)^0.25))*General_Model!$C$7/(General_Model!$C$4/1000)+2)*(General_Model!$C$26/A777))</f>
        <v>-0.31703212913676027</v>
      </c>
      <c r="C777" s="13">
        <f t="shared" si="12"/>
        <v>0</v>
      </c>
    </row>
    <row r="778" spans="1:3" x14ac:dyDescent="0.25">
      <c r="A778" s="11">
        <v>0.77600000000000002</v>
      </c>
      <c r="B778" s="12">
        <f>(General_Model!$C$6/General_Model!$C$7)-1/(1+General_Model!$C$26/((1.2+0.2*(General_Model!$C$26/A778)+0.35*SQRT(9.80665*(General_Model!$C$4/1000))/A778)*A778))-(A778^2/(2*9.80665*General_Model!$C$7))*((4*(0.3164/((General_Model!$C$14*A778*(General_Model!$C$4/1000)/General_Model!$C$15)^0.25))*General_Model!$C$7/(General_Model!$C$4/1000)+1)+(4*(0.3164/((General_Model!$C$14*A778*(General_Model!$C$4/1000)/General_Model!$C$15)^0.25))*General_Model!$C$7/(General_Model!$C$4/1000)+2)*(General_Model!$C$26/A778))</f>
        <v>-0.31757130378063092</v>
      </c>
      <c r="C778" s="13">
        <f t="shared" si="12"/>
        <v>0</v>
      </c>
    </row>
    <row r="779" spans="1:3" x14ac:dyDescent="0.25">
      <c r="A779" s="11">
        <v>0.77700000000000002</v>
      </c>
      <c r="B779" s="12">
        <f>(General_Model!$C$6/General_Model!$C$7)-1/(1+General_Model!$C$26/((1.2+0.2*(General_Model!$C$26/A779)+0.35*SQRT(9.80665*(General_Model!$C$4/1000))/A779)*A779))-(A779^2/(2*9.80665*General_Model!$C$7))*((4*(0.3164/((General_Model!$C$14*A779*(General_Model!$C$4/1000)/General_Model!$C$15)^0.25))*General_Model!$C$7/(General_Model!$C$4/1000)+1)+(4*(0.3164/((General_Model!$C$14*A779*(General_Model!$C$4/1000)/General_Model!$C$15)^0.25))*General_Model!$C$7/(General_Model!$C$4/1000)+2)*(General_Model!$C$26/A779))</f>
        <v>-0.31811046251846886</v>
      </c>
      <c r="C779" s="13">
        <f t="shared" si="12"/>
        <v>0</v>
      </c>
    </row>
    <row r="780" spans="1:3" x14ac:dyDescent="0.25">
      <c r="A780" s="11">
        <v>0.77800000000000002</v>
      </c>
      <c r="B780" s="12">
        <f>(General_Model!$C$6/General_Model!$C$7)-1/(1+General_Model!$C$26/((1.2+0.2*(General_Model!$C$26/A780)+0.35*SQRT(9.80665*(General_Model!$C$4/1000))/A780)*A780))-(A780^2/(2*9.80665*General_Model!$C$7))*((4*(0.3164/((General_Model!$C$14*A780*(General_Model!$C$4/1000)/General_Model!$C$15)^0.25))*General_Model!$C$7/(General_Model!$C$4/1000)+1)+(4*(0.3164/((General_Model!$C$14*A780*(General_Model!$C$4/1000)/General_Model!$C$15)^0.25))*General_Model!$C$7/(General_Model!$C$4/1000)+2)*(General_Model!$C$26/A780))</f>
        <v>-0.31864960589355246</v>
      </c>
      <c r="C780" s="13">
        <f t="shared" si="12"/>
        <v>0</v>
      </c>
    </row>
    <row r="781" spans="1:3" x14ac:dyDescent="0.25">
      <c r="A781" s="11">
        <v>0.77900000000000003</v>
      </c>
      <c r="B781" s="12">
        <f>(General_Model!$C$6/General_Model!$C$7)-1/(1+General_Model!$C$26/((1.2+0.2*(General_Model!$C$26/A781)+0.35*SQRT(9.80665*(General_Model!$C$4/1000))/A781)*A781))-(A781^2/(2*9.80665*General_Model!$C$7))*((4*(0.3164/((General_Model!$C$14*A781*(General_Model!$C$4/1000)/General_Model!$C$15)^0.25))*General_Model!$C$7/(General_Model!$C$4/1000)+1)+(4*(0.3164/((General_Model!$C$14*A781*(General_Model!$C$4/1000)/General_Model!$C$15)^0.25))*General_Model!$C$7/(General_Model!$C$4/1000)+2)*(General_Model!$C$26/A781))</f>
        <v>-0.31918873444756451</v>
      </c>
      <c r="C781" s="13">
        <f t="shared" si="12"/>
        <v>0</v>
      </c>
    </row>
    <row r="782" spans="1:3" x14ac:dyDescent="0.25">
      <c r="A782" s="11">
        <v>0.78</v>
      </c>
      <c r="B782" s="12">
        <f>(General_Model!$C$6/General_Model!$C$7)-1/(1+General_Model!$C$26/((1.2+0.2*(General_Model!$C$26/A782)+0.35*SQRT(9.80665*(General_Model!$C$4/1000))/A782)*A782))-(A782^2/(2*9.80665*General_Model!$C$7))*((4*(0.3164/((General_Model!$C$14*A782*(General_Model!$C$4/1000)/General_Model!$C$15)^0.25))*General_Model!$C$7/(General_Model!$C$4/1000)+1)+(4*(0.3164/((General_Model!$C$14*A782*(General_Model!$C$4/1000)/General_Model!$C$15)^0.25))*General_Model!$C$7/(General_Model!$C$4/1000)+2)*(General_Model!$C$26/A782))</f>
        <v>-0.31972784872059812</v>
      </c>
      <c r="C782" s="13">
        <f t="shared" si="12"/>
        <v>0</v>
      </c>
    </row>
    <row r="783" spans="1:3" x14ac:dyDescent="0.25">
      <c r="A783" s="11">
        <v>0.78100000000000003</v>
      </c>
      <c r="B783" s="12">
        <f>(General_Model!$C$6/General_Model!$C$7)-1/(1+General_Model!$C$26/((1.2+0.2*(General_Model!$C$26/A783)+0.35*SQRT(9.80665*(General_Model!$C$4/1000))/A783)*A783))-(A783^2/(2*9.80665*General_Model!$C$7))*((4*(0.3164/((General_Model!$C$14*A783*(General_Model!$C$4/1000)/General_Model!$C$15)^0.25))*General_Model!$C$7/(General_Model!$C$4/1000)+1)+(4*(0.3164/((General_Model!$C$14*A783*(General_Model!$C$4/1000)/General_Model!$C$15)^0.25))*General_Model!$C$7/(General_Model!$C$4/1000)+2)*(General_Model!$C$26/A783))</f>
        <v>-0.32026694925116228</v>
      </c>
      <c r="C783" s="13">
        <f t="shared" si="12"/>
        <v>0</v>
      </c>
    </row>
    <row r="784" spans="1:3" x14ac:dyDescent="0.25">
      <c r="A784" s="11">
        <v>0.78200000000000003</v>
      </c>
      <c r="B784" s="12">
        <f>(General_Model!$C$6/General_Model!$C$7)-1/(1+General_Model!$C$26/((1.2+0.2*(General_Model!$C$26/A784)+0.35*SQRT(9.80665*(General_Model!$C$4/1000))/A784)*A784))-(A784^2/(2*9.80665*General_Model!$C$7))*((4*(0.3164/((General_Model!$C$14*A784*(General_Model!$C$4/1000)/General_Model!$C$15)^0.25))*General_Model!$C$7/(General_Model!$C$4/1000)+1)+(4*(0.3164/((General_Model!$C$14*A784*(General_Model!$C$4/1000)/General_Model!$C$15)^0.25))*General_Model!$C$7/(General_Model!$C$4/1000)+2)*(General_Model!$C$26/A784))</f>
        <v>-0.32080603657618822</v>
      </c>
      <c r="C784" s="13">
        <f t="shared" si="12"/>
        <v>0</v>
      </c>
    </row>
    <row r="785" spans="1:3" x14ac:dyDescent="0.25">
      <c r="A785" s="11">
        <v>0.78300000000000003</v>
      </c>
      <c r="B785" s="12">
        <f>(General_Model!$C$6/General_Model!$C$7)-1/(1+General_Model!$C$26/((1.2+0.2*(General_Model!$C$26/A785)+0.35*SQRT(9.80665*(General_Model!$C$4/1000))/A785)*A785))-(A785^2/(2*9.80665*General_Model!$C$7))*((4*(0.3164/((General_Model!$C$14*A785*(General_Model!$C$4/1000)/General_Model!$C$15)^0.25))*General_Model!$C$7/(General_Model!$C$4/1000)+1)+(4*(0.3164/((General_Model!$C$14*A785*(General_Model!$C$4/1000)/General_Model!$C$15)^0.25))*General_Model!$C$7/(General_Model!$C$4/1000)+2)*(General_Model!$C$26/A785))</f>
        <v>-0.32134511123103371</v>
      </c>
      <c r="C785" s="13">
        <f t="shared" si="12"/>
        <v>0</v>
      </c>
    </row>
    <row r="786" spans="1:3" x14ac:dyDescent="0.25">
      <c r="A786" s="11">
        <v>0.78400000000000003</v>
      </c>
      <c r="B786" s="12">
        <f>(General_Model!$C$6/General_Model!$C$7)-1/(1+General_Model!$C$26/((1.2+0.2*(General_Model!$C$26/A786)+0.35*SQRT(9.80665*(General_Model!$C$4/1000))/A786)*A786))-(A786^2/(2*9.80665*General_Model!$C$7))*((4*(0.3164/((General_Model!$C$14*A786*(General_Model!$C$4/1000)/General_Model!$C$15)^0.25))*General_Model!$C$7/(General_Model!$C$4/1000)+1)+(4*(0.3164/((General_Model!$C$14*A786*(General_Model!$C$4/1000)/General_Model!$C$15)^0.25))*General_Model!$C$7/(General_Model!$C$4/1000)+2)*(General_Model!$C$26/A786))</f>
        <v>-0.32188417374949019</v>
      </c>
      <c r="C786" s="13">
        <f t="shared" si="12"/>
        <v>0</v>
      </c>
    </row>
    <row r="787" spans="1:3" x14ac:dyDescent="0.25">
      <c r="A787" s="11">
        <v>0.78500000000000003</v>
      </c>
      <c r="B787" s="12">
        <f>(General_Model!$C$6/General_Model!$C$7)-1/(1+General_Model!$C$26/((1.2+0.2*(General_Model!$C$26/A787)+0.35*SQRT(9.80665*(General_Model!$C$4/1000))/A787)*A787))-(A787^2/(2*9.80665*General_Model!$C$7))*((4*(0.3164/((General_Model!$C$14*A787*(General_Model!$C$4/1000)/General_Model!$C$15)^0.25))*General_Model!$C$7/(General_Model!$C$4/1000)+1)+(4*(0.3164/((General_Model!$C$14*A787*(General_Model!$C$4/1000)/General_Model!$C$15)^0.25))*General_Model!$C$7/(General_Model!$C$4/1000)+2)*(General_Model!$C$26/A787))</f>
        <v>-0.32242322466378703</v>
      </c>
      <c r="C787" s="13">
        <f t="shared" si="12"/>
        <v>0</v>
      </c>
    </row>
    <row r="788" spans="1:3" x14ac:dyDescent="0.25">
      <c r="A788" s="11">
        <v>0.78600000000000003</v>
      </c>
      <c r="B788" s="12">
        <f>(General_Model!$C$6/General_Model!$C$7)-1/(1+General_Model!$C$26/((1.2+0.2*(General_Model!$C$26/A788)+0.35*SQRT(9.80665*(General_Model!$C$4/1000))/A788)*A788))-(A788^2/(2*9.80665*General_Model!$C$7))*((4*(0.3164/((General_Model!$C$14*A788*(General_Model!$C$4/1000)/General_Model!$C$15)^0.25))*General_Model!$C$7/(General_Model!$C$4/1000)+1)+(4*(0.3164/((General_Model!$C$14*A788*(General_Model!$C$4/1000)/General_Model!$C$15)^0.25))*General_Model!$C$7/(General_Model!$C$4/1000)+2)*(General_Model!$C$26/A788))</f>
        <v>-0.3229622645045982</v>
      </c>
      <c r="C788" s="13">
        <f t="shared" si="12"/>
        <v>0</v>
      </c>
    </row>
    <row r="789" spans="1:3" x14ac:dyDescent="0.25">
      <c r="A789" s="11">
        <v>0.78700000000000003</v>
      </c>
      <c r="B789" s="12">
        <f>(General_Model!$C$6/General_Model!$C$7)-1/(1+General_Model!$C$26/((1.2+0.2*(General_Model!$C$26/A789)+0.35*SQRT(9.80665*(General_Model!$C$4/1000))/A789)*A789))-(A789^2/(2*9.80665*General_Model!$C$7))*((4*(0.3164/((General_Model!$C$14*A789*(General_Model!$C$4/1000)/General_Model!$C$15)^0.25))*General_Model!$C$7/(General_Model!$C$4/1000)+1)+(4*(0.3164/((General_Model!$C$14*A789*(General_Model!$C$4/1000)/General_Model!$C$15)^0.25))*General_Model!$C$7/(General_Model!$C$4/1000)+2)*(General_Model!$C$26/A789))</f>
        <v>-0.32350129380104725</v>
      </c>
      <c r="C789" s="13">
        <f t="shared" si="12"/>
        <v>0</v>
      </c>
    </row>
    <row r="790" spans="1:3" x14ac:dyDescent="0.25">
      <c r="A790" s="11">
        <v>0.78800000000000003</v>
      </c>
      <c r="B790" s="12">
        <f>(General_Model!$C$6/General_Model!$C$7)-1/(1+General_Model!$C$26/((1.2+0.2*(General_Model!$C$26/A790)+0.35*SQRT(9.80665*(General_Model!$C$4/1000))/A790)*A790))-(A790^2/(2*9.80665*General_Model!$C$7))*((4*(0.3164/((General_Model!$C$14*A790*(General_Model!$C$4/1000)/General_Model!$C$15)^0.25))*General_Model!$C$7/(General_Model!$C$4/1000)+1)+(4*(0.3164/((General_Model!$C$14*A790*(General_Model!$C$4/1000)/General_Model!$C$15)^0.25))*General_Model!$C$7/(General_Model!$C$4/1000)+2)*(General_Model!$C$26/A790))</f>
        <v>-0.32404031308071213</v>
      </c>
      <c r="C790" s="13">
        <f t="shared" si="12"/>
        <v>0</v>
      </c>
    </row>
    <row r="791" spans="1:3" x14ac:dyDescent="0.25">
      <c r="A791" s="11">
        <v>0.78900000000000003</v>
      </c>
      <c r="B791" s="12">
        <f>(General_Model!$C$6/General_Model!$C$7)-1/(1+General_Model!$C$26/((1.2+0.2*(General_Model!$C$26/A791)+0.35*SQRT(9.80665*(General_Model!$C$4/1000))/A791)*A791))-(A791^2/(2*9.80665*General_Model!$C$7))*((4*(0.3164/((General_Model!$C$14*A791*(General_Model!$C$4/1000)/General_Model!$C$15)^0.25))*General_Model!$C$7/(General_Model!$C$4/1000)+1)+(4*(0.3164/((General_Model!$C$14*A791*(General_Model!$C$4/1000)/General_Model!$C$15)^0.25))*General_Model!$C$7/(General_Model!$C$4/1000)+2)*(General_Model!$C$26/A791))</f>
        <v>-0.32457932286963231</v>
      </c>
      <c r="C791" s="13">
        <f t="shared" si="12"/>
        <v>0</v>
      </c>
    </row>
    <row r="792" spans="1:3" x14ac:dyDescent="0.25">
      <c r="A792" s="11">
        <v>0.79</v>
      </c>
      <c r="B792" s="12">
        <f>(General_Model!$C$6/General_Model!$C$7)-1/(1+General_Model!$C$26/((1.2+0.2*(General_Model!$C$26/A792)+0.35*SQRT(9.80665*(General_Model!$C$4/1000))/A792)*A792))-(A792^2/(2*9.80665*General_Model!$C$7))*((4*(0.3164/((General_Model!$C$14*A792*(General_Model!$C$4/1000)/General_Model!$C$15)^0.25))*General_Model!$C$7/(General_Model!$C$4/1000)+1)+(4*(0.3164/((General_Model!$C$14*A792*(General_Model!$C$4/1000)/General_Model!$C$15)^0.25))*General_Model!$C$7/(General_Model!$C$4/1000)+2)*(General_Model!$C$26/A792))</f>
        <v>-0.32511832369231275</v>
      </c>
      <c r="C792" s="13">
        <f t="shared" si="12"/>
        <v>0</v>
      </c>
    </row>
    <row r="793" spans="1:3" x14ac:dyDescent="0.25">
      <c r="A793" s="11">
        <v>0.79100000000000004</v>
      </c>
      <c r="B793" s="12">
        <f>(General_Model!$C$6/General_Model!$C$7)-1/(1+General_Model!$C$26/((1.2+0.2*(General_Model!$C$26/A793)+0.35*SQRT(9.80665*(General_Model!$C$4/1000))/A793)*A793))-(A793^2/(2*9.80665*General_Model!$C$7))*((4*(0.3164/((General_Model!$C$14*A793*(General_Model!$C$4/1000)/General_Model!$C$15)^0.25))*General_Model!$C$7/(General_Model!$C$4/1000)+1)+(4*(0.3164/((General_Model!$C$14*A793*(General_Model!$C$4/1000)/General_Model!$C$15)^0.25))*General_Model!$C$7/(General_Model!$C$4/1000)+2)*(General_Model!$C$26/A793))</f>
        <v>-0.32565731607173021</v>
      </c>
      <c r="C793" s="13">
        <f t="shared" si="12"/>
        <v>0</v>
      </c>
    </row>
    <row r="794" spans="1:3" x14ac:dyDescent="0.25">
      <c r="A794" s="11">
        <v>0.79200000000000004</v>
      </c>
      <c r="B794" s="12">
        <f>(General_Model!$C$6/General_Model!$C$7)-1/(1+General_Model!$C$26/((1.2+0.2*(General_Model!$C$26/A794)+0.35*SQRT(9.80665*(General_Model!$C$4/1000))/A794)*A794))-(A794^2/(2*9.80665*General_Model!$C$7))*((4*(0.3164/((General_Model!$C$14*A794*(General_Model!$C$4/1000)/General_Model!$C$15)^0.25))*General_Model!$C$7/(General_Model!$C$4/1000)+1)+(4*(0.3164/((General_Model!$C$14*A794*(General_Model!$C$4/1000)/General_Model!$C$15)^0.25))*General_Model!$C$7/(General_Model!$C$4/1000)+2)*(General_Model!$C$26/A794))</f>
        <v>-0.32619630052933846</v>
      </c>
      <c r="C794" s="13">
        <f t="shared" si="12"/>
        <v>0</v>
      </c>
    </row>
    <row r="795" spans="1:3" x14ac:dyDescent="0.25">
      <c r="A795" s="11">
        <v>0.79300000000000004</v>
      </c>
      <c r="B795" s="12">
        <f>(General_Model!$C$6/General_Model!$C$7)-1/(1+General_Model!$C$26/((1.2+0.2*(General_Model!$C$26/A795)+0.35*SQRT(9.80665*(General_Model!$C$4/1000))/A795)*A795))-(A795^2/(2*9.80665*General_Model!$C$7))*((4*(0.3164/((General_Model!$C$14*A795*(General_Model!$C$4/1000)/General_Model!$C$15)^0.25))*General_Model!$C$7/(General_Model!$C$4/1000)+1)+(4*(0.3164/((General_Model!$C$14*A795*(General_Model!$C$4/1000)/General_Model!$C$15)^0.25))*General_Model!$C$7/(General_Model!$C$4/1000)+2)*(General_Model!$C$26/A795))</f>
        <v>-0.32673527758507331</v>
      </c>
      <c r="C795" s="13">
        <f t="shared" si="12"/>
        <v>0</v>
      </c>
    </row>
    <row r="796" spans="1:3" x14ac:dyDescent="0.25">
      <c r="A796" s="11">
        <v>0.79400000000000004</v>
      </c>
      <c r="B796" s="12">
        <f>(General_Model!$C$6/General_Model!$C$7)-1/(1+General_Model!$C$26/((1.2+0.2*(General_Model!$C$26/A796)+0.35*SQRT(9.80665*(General_Model!$C$4/1000))/A796)*A796))-(A796^2/(2*9.80665*General_Model!$C$7))*((4*(0.3164/((General_Model!$C$14*A796*(General_Model!$C$4/1000)/General_Model!$C$15)^0.25))*General_Model!$C$7/(General_Model!$C$4/1000)+1)+(4*(0.3164/((General_Model!$C$14*A796*(General_Model!$C$4/1000)/General_Model!$C$15)^0.25))*General_Model!$C$7/(General_Model!$C$4/1000)+2)*(General_Model!$C$26/A796))</f>
        <v>-0.32727424775735858</v>
      </c>
      <c r="C796" s="13">
        <f t="shared" si="12"/>
        <v>0</v>
      </c>
    </row>
    <row r="797" spans="1:3" x14ac:dyDescent="0.25">
      <c r="A797" s="11">
        <v>0.79500000000000004</v>
      </c>
      <c r="B797" s="12">
        <f>(General_Model!$C$6/General_Model!$C$7)-1/(1+General_Model!$C$26/((1.2+0.2*(General_Model!$C$26/A797)+0.35*SQRT(9.80665*(General_Model!$C$4/1000))/A797)*A797))-(A797^2/(2*9.80665*General_Model!$C$7))*((4*(0.3164/((General_Model!$C$14*A797*(General_Model!$C$4/1000)/General_Model!$C$15)^0.25))*General_Model!$C$7/(General_Model!$C$4/1000)+1)+(4*(0.3164/((General_Model!$C$14*A797*(General_Model!$C$4/1000)/General_Model!$C$15)^0.25))*General_Model!$C$7/(General_Model!$C$4/1000)+2)*(General_Model!$C$26/A797))</f>
        <v>-0.32781321156311088</v>
      </c>
      <c r="C797" s="13">
        <f t="shared" si="12"/>
        <v>0</v>
      </c>
    </row>
    <row r="798" spans="1:3" x14ac:dyDescent="0.25">
      <c r="A798" s="11">
        <v>0.79600000000000004</v>
      </c>
      <c r="B798" s="12">
        <f>(General_Model!$C$6/General_Model!$C$7)-1/(1+General_Model!$C$26/((1.2+0.2*(General_Model!$C$26/A798)+0.35*SQRT(9.80665*(General_Model!$C$4/1000))/A798)*A798))-(A798^2/(2*9.80665*General_Model!$C$7))*((4*(0.3164/((General_Model!$C$14*A798*(General_Model!$C$4/1000)/General_Model!$C$15)^0.25))*General_Model!$C$7/(General_Model!$C$4/1000)+1)+(4*(0.3164/((General_Model!$C$14*A798*(General_Model!$C$4/1000)/General_Model!$C$15)^0.25))*General_Model!$C$7/(General_Model!$C$4/1000)+2)*(General_Model!$C$26/A798))</f>
        <v>-0.32835216951774537</v>
      </c>
      <c r="C798" s="13">
        <f t="shared" si="12"/>
        <v>0</v>
      </c>
    </row>
    <row r="799" spans="1:3" x14ac:dyDescent="0.25">
      <c r="A799" s="11">
        <v>0.79700000000000004</v>
      </c>
      <c r="B799" s="12">
        <f>(General_Model!$C$6/General_Model!$C$7)-1/(1+General_Model!$C$26/((1.2+0.2*(General_Model!$C$26/A799)+0.35*SQRT(9.80665*(General_Model!$C$4/1000))/A799)*A799))-(A799^2/(2*9.80665*General_Model!$C$7))*((4*(0.3164/((General_Model!$C$14*A799*(General_Model!$C$4/1000)/General_Model!$C$15)^0.25))*General_Model!$C$7/(General_Model!$C$4/1000)+1)+(4*(0.3164/((General_Model!$C$14*A799*(General_Model!$C$4/1000)/General_Model!$C$15)^0.25))*General_Model!$C$7/(General_Model!$C$4/1000)+2)*(General_Model!$C$26/A799))</f>
        <v>-0.32889112213518112</v>
      </c>
      <c r="C799" s="13">
        <f t="shared" si="12"/>
        <v>0</v>
      </c>
    </row>
    <row r="800" spans="1:3" x14ac:dyDescent="0.25">
      <c r="A800" s="11">
        <v>0.79800000000000004</v>
      </c>
      <c r="B800" s="12">
        <f>(General_Model!$C$6/General_Model!$C$7)-1/(1+General_Model!$C$26/((1.2+0.2*(General_Model!$C$26/A800)+0.35*SQRT(9.80665*(General_Model!$C$4/1000))/A800)*A800))-(A800^2/(2*9.80665*General_Model!$C$7))*((4*(0.3164/((General_Model!$C$14*A800*(General_Model!$C$4/1000)/General_Model!$C$15)^0.25))*General_Model!$C$7/(General_Model!$C$4/1000)+1)+(4*(0.3164/((General_Model!$C$14*A800*(General_Model!$C$4/1000)/General_Model!$C$15)^0.25))*General_Model!$C$7/(General_Model!$C$4/1000)+2)*(General_Model!$C$26/A800))</f>
        <v>-0.32943006992784551</v>
      </c>
      <c r="C800" s="13">
        <f t="shared" si="12"/>
        <v>0</v>
      </c>
    </row>
    <row r="801" spans="1:3" x14ac:dyDescent="0.25">
      <c r="A801" s="11">
        <v>0.79900000000000004</v>
      </c>
      <c r="B801" s="12">
        <f>(General_Model!$C$6/General_Model!$C$7)-1/(1+General_Model!$C$26/((1.2+0.2*(General_Model!$C$26/A801)+0.35*SQRT(9.80665*(General_Model!$C$4/1000))/A801)*A801))-(A801^2/(2*9.80665*General_Model!$C$7))*((4*(0.3164/((General_Model!$C$14*A801*(General_Model!$C$4/1000)/General_Model!$C$15)^0.25))*General_Model!$C$7/(General_Model!$C$4/1000)+1)+(4*(0.3164/((General_Model!$C$14*A801*(General_Model!$C$4/1000)/General_Model!$C$15)^0.25))*General_Model!$C$7/(General_Model!$C$4/1000)+2)*(General_Model!$C$26/A801))</f>
        <v>-0.32996901340668106</v>
      </c>
      <c r="C801" s="13">
        <f t="shared" si="12"/>
        <v>0</v>
      </c>
    </row>
    <row r="802" spans="1:3" x14ac:dyDescent="0.25">
      <c r="A802" s="11">
        <v>0.8</v>
      </c>
      <c r="B802" s="12">
        <f>(General_Model!$C$6/General_Model!$C$7)-1/(1+General_Model!$C$26/((1.2+0.2*(General_Model!$C$26/A802)+0.35*SQRT(9.80665*(General_Model!$C$4/1000))/A802)*A802))-(A802^2/(2*9.80665*General_Model!$C$7))*((4*(0.3164/((General_Model!$C$14*A802*(General_Model!$C$4/1000)/General_Model!$C$15)^0.25))*General_Model!$C$7/(General_Model!$C$4/1000)+1)+(4*(0.3164/((General_Model!$C$14*A802*(General_Model!$C$4/1000)/General_Model!$C$15)^0.25))*General_Model!$C$7/(General_Model!$C$4/1000)+2)*(General_Model!$C$26/A802))</f>
        <v>-0.33050795308114905</v>
      </c>
      <c r="C802" s="13">
        <f t="shared" si="12"/>
        <v>0</v>
      </c>
    </row>
    <row r="803" spans="1:3" x14ac:dyDescent="0.25">
      <c r="A803" s="11">
        <v>0.80100000000000005</v>
      </c>
      <c r="B803" s="12">
        <f>(General_Model!$C$6/General_Model!$C$7)-1/(1+General_Model!$C$26/((1.2+0.2*(General_Model!$C$26/A803)+0.35*SQRT(9.80665*(General_Model!$C$4/1000))/A803)*A803))-(A803^2/(2*9.80665*General_Model!$C$7))*((4*(0.3164/((General_Model!$C$14*A803*(General_Model!$C$4/1000)/General_Model!$C$15)^0.25))*General_Model!$C$7/(General_Model!$C$4/1000)+1)+(4*(0.3164/((General_Model!$C$14*A803*(General_Model!$C$4/1000)/General_Model!$C$15)^0.25))*General_Model!$C$7/(General_Model!$C$4/1000)+2)*(General_Model!$C$26/A803))</f>
        <v>-0.33104688945923599</v>
      </c>
      <c r="C803" s="13">
        <f t="shared" si="12"/>
        <v>0</v>
      </c>
    </row>
    <row r="804" spans="1:3" x14ac:dyDescent="0.25">
      <c r="A804" s="11">
        <v>0.80200000000000005</v>
      </c>
      <c r="B804" s="12">
        <f>(General_Model!$C$6/General_Model!$C$7)-1/(1+General_Model!$C$26/((1.2+0.2*(General_Model!$C$26/A804)+0.35*SQRT(9.80665*(General_Model!$C$4/1000))/A804)*A804))-(A804^2/(2*9.80665*General_Model!$C$7))*((4*(0.3164/((General_Model!$C$14*A804*(General_Model!$C$4/1000)/General_Model!$C$15)^0.25))*General_Model!$C$7/(General_Model!$C$4/1000)+1)+(4*(0.3164/((General_Model!$C$14*A804*(General_Model!$C$4/1000)/General_Model!$C$15)^0.25))*General_Model!$C$7/(General_Model!$C$4/1000)+2)*(General_Model!$C$26/A804))</f>
        <v>-0.33158582304745737</v>
      </c>
      <c r="C804" s="13">
        <f t="shared" si="12"/>
        <v>0</v>
      </c>
    </row>
    <row r="805" spans="1:3" x14ac:dyDescent="0.25">
      <c r="A805" s="11">
        <v>0.80300000000000005</v>
      </c>
      <c r="B805" s="12">
        <f>(General_Model!$C$6/General_Model!$C$7)-1/(1+General_Model!$C$26/((1.2+0.2*(General_Model!$C$26/A805)+0.35*SQRT(9.80665*(General_Model!$C$4/1000))/A805)*A805))-(A805^2/(2*9.80665*General_Model!$C$7))*((4*(0.3164/((General_Model!$C$14*A805*(General_Model!$C$4/1000)/General_Model!$C$15)^0.25))*General_Model!$C$7/(General_Model!$C$4/1000)+1)+(4*(0.3164/((General_Model!$C$14*A805*(General_Model!$C$4/1000)/General_Model!$C$15)^0.25))*General_Model!$C$7/(General_Model!$C$4/1000)+2)*(General_Model!$C$26/A805))</f>
        <v>-0.33212475435086475</v>
      </c>
      <c r="C805" s="13">
        <f t="shared" si="12"/>
        <v>0</v>
      </c>
    </row>
    <row r="806" spans="1:3" x14ac:dyDescent="0.25">
      <c r="A806" s="11">
        <v>0.80400000000000005</v>
      </c>
      <c r="B806" s="12">
        <f>(General_Model!$C$6/General_Model!$C$7)-1/(1+General_Model!$C$26/((1.2+0.2*(General_Model!$C$26/A806)+0.35*SQRT(9.80665*(General_Model!$C$4/1000))/A806)*A806))-(A806^2/(2*9.80665*General_Model!$C$7))*((4*(0.3164/((General_Model!$C$14*A806*(General_Model!$C$4/1000)/General_Model!$C$15)^0.25))*General_Model!$C$7/(General_Model!$C$4/1000)+1)+(4*(0.3164/((General_Model!$C$14*A806*(General_Model!$C$4/1000)/General_Model!$C$15)^0.25))*General_Model!$C$7/(General_Model!$C$4/1000)+2)*(General_Model!$C$26/A806))</f>
        <v>-0.33266368387304973</v>
      </c>
      <c r="C806" s="13">
        <f t="shared" si="12"/>
        <v>0</v>
      </c>
    </row>
    <row r="807" spans="1:3" x14ac:dyDescent="0.25">
      <c r="A807" s="11">
        <v>0.80500000000000005</v>
      </c>
      <c r="B807" s="12">
        <f>(General_Model!$C$6/General_Model!$C$7)-1/(1+General_Model!$C$26/((1.2+0.2*(General_Model!$C$26/A807)+0.35*SQRT(9.80665*(General_Model!$C$4/1000))/A807)*A807))-(A807^2/(2*9.80665*General_Model!$C$7))*((4*(0.3164/((General_Model!$C$14*A807*(General_Model!$C$4/1000)/General_Model!$C$15)^0.25))*General_Model!$C$7/(General_Model!$C$4/1000)+1)+(4*(0.3164/((General_Model!$C$14*A807*(General_Model!$C$4/1000)/General_Model!$C$15)^0.25))*General_Model!$C$7/(General_Model!$C$4/1000)+2)*(General_Model!$C$26/A807))</f>
        <v>-0.33320261211614854</v>
      </c>
      <c r="C807" s="13">
        <f t="shared" si="12"/>
        <v>0</v>
      </c>
    </row>
    <row r="808" spans="1:3" x14ac:dyDescent="0.25">
      <c r="A808" s="11">
        <v>0.80600000000000005</v>
      </c>
      <c r="B808" s="12">
        <f>(General_Model!$C$6/General_Model!$C$7)-1/(1+General_Model!$C$26/((1.2+0.2*(General_Model!$C$26/A808)+0.35*SQRT(9.80665*(General_Model!$C$4/1000))/A808)*A808))-(A808^2/(2*9.80665*General_Model!$C$7))*((4*(0.3164/((General_Model!$C$14*A808*(General_Model!$C$4/1000)/General_Model!$C$15)^0.25))*General_Model!$C$7/(General_Model!$C$4/1000)+1)+(4*(0.3164/((General_Model!$C$14*A808*(General_Model!$C$4/1000)/General_Model!$C$15)^0.25))*General_Model!$C$7/(General_Model!$C$4/1000)+2)*(General_Model!$C$26/A808))</f>
        <v>-0.33374153958084879</v>
      </c>
      <c r="C808" s="13">
        <f t="shared" si="12"/>
        <v>0</v>
      </c>
    </row>
    <row r="809" spans="1:3" x14ac:dyDescent="0.25">
      <c r="A809" s="11">
        <v>0.80700000000000005</v>
      </c>
      <c r="B809" s="12">
        <f>(General_Model!$C$6/General_Model!$C$7)-1/(1+General_Model!$C$26/((1.2+0.2*(General_Model!$C$26/A809)+0.35*SQRT(9.80665*(General_Model!$C$4/1000))/A809)*A809))-(A809^2/(2*9.80665*General_Model!$C$7))*((4*(0.3164/((General_Model!$C$14*A809*(General_Model!$C$4/1000)/General_Model!$C$15)^0.25))*General_Model!$C$7/(General_Model!$C$4/1000)+1)+(4*(0.3164/((General_Model!$C$14*A809*(General_Model!$C$4/1000)/General_Model!$C$15)^0.25))*General_Model!$C$7/(General_Model!$C$4/1000)+2)*(General_Model!$C$26/A809))</f>
        <v>-0.334280466766393</v>
      </c>
      <c r="C809" s="13">
        <f t="shared" si="12"/>
        <v>0</v>
      </c>
    </row>
    <row r="810" spans="1:3" x14ac:dyDescent="0.25">
      <c r="A810" s="11">
        <v>0.80800000000000005</v>
      </c>
      <c r="B810" s="12">
        <f>(General_Model!$C$6/General_Model!$C$7)-1/(1+General_Model!$C$26/((1.2+0.2*(General_Model!$C$26/A810)+0.35*SQRT(9.80665*(General_Model!$C$4/1000))/A810)*A810))-(A810^2/(2*9.80665*General_Model!$C$7))*((4*(0.3164/((General_Model!$C$14*A810*(General_Model!$C$4/1000)/General_Model!$C$15)^0.25))*General_Model!$C$7/(General_Model!$C$4/1000)+1)+(4*(0.3164/((General_Model!$C$14*A810*(General_Model!$C$4/1000)/General_Model!$C$15)^0.25))*General_Model!$C$7/(General_Model!$C$4/1000)+2)*(General_Model!$C$26/A810))</f>
        <v>-0.33481939417058437</v>
      </c>
      <c r="C810" s="13">
        <f t="shared" si="12"/>
        <v>0</v>
      </c>
    </row>
    <row r="811" spans="1:3" x14ac:dyDescent="0.25">
      <c r="A811" s="11">
        <v>0.80900000000000005</v>
      </c>
      <c r="B811" s="12">
        <f>(General_Model!$C$6/General_Model!$C$7)-1/(1+General_Model!$C$26/((1.2+0.2*(General_Model!$C$26/A811)+0.35*SQRT(9.80665*(General_Model!$C$4/1000))/A811)*A811))-(A811^2/(2*9.80665*General_Model!$C$7))*((4*(0.3164/((General_Model!$C$14*A811*(General_Model!$C$4/1000)/General_Model!$C$15)^0.25))*General_Model!$C$7/(General_Model!$C$4/1000)+1)+(4*(0.3164/((General_Model!$C$14*A811*(General_Model!$C$4/1000)/General_Model!$C$15)^0.25))*General_Model!$C$7/(General_Model!$C$4/1000)+2)*(General_Model!$C$26/A811))</f>
        <v>-0.33535832228979207</v>
      </c>
      <c r="C811" s="13">
        <f t="shared" si="12"/>
        <v>0</v>
      </c>
    </row>
    <row r="812" spans="1:3" x14ac:dyDescent="0.25">
      <c r="A812" s="11">
        <v>0.81</v>
      </c>
      <c r="B812" s="12">
        <f>(General_Model!$C$6/General_Model!$C$7)-1/(1+General_Model!$C$26/((1.2+0.2*(General_Model!$C$26/A812)+0.35*SQRT(9.80665*(General_Model!$C$4/1000))/A812)*A812))-(A812^2/(2*9.80665*General_Model!$C$7))*((4*(0.3164/((General_Model!$C$14*A812*(General_Model!$C$4/1000)/General_Model!$C$15)^0.25))*General_Model!$C$7/(General_Model!$C$4/1000)+1)+(4*(0.3164/((General_Model!$C$14*A812*(General_Model!$C$4/1000)/General_Model!$C$15)^0.25))*General_Model!$C$7/(General_Model!$C$4/1000)+2)*(General_Model!$C$26/A812))</f>
        <v>-0.33589725161895578</v>
      </c>
      <c r="C812" s="13">
        <f t="shared" si="12"/>
        <v>0</v>
      </c>
    </row>
    <row r="813" spans="1:3" x14ac:dyDescent="0.25">
      <c r="A813" s="11">
        <v>0.81100000000000005</v>
      </c>
      <c r="B813" s="12">
        <f>(General_Model!$C$6/General_Model!$C$7)-1/(1+General_Model!$C$26/((1.2+0.2*(General_Model!$C$26/A813)+0.35*SQRT(9.80665*(General_Model!$C$4/1000))/A813)*A813))-(A813^2/(2*9.80665*General_Model!$C$7))*((4*(0.3164/((General_Model!$C$14*A813*(General_Model!$C$4/1000)/General_Model!$C$15)^0.25))*General_Model!$C$7/(General_Model!$C$4/1000)+1)+(4*(0.3164/((General_Model!$C$14*A813*(General_Model!$C$4/1000)/General_Model!$C$15)^0.25))*General_Model!$C$7/(General_Model!$C$4/1000)+2)*(General_Model!$C$26/A813))</f>
        <v>-0.33643618265159031</v>
      </c>
      <c r="C813" s="13">
        <f t="shared" si="12"/>
        <v>0</v>
      </c>
    </row>
    <row r="814" spans="1:3" x14ac:dyDescent="0.25">
      <c r="A814" s="11">
        <v>0.81200000000000006</v>
      </c>
      <c r="B814" s="12">
        <f>(General_Model!$C$6/General_Model!$C$7)-1/(1+General_Model!$C$26/((1.2+0.2*(General_Model!$C$26/A814)+0.35*SQRT(9.80665*(General_Model!$C$4/1000))/A814)*A814))-(A814^2/(2*9.80665*General_Model!$C$7))*((4*(0.3164/((General_Model!$C$14*A814*(General_Model!$C$4/1000)/General_Model!$C$15)^0.25))*General_Model!$C$7/(General_Model!$C$4/1000)+1)+(4*(0.3164/((General_Model!$C$14*A814*(General_Model!$C$4/1000)/General_Model!$C$15)^0.25))*General_Model!$C$7/(General_Model!$C$4/1000)+2)*(General_Model!$C$26/A814))</f>
        <v>-0.3369751158797919</v>
      </c>
      <c r="C814" s="13">
        <f t="shared" si="12"/>
        <v>0</v>
      </c>
    </row>
    <row r="815" spans="1:3" x14ac:dyDescent="0.25">
      <c r="A815" s="11">
        <v>0.81300000000000006</v>
      </c>
      <c r="B815" s="12">
        <f>(General_Model!$C$6/General_Model!$C$7)-1/(1+General_Model!$C$26/((1.2+0.2*(General_Model!$C$26/A815)+0.35*SQRT(9.80665*(General_Model!$C$4/1000))/A815)*A815))-(A815^2/(2*9.80665*General_Model!$C$7))*((4*(0.3164/((General_Model!$C$14*A815*(General_Model!$C$4/1000)/General_Model!$C$15)^0.25))*General_Model!$C$7/(General_Model!$C$4/1000)+1)+(4*(0.3164/((General_Model!$C$14*A815*(General_Model!$C$4/1000)/General_Model!$C$15)^0.25))*General_Model!$C$7/(General_Model!$C$4/1000)+2)*(General_Model!$C$26/A815))</f>
        <v>-0.33751405179424221</v>
      </c>
      <c r="C815" s="13">
        <f t="shared" si="12"/>
        <v>0</v>
      </c>
    </row>
    <row r="816" spans="1:3" x14ac:dyDescent="0.25">
      <c r="A816" s="11">
        <v>0.81400000000000006</v>
      </c>
      <c r="B816" s="12">
        <f>(General_Model!$C$6/General_Model!$C$7)-1/(1+General_Model!$C$26/((1.2+0.2*(General_Model!$C$26/A816)+0.35*SQRT(9.80665*(General_Model!$C$4/1000))/A816)*A816))-(A816^2/(2*9.80665*General_Model!$C$7))*((4*(0.3164/((General_Model!$C$14*A816*(General_Model!$C$4/1000)/General_Model!$C$15)^0.25))*General_Model!$C$7/(General_Model!$C$4/1000)+1)+(4*(0.3164/((General_Model!$C$14*A816*(General_Model!$C$4/1000)/General_Model!$C$15)^0.25))*General_Model!$C$7/(General_Model!$C$4/1000)+2)*(General_Model!$C$26/A816))</f>
        <v>-0.33805299088421314</v>
      </c>
      <c r="C816" s="13">
        <f t="shared" si="12"/>
        <v>0</v>
      </c>
    </row>
    <row r="817" spans="1:3" x14ac:dyDescent="0.25">
      <c r="A817" s="11">
        <v>0.81500000000000006</v>
      </c>
      <c r="B817" s="12">
        <f>(General_Model!$C$6/General_Model!$C$7)-1/(1+General_Model!$C$26/((1.2+0.2*(General_Model!$C$26/A817)+0.35*SQRT(9.80665*(General_Model!$C$4/1000))/A817)*A817))-(A817^2/(2*9.80665*General_Model!$C$7))*((4*(0.3164/((General_Model!$C$14*A817*(General_Model!$C$4/1000)/General_Model!$C$15)^0.25))*General_Model!$C$7/(General_Model!$C$4/1000)+1)+(4*(0.3164/((General_Model!$C$14*A817*(General_Model!$C$4/1000)/General_Model!$C$15)^0.25))*General_Model!$C$7/(General_Model!$C$4/1000)+2)*(General_Model!$C$26/A817))</f>
        <v>-0.33859193363757223</v>
      </c>
      <c r="C817" s="13">
        <f t="shared" si="12"/>
        <v>0</v>
      </c>
    </row>
    <row r="818" spans="1:3" x14ac:dyDescent="0.25">
      <c r="A818" s="11">
        <v>0.81600000000000006</v>
      </c>
      <c r="B818" s="12">
        <f>(General_Model!$C$6/General_Model!$C$7)-1/(1+General_Model!$C$26/((1.2+0.2*(General_Model!$C$26/A818)+0.35*SQRT(9.80665*(General_Model!$C$4/1000))/A818)*A818))-(A818^2/(2*9.80665*General_Model!$C$7))*((4*(0.3164/((General_Model!$C$14*A818*(General_Model!$C$4/1000)/General_Model!$C$15)^0.25))*General_Model!$C$7/(General_Model!$C$4/1000)+1)+(4*(0.3164/((General_Model!$C$14*A818*(General_Model!$C$4/1000)/General_Model!$C$15)^0.25))*General_Model!$C$7/(General_Model!$C$4/1000)+2)*(General_Model!$C$26/A818))</f>
        <v>-0.33913088054078755</v>
      </c>
      <c r="C818" s="13">
        <f t="shared" si="12"/>
        <v>0</v>
      </c>
    </row>
    <row r="819" spans="1:3" x14ac:dyDescent="0.25">
      <c r="A819" s="11">
        <v>0.81700000000000006</v>
      </c>
      <c r="B819" s="12">
        <f>(General_Model!$C$6/General_Model!$C$7)-1/(1+General_Model!$C$26/((1.2+0.2*(General_Model!$C$26/A819)+0.35*SQRT(9.80665*(General_Model!$C$4/1000))/A819)*A819))-(A819^2/(2*9.80665*General_Model!$C$7))*((4*(0.3164/((General_Model!$C$14*A819*(General_Model!$C$4/1000)/General_Model!$C$15)^0.25))*General_Model!$C$7/(General_Model!$C$4/1000)+1)+(4*(0.3164/((General_Model!$C$14*A819*(General_Model!$C$4/1000)/General_Model!$C$15)^0.25))*General_Model!$C$7/(General_Model!$C$4/1000)+2)*(General_Model!$C$26/A819))</f>
        <v>-0.33966983207893187</v>
      </c>
      <c r="C819" s="13">
        <f t="shared" si="12"/>
        <v>0</v>
      </c>
    </row>
    <row r="820" spans="1:3" x14ac:dyDescent="0.25">
      <c r="A820" s="11">
        <v>0.81800000000000006</v>
      </c>
      <c r="B820" s="12">
        <f>(General_Model!$C$6/General_Model!$C$7)-1/(1+General_Model!$C$26/((1.2+0.2*(General_Model!$C$26/A820)+0.35*SQRT(9.80665*(General_Model!$C$4/1000))/A820)*A820))-(A820^2/(2*9.80665*General_Model!$C$7))*((4*(0.3164/((General_Model!$C$14*A820*(General_Model!$C$4/1000)/General_Model!$C$15)^0.25))*General_Model!$C$7/(General_Model!$C$4/1000)+1)+(4*(0.3164/((General_Model!$C$14*A820*(General_Model!$C$4/1000)/General_Model!$C$15)^0.25))*General_Model!$C$7/(General_Model!$C$4/1000)+2)*(General_Model!$C$26/A820))</f>
        <v>-0.34020878873568894</v>
      </c>
      <c r="C820" s="13">
        <f t="shared" si="12"/>
        <v>0</v>
      </c>
    </row>
    <row r="821" spans="1:3" x14ac:dyDescent="0.25">
      <c r="A821" s="11">
        <v>0.81900000000000006</v>
      </c>
      <c r="B821" s="12">
        <f>(General_Model!$C$6/General_Model!$C$7)-1/(1+General_Model!$C$26/((1.2+0.2*(General_Model!$C$26/A821)+0.35*SQRT(9.80665*(General_Model!$C$4/1000))/A821)*A821))-(A821^2/(2*9.80665*General_Model!$C$7))*((4*(0.3164/((General_Model!$C$14*A821*(General_Model!$C$4/1000)/General_Model!$C$15)^0.25))*General_Model!$C$7/(General_Model!$C$4/1000)+1)+(4*(0.3164/((General_Model!$C$14*A821*(General_Model!$C$4/1000)/General_Model!$C$15)^0.25))*General_Model!$C$7/(General_Model!$C$4/1000)+2)*(General_Model!$C$26/A821))</f>
        <v>-0.34074775099335647</v>
      </c>
      <c r="C821" s="13">
        <f t="shared" si="12"/>
        <v>0</v>
      </c>
    </row>
    <row r="822" spans="1:3" x14ac:dyDescent="0.25">
      <c r="A822" s="11">
        <v>0.82000000000000006</v>
      </c>
      <c r="B822" s="12">
        <f>(General_Model!$C$6/General_Model!$C$7)-1/(1+General_Model!$C$26/((1.2+0.2*(General_Model!$C$26/A822)+0.35*SQRT(9.80665*(General_Model!$C$4/1000))/A822)*A822))-(A822^2/(2*9.80665*General_Model!$C$7))*((4*(0.3164/((General_Model!$C$14*A822*(General_Model!$C$4/1000)/General_Model!$C$15)^0.25))*General_Model!$C$7/(General_Model!$C$4/1000)+1)+(4*(0.3164/((General_Model!$C$14*A822*(General_Model!$C$4/1000)/General_Model!$C$15)^0.25))*General_Model!$C$7/(General_Model!$C$4/1000)+2)*(General_Model!$C$26/A822))</f>
        <v>-0.34128671933285265</v>
      </c>
      <c r="C822" s="13">
        <f t="shared" si="12"/>
        <v>0</v>
      </c>
    </row>
    <row r="823" spans="1:3" x14ac:dyDescent="0.25">
      <c r="A823" s="11">
        <v>0.82100000000000006</v>
      </c>
      <c r="B823" s="12">
        <f>(General_Model!$C$6/General_Model!$C$7)-1/(1+General_Model!$C$26/((1.2+0.2*(General_Model!$C$26/A823)+0.35*SQRT(9.80665*(General_Model!$C$4/1000))/A823)*A823))-(A823^2/(2*9.80665*General_Model!$C$7))*((4*(0.3164/((General_Model!$C$14*A823*(General_Model!$C$4/1000)/General_Model!$C$15)^0.25))*General_Model!$C$7/(General_Model!$C$4/1000)+1)+(4*(0.3164/((General_Model!$C$14*A823*(General_Model!$C$4/1000)/General_Model!$C$15)^0.25))*General_Model!$C$7/(General_Model!$C$4/1000)+2)*(General_Model!$C$26/A823))</f>
        <v>-0.34182569423372</v>
      </c>
      <c r="C823" s="13">
        <f t="shared" si="12"/>
        <v>0</v>
      </c>
    </row>
    <row r="824" spans="1:3" x14ac:dyDescent="0.25">
      <c r="A824" s="11">
        <v>0.82200000000000006</v>
      </c>
      <c r="B824" s="12">
        <f>(General_Model!$C$6/General_Model!$C$7)-1/(1+General_Model!$C$26/((1.2+0.2*(General_Model!$C$26/A824)+0.35*SQRT(9.80665*(General_Model!$C$4/1000))/A824)*A824))-(A824^2/(2*9.80665*General_Model!$C$7))*((4*(0.3164/((General_Model!$C$14*A824*(General_Model!$C$4/1000)/General_Model!$C$15)^0.25))*General_Model!$C$7/(General_Model!$C$4/1000)+1)+(4*(0.3164/((General_Model!$C$14*A824*(General_Model!$C$4/1000)/General_Model!$C$15)^0.25))*General_Model!$C$7/(General_Model!$C$4/1000)+2)*(General_Model!$C$26/A824))</f>
        <v>-0.34236467617413013</v>
      </c>
      <c r="C824" s="13">
        <f t="shared" si="12"/>
        <v>0</v>
      </c>
    </row>
    <row r="825" spans="1:3" x14ac:dyDescent="0.25">
      <c r="A825" s="11">
        <v>0.82300000000000006</v>
      </c>
      <c r="B825" s="12">
        <f>(General_Model!$C$6/General_Model!$C$7)-1/(1+General_Model!$C$26/((1.2+0.2*(General_Model!$C$26/A825)+0.35*SQRT(9.80665*(General_Model!$C$4/1000))/A825)*A825))-(A825^2/(2*9.80665*General_Model!$C$7))*((4*(0.3164/((General_Model!$C$14*A825*(General_Model!$C$4/1000)/General_Model!$C$15)^0.25))*General_Model!$C$7/(General_Model!$C$4/1000)+1)+(4*(0.3164/((General_Model!$C$14*A825*(General_Model!$C$4/1000)/General_Model!$C$15)^0.25))*General_Model!$C$7/(General_Model!$C$4/1000)+2)*(General_Model!$C$26/A825))</f>
        <v>-0.34290366563088903</v>
      </c>
      <c r="C825" s="13">
        <f t="shared" si="12"/>
        <v>0</v>
      </c>
    </row>
    <row r="826" spans="1:3" x14ac:dyDescent="0.25">
      <c r="A826" s="11">
        <v>0.82400000000000007</v>
      </c>
      <c r="B826" s="12">
        <f>(General_Model!$C$6/General_Model!$C$7)-1/(1+General_Model!$C$26/((1.2+0.2*(General_Model!$C$26/A826)+0.35*SQRT(9.80665*(General_Model!$C$4/1000))/A826)*A826))-(A826^2/(2*9.80665*General_Model!$C$7))*((4*(0.3164/((General_Model!$C$14*A826*(General_Model!$C$4/1000)/General_Model!$C$15)^0.25))*General_Model!$C$7/(General_Model!$C$4/1000)+1)+(4*(0.3164/((General_Model!$C$14*A826*(General_Model!$C$4/1000)/General_Model!$C$15)^0.25))*General_Model!$C$7/(General_Model!$C$4/1000)+2)*(General_Model!$C$26/A826))</f>
        <v>-0.34344266307944132</v>
      </c>
      <c r="C826" s="13">
        <f t="shared" si="12"/>
        <v>0</v>
      </c>
    </row>
    <row r="827" spans="1:3" x14ac:dyDescent="0.25">
      <c r="A827" s="11">
        <v>0.82500000000000007</v>
      </c>
      <c r="B827" s="12">
        <f>(General_Model!$C$6/General_Model!$C$7)-1/(1+General_Model!$C$26/((1.2+0.2*(General_Model!$C$26/A827)+0.35*SQRT(9.80665*(General_Model!$C$4/1000))/A827)*A827))-(A827^2/(2*9.80665*General_Model!$C$7))*((4*(0.3164/((General_Model!$C$14*A827*(General_Model!$C$4/1000)/General_Model!$C$15)^0.25))*General_Model!$C$7/(General_Model!$C$4/1000)+1)+(4*(0.3164/((General_Model!$C$14*A827*(General_Model!$C$4/1000)/General_Model!$C$15)^0.25))*General_Model!$C$7/(General_Model!$C$4/1000)+2)*(General_Model!$C$26/A827))</f>
        <v>-0.34398166899387544</v>
      </c>
      <c r="C827" s="13">
        <f t="shared" si="12"/>
        <v>0</v>
      </c>
    </row>
    <row r="828" spans="1:3" x14ac:dyDescent="0.25">
      <c r="A828" s="11">
        <v>0.82600000000000007</v>
      </c>
      <c r="B828" s="12">
        <f>(General_Model!$C$6/General_Model!$C$7)-1/(1+General_Model!$C$26/((1.2+0.2*(General_Model!$C$26/A828)+0.35*SQRT(9.80665*(General_Model!$C$4/1000))/A828)*A828))-(A828^2/(2*9.80665*General_Model!$C$7))*((4*(0.3164/((General_Model!$C$14*A828*(General_Model!$C$4/1000)/General_Model!$C$15)^0.25))*General_Model!$C$7/(General_Model!$C$4/1000)+1)+(4*(0.3164/((General_Model!$C$14*A828*(General_Model!$C$4/1000)/General_Model!$C$15)^0.25))*General_Model!$C$7/(General_Model!$C$4/1000)+2)*(General_Model!$C$26/A828))</f>
        <v>-0.34452068384692747</v>
      </c>
      <c r="C828" s="13">
        <f t="shared" si="12"/>
        <v>0</v>
      </c>
    </row>
    <row r="829" spans="1:3" x14ac:dyDescent="0.25">
      <c r="A829" s="11">
        <v>0.82700000000000007</v>
      </c>
      <c r="B829" s="12">
        <f>(General_Model!$C$6/General_Model!$C$7)-1/(1+General_Model!$C$26/((1.2+0.2*(General_Model!$C$26/A829)+0.35*SQRT(9.80665*(General_Model!$C$4/1000))/A829)*A829))-(A829^2/(2*9.80665*General_Model!$C$7))*((4*(0.3164/((General_Model!$C$14*A829*(General_Model!$C$4/1000)/General_Model!$C$15)^0.25))*General_Model!$C$7/(General_Model!$C$4/1000)+1)+(4*(0.3164/((General_Model!$C$14*A829*(General_Model!$C$4/1000)/General_Model!$C$15)^0.25))*General_Model!$C$7/(General_Model!$C$4/1000)+2)*(General_Model!$C$26/A829))</f>
        <v>-0.3450597081099871</v>
      </c>
      <c r="C829" s="13">
        <f t="shared" si="12"/>
        <v>0</v>
      </c>
    </row>
    <row r="830" spans="1:3" x14ac:dyDescent="0.25">
      <c r="A830" s="11">
        <v>0.82800000000000007</v>
      </c>
      <c r="B830" s="12">
        <f>(General_Model!$C$6/General_Model!$C$7)-1/(1+General_Model!$C$26/((1.2+0.2*(General_Model!$C$26/A830)+0.35*SQRT(9.80665*(General_Model!$C$4/1000))/A830)*A830))-(A830^2/(2*9.80665*General_Model!$C$7))*((4*(0.3164/((General_Model!$C$14*A830*(General_Model!$C$4/1000)/General_Model!$C$15)^0.25))*General_Model!$C$7/(General_Model!$C$4/1000)+1)+(4*(0.3164/((General_Model!$C$14*A830*(General_Model!$C$4/1000)/General_Model!$C$15)^0.25))*General_Model!$C$7/(General_Model!$C$4/1000)+2)*(General_Model!$C$26/A830))</f>
        <v>-0.34559874225310105</v>
      </c>
      <c r="C830" s="13">
        <f t="shared" si="12"/>
        <v>0</v>
      </c>
    </row>
    <row r="831" spans="1:3" x14ac:dyDescent="0.25">
      <c r="A831" s="11">
        <v>0.82900000000000007</v>
      </c>
      <c r="B831" s="12">
        <f>(General_Model!$C$6/General_Model!$C$7)-1/(1+General_Model!$C$26/((1.2+0.2*(General_Model!$C$26/A831)+0.35*SQRT(9.80665*(General_Model!$C$4/1000))/A831)*A831))-(A831^2/(2*9.80665*General_Model!$C$7))*((4*(0.3164/((General_Model!$C$14*A831*(General_Model!$C$4/1000)/General_Model!$C$15)^0.25))*General_Model!$C$7/(General_Model!$C$4/1000)+1)+(4*(0.3164/((General_Model!$C$14*A831*(General_Model!$C$4/1000)/General_Model!$C$15)^0.25))*General_Model!$C$7/(General_Model!$C$4/1000)+2)*(General_Model!$C$26/A831))</f>
        <v>-0.34613778674497897</v>
      </c>
      <c r="C831" s="13">
        <f t="shared" si="12"/>
        <v>0</v>
      </c>
    </row>
    <row r="832" spans="1:3" x14ac:dyDescent="0.25">
      <c r="A832" s="11">
        <v>0.83000000000000007</v>
      </c>
      <c r="B832" s="12">
        <f>(General_Model!$C$6/General_Model!$C$7)-1/(1+General_Model!$C$26/((1.2+0.2*(General_Model!$C$26/A832)+0.35*SQRT(9.80665*(General_Model!$C$4/1000))/A832)*A832))-(A832^2/(2*9.80665*General_Model!$C$7))*((4*(0.3164/((General_Model!$C$14*A832*(General_Model!$C$4/1000)/General_Model!$C$15)^0.25))*General_Model!$C$7/(General_Model!$C$4/1000)+1)+(4*(0.3164/((General_Model!$C$14*A832*(General_Model!$C$4/1000)/General_Model!$C$15)^0.25))*General_Model!$C$7/(General_Model!$C$4/1000)+2)*(General_Model!$C$26/A832))</f>
        <v>-0.34667684205299631</v>
      </c>
      <c r="C832" s="13">
        <f t="shared" si="12"/>
        <v>0</v>
      </c>
    </row>
    <row r="833" spans="1:3" x14ac:dyDescent="0.25">
      <c r="A833" s="11">
        <v>0.83100000000000007</v>
      </c>
      <c r="B833" s="12">
        <f>(General_Model!$C$6/General_Model!$C$7)-1/(1+General_Model!$C$26/((1.2+0.2*(General_Model!$C$26/A833)+0.35*SQRT(9.80665*(General_Model!$C$4/1000))/A833)*A833))-(A833^2/(2*9.80665*General_Model!$C$7))*((4*(0.3164/((General_Model!$C$14*A833*(General_Model!$C$4/1000)/General_Model!$C$15)^0.25))*General_Model!$C$7/(General_Model!$C$4/1000)+1)+(4*(0.3164/((General_Model!$C$14*A833*(General_Model!$C$4/1000)/General_Model!$C$15)^0.25))*General_Model!$C$7/(General_Model!$C$4/1000)+2)*(General_Model!$C$26/A833))</f>
        <v>-0.34721590864320079</v>
      </c>
      <c r="C833" s="13">
        <f t="shared" si="12"/>
        <v>0</v>
      </c>
    </row>
    <row r="834" spans="1:3" x14ac:dyDescent="0.25">
      <c r="A834" s="11">
        <v>0.83200000000000007</v>
      </c>
      <c r="B834" s="12">
        <f>(General_Model!$C$6/General_Model!$C$7)-1/(1+General_Model!$C$26/((1.2+0.2*(General_Model!$C$26/A834)+0.35*SQRT(9.80665*(General_Model!$C$4/1000))/A834)*A834))-(A834^2/(2*9.80665*General_Model!$C$7))*((4*(0.3164/((General_Model!$C$14*A834*(General_Model!$C$4/1000)/General_Model!$C$15)^0.25))*General_Model!$C$7/(General_Model!$C$4/1000)+1)+(4*(0.3164/((General_Model!$C$14*A834*(General_Model!$C$4/1000)/General_Model!$C$15)^0.25))*General_Model!$C$7/(General_Model!$C$4/1000)+2)*(General_Model!$C$26/A834))</f>
        <v>-0.34775498698031576</v>
      </c>
      <c r="C834" s="13">
        <f t="shared" si="12"/>
        <v>0</v>
      </c>
    </row>
    <row r="835" spans="1:3" x14ac:dyDescent="0.25">
      <c r="A835" s="11">
        <v>0.83300000000000007</v>
      </c>
      <c r="B835" s="12">
        <f>(General_Model!$C$6/General_Model!$C$7)-1/(1+General_Model!$C$26/((1.2+0.2*(General_Model!$C$26/A835)+0.35*SQRT(9.80665*(General_Model!$C$4/1000))/A835)*A835))-(A835^2/(2*9.80665*General_Model!$C$7))*((4*(0.3164/((General_Model!$C$14*A835*(General_Model!$C$4/1000)/General_Model!$C$15)^0.25))*General_Model!$C$7/(General_Model!$C$4/1000)+1)+(4*(0.3164/((General_Model!$C$14*A835*(General_Model!$C$4/1000)/General_Model!$C$15)^0.25))*General_Model!$C$7/(General_Model!$C$4/1000)+2)*(General_Model!$C$26/A835))</f>
        <v>-0.34829407752774533</v>
      </c>
      <c r="C835" s="13">
        <f t="shared" ref="C835:C898" si="13">IF(B835*B836&lt;=0,1,0)</f>
        <v>0</v>
      </c>
    </row>
    <row r="836" spans="1:3" x14ac:dyDescent="0.25">
      <c r="A836" s="11">
        <v>0.83399999999999996</v>
      </c>
      <c r="B836" s="12">
        <f>(General_Model!$C$6/General_Model!$C$7)-1/(1+General_Model!$C$26/((1.2+0.2*(General_Model!$C$26/A836)+0.35*SQRT(9.80665*(General_Model!$C$4/1000))/A836)*A836))-(A836^2/(2*9.80665*General_Model!$C$7))*((4*(0.3164/((General_Model!$C$14*A836*(General_Model!$C$4/1000)/General_Model!$C$15)^0.25))*General_Model!$C$7/(General_Model!$C$4/1000)+1)+(4*(0.3164/((General_Model!$C$14*A836*(General_Model!$C$4/1000)/General_Model!$C$15)^0.25))*General_Model!$C$7/(General_Model!$C$4/1000)+2)*(General_Model!$C$26/A836))</f>
        <v>-0.34883318074757863</v>
      </c>
      <c r="C836" s="13">
        <f t="shared" si="13"/>
        <v>0</v>
      </c>
    </row>
    <row r="837" spans="1:3" x14ac:dyDescent="0.25">
      <c r="A837" s="11">
        <v>0.83499999999999996</v>
      </c>
      <c r="B837" s="12">
        <f>(General_Model!$C$6/General_Model!$C$7)-1/(1+General_Model!$C$26/((1.2+0.2*(General_Model!$C$26/A837)+0.35*SQRT(9.80665*(General_Model!$C$4/1000))/A837)*A837))-(A837^2/(2*9.80665*General_Model!$C$7))*((4*(0.3164/((General_Model!$C$14*A837*(General_Model!$C$4/1000)/General_Model!$C$15)^0.25))*General_Model!$C$7/(General_Model!$C$4/1000)+1)+(4*(0.3164/((General_Model!$C$14*A837*(General_Model!$C$4/1000)/General_Model!$C$15)^0.25))*General_Model!$C$7/(General_Model!$C$4/1000)+2)*(General_Model!$C$26/A837))</f>
        <v>-0.34937229710059459</v>
      </c>
      <c r="C837" s="13">
        <f t="shared" si="13"/>
        <v>0</v>
      </c>
    </row>
    <row r="838" spans="1:3" x14ac:dyDescent="0.25">
      <c r="A838" s="11">
        <v>0.83599999999999997</v>
      </c>
      <c r="B838" s="12">
        <f>(General_Model!$C$6/General_Model!$C$7)-1/(1+General_Model!$C$26/((1.2+0.2*(General_Model!$C$26/A838)+0.35*SQRT(9.80665*(General_Model!$C$4/1000))/A838)*A838))-(A838^2/(2*9.80665*General_Model!$C$7))*((4*(0.3164/((General_Model!$C$14*A838*(General_Model!$C$4/1000)/General_Model!$C$15)^0.25))*General_Model!$C$7/(General_Model!$C$4/1000)+1)+(4*(0.3164/((General_Model!$C$14*A838*(General_Model!$C$4/1000)/General_Model!$C$15)^0.25))*General_Model!$C$7/(General_Model!$C$4/1000)+2)*(General_Model!$C$26/A838))</f>
        <v>-0.3499114270462661</v>
      </c>
      <c r="C838" s="13">
        <f t="shared" si="13"/>
        <v>0</v>
      </c>
    </row>
    <row r="839" spans="1:3" x14ac:dyDescent="0.25">
      <c r="A839" s="11">
        <v>0.83699999999999997</v>
      </c>
      <c r="B839" s="12">
        <f>(General_Model!$C$6/General_Model!$C$7)-1/(1+General_Model!$C$26/((1.2+0.2*(General_Model!$C$26/A839)+0.35*SQRT(9.80665*(General_Model!$C$4/1000))/A839)*A839))-(A839^2/(2*9.80665*General_Model!$C$7))*((4*(0.3164/((General_Model!$C$14*A839*(General_Model!$C$4/1000)/General_Model!$C$15)^0.25))*General_Model!$C$7/(General_Model!$C$4/1000)+1)+(4*(0.3164/((General_Model!$C$14*A839*(General_Model!$C$4/1000)/General_Model!$C$15)^0.25))*General_Model!$C$7/(General_Model!$C$4/1000)+2)*(General_Model!$C$26/A839))</f>
        <v>-0.35045057104276484</v>
      </c>
      <c r="C839" s="13">
        <f t="shared" si="13"/>
        <v>0</v>
      </c>
    </row>
    <row r="840" spans="1:3" x14ac:dyDescent="0.25">
      <c r="A840" s="11">
        <v>0.83799999999999997</v>
      </c>
      <c r="B840" s="12">
        <f>(General_Model!$C$6/General_Model!$C$7)-1/(1+General_Model!$C$26/((1.2+0.2*(General_Model!$C$26/A840)+0.35*SQRT(9.80665*(General_Model!$C$4/1000))/A840)*A840))-(A840^2/(2*9.80665*General_Model!$C$7))*((4*(0.3164/((General_Model!$C$14*A840*(General_Model!$C$4/1000)/General_Model!$C$15)^0.25))*General_Model!$C$7/(General_Model!$C$4/1000)+1)+(4*(0.3164/((General_Model!$C$14*A840*(General_Model!$C$4/1000)/General_Model!$C$15)^0.25))*General_Model!$C$7/(General_Model!$C$4/1000)+2)*(General_Model!$C$26/A840))</f>
        <v>-0.35098972954696567</v>
      </c>
      <c r="C840" s="13">
        <f t="shared" si="13"/>
        <v>0</v>
      </c>
    </row>
    <row r="841" spans="1:3" x14ac:dyDescent="0.25">
      <c r="A841" s="11">
        <v>0.83899999999999997</v>
      </c>
      <c r="B841" s="12">
        <f>(General_Model!$C$6/General_Model!$C$7)-1/(1+General_Model!$C$26/((1.2+0.2*(General_Model!$C$26/A841)+0.35*SQRT(9.80665*(General_Model!$C$4/1000))/A841)*A841))-(A841^2/(2*9.80665*General_Model!$C$7))*((4*(0.3164/((General_Model!$C$14*A841*(General_Model!$C$4/1000)/General_Model!$C$15)^0.25))*General_Model!$C$7/(General_Model!$C$4/1000)+1)+(4*(0.3164/((General_Model!$C$14*A841*(General_Model!$C$4/1000)/General_Model!$C$15)^0.25))*General_Model!$C$7/(General_Model!$C$4/1000)+2)*(General_Model!$C$26/A841))</f>
        <v>-0.35152890301445067</v>
      </c>
      <c r="C841" s="13">
        <f t="shared" si="13"/>
        <v>0</v>
      </c>
    </row>
    <row r="842" spans="1:3" x14ac:dyDescent="0.25">
      <c r="A842" s="11">
        <v>0.84</v>
      </c>
      <c r="B842" s="12">
        <f>(General_Model!$C$6/General_Model!$C$7)-1/(1+General_Model!$C$26/((1.2+0.2*(General_Model!$C$26/A842)+0.35*SQRT(9.80665*(General_Model!$C$4/1000))/A842)*A842))-(A842^2/(2*9.80665*General_Model!$C$7))*((4*(0.3164/((General_Model!$C$14*A842*(General_Model!$C$4/1000)/General_Model!$C$15)^0.25))*General_Model!$C$7/(General_Model!$C$4/1000)+1)+(4*(0.3164/((General_Model!$C$14*A842*(General_Model!$C$4/1000)/General_Model!$C$15)^0.25))*General_Model!$C$7/(General_Model!$C$4/1000)+2)*(General_Model!$C$26/A842))</f>
        <v>-0.35206809189951427</v>
      </c>
      <c r="C842" s="13">
        <f t="shared" si="13"/>
        <v>0</v>
      </c>
    </row>
    <row r="843" spans="1:3" x14ac:dyDescent="0.25">
      <c r="A843" s="11">
        <v>0.84099999999999997</v>
      </c>
      <c r="B843" s="12">
        <f>(General_Model!$C$6/General_Model!$C$7)-1/(1+General_Model!$C$26/((1.2+0.2*(General_Model!$C$26/A843)+0.35*SQRT(9.80665*(General_Model!$C$4/1000))/A843)*A843))-(A843^2/(2*9.80665*General_Model!$C$7))*((4*(0.3164/((General_Model!$C$14*A843*(General_Model!$C$4/1000)/General_Model!$C$15)^0.25))*General_Model!$C$7/(General_Model!$C$4/1000)+1)+(4*(0.3164/((General_Model!$C$14*A843*(General_Model!$C$4/1000)/General_Model!$C$15)^0.25))*General_Model!$C$7/(General_Model!$C$4/1000)+2)*(General_Model!$C$26/A843))</f>
        <v>-0.35260729665516743</v>
      </c>
      <c r="C843" s="13">
        <f t="shared" si="13"/>
        <v>0</v>
      </c>
    </row>
    <row r="844" spans="1:3" x14ac:dyDescent="0.25">
      <c r="A844" s="11">
        <v>0.84199999999999997</v>
      </c>
      <c r="B844" s="12">
        <f>(General_Model!$C$6/General_Model!$C$7)-1/(1+General_Model!$C$26/((1.2+0.2*(General_Model!$C$26/A844)+0.35*SQRT(9.80665*(General_Model!$C$4/1000))/A844)*A844))-(A844^2/(2*9.80665*General_Model!$C$7))*((4*(0.3164/((General_Model!$C$14*A844*(General_Model!$C$4/1000)/General_Model!$C$15)^0.25))*General_Model!$C$7/(General_Model!$C$4/1000)+1)+(4*(0.3164/((General_Model!$C$14*A844*(General_Model!$C$4/1000)/General_Model!$C$15)^0.25))*General_Model!$C$7/(General_Model!$C$4/1000)+2)*(General_Model!$C$26/A844))</f>
        <v>-0.35314651773314171</v>
      </c>
      <c r="C844" s="13">
        <f t="shared" si="13"/>
        <v>0</v>
      </c>
    </row>
    <row r="845" spans="1:3" x14ac:dyDescent="0.25">
      <c r="A845" s="11">
        <v>0.84299999999999997</v>
      </c>
      <c r="B845" s="12">
        <f>(General_Model!$C$6/General_Model!$C$7)-1/(1+General_Model!$C$26/((1.2+0.2*(General_Model!$C$26/A845)+0.35*SQRT(9.80665*(General_Model!$C$4/1000))/A845)*A845))-(A845^2/(2*9.80665*General_Model!$C$7))*((4*(0.3164/((General_Model!$C$14*A845*(General_Model!$C$4/1000)/General_Model!$C$15)^0.25))*General_Model!$C$7/(General_Model!$C$4/1000)+1)+(4*(0.3164/((General_Model!$C$14*A845*(General_Model!$C$4/1000)/General_Model!$C$15)^0.25))*General_Model!$C$7/(General_Model!$C$4/1000)+2)*(General_Model!$C$26/A845))</f>
        <v>-0.3536857555838937</v>
      </c>
      <c r="C845" s="13">
        <f t="shared" si="13"/>
        <v>0</v>
      </c>
    </row>
    <row r="846" spans="1:3" x14ac:dyDescent="0.25">
      <c r="A846" s="11">
        <v>0.84399999999999997</v>
      </c>
      <c r="B846" s="12">
        <f>(General_Model!$C$6/General_Model!$C$7)-1/(1+General_Model!$C$26/((1.2+0.2*(General_Model!$C$26/A846)+0.35*SQRT(9.80665*(General_Model!$C$4/1000))/A846)*A846))-(A846^2/(2*9.80665*General_Model!$C$7))*((4*(0.3164/((General_Model!$C$14*A846*(General_Model!$C$4/1000)/General_Model!$C$15)^0.25))*General_Model!$C$7/(General_Model!$C$4/1000)+1)+(4*(0.3164/((General_Model!$C$14*A846*(General_Model!$C$4/1000)/General_Model!$C$15)^0.25))*General_Model!$C$7/(General_Model!$C$4/1000)+2)*(General_Model!$C$26/A846))</f>
        <v>-0.35422501065661011</v>
      </c>
      <c r="C846" s="13">
        <f t="shared" si="13"/>
        <v>0</v>
      </c>
    </row>
    <row r="847" spans="1:3" x14ac:dyDescent="0.25">
      <c r="A847" s="11">
        <v>0.84499999999999997</v>
      </c>
      <c r="B847" s="12">
        <f>(General_Model!$C$6/General_Model!$C$7)-1/(1+General_Model!$C$26/((1.2+0.2*(General_Model!$C$26/A847)+0.35*SQRT(9.80665*(General_Model!$C$4/1000))/A847)*A847))-(A847^2/(2*9.80665*General_Model!$C$7))*((4*(0.3164/((General_Model!$C$14*A847*(General_Model!$C$4/1000)/General_Model!$C$15)^0.25))*General_Model!$C$7/(General_Model!$C$4/1000)+1)+(4*(0.3164/((General_Model!$C$14*A847*(General_Model!$C$4/1000)/General_Model!$C$15)^0.25))*General_Model!$C$7/(General_Model!$C$4/1000)+2)*(General_Model!$C$26/A847))</f>
        <v>-0.35476428339921107</v>
      </c>
      <c r="C847" s="13">
        <f t="shared" si="13"/>
        <v>0</v>
      </c>
    </row>
    <row r="848" spans="1:3" x14ac:dyDescent="0.25">
      <c r="A848" s="11">
        <v>0.84599999999999997</v>
      </c>
      <c r="B848" s="12">
        <f>(General_Model!$C$6/General_Model!$C$7)-1/(1+General_Model!$C$26/((1.2+0.2*(General_Model!$C$26/A848)+0.35*SQRT(9.80665*(General_Model!$C$4/1000))/A848)*A848))-(A848^2/(2*9.80665*General_Model!$C$7))*((4*(0.3164/((General_Model!$C$14*A848*(General_Model!$C$4/1000)/General_Model!$C$15)^0.25))*General_Model!$C$7/(General_Model!$C$4/1000)+1)+(4*(0.3164/((General_Model!$C$14*A848*(General_Model!$C$4/1000)/General_Model!$C$15)^0.25))*General_Model!$C$7/(General_Model!$C$4/1000)+2)*(General_Model!$C$26/A848))</f>
        <v>-0.35530357425835501</v>
      </c>
      <c r="C848" s="13">
        <f t="shared" si="13"/>
        <v>0</v>
      </c>
    </row>
    <row r="849" spans="1:3" x14ac:dyDescent="0.25">
      <c r="A849" s="11">
        <v>0.84699999999999998</v>
      </c>
      <c r="B849" s="12">
        <f>(General_Model!$C$6/General_Model!$C$7)-1/(1+General_Model!$C$26/((1.2+0.2*(General_Model!$C$26/A849)+0.35*SQRT(9.80665*(General_Model!$C$4/1000))/A849)*A849))-(A849^2/(2*9.80665*General_Model!$C$7))*((4*(0.3164/((General_Model!$C$14*A849*(General_Model!$C$4/1000)/General_Model!$C$15)^0.25))*General_Model!$C$7/(General_Model!$C$4/1000)+1)+(4*(0.3164/((General_Model!$C$14*A849*(General_Model!$C$4/1000)/General_Model!$C$15)^0.25))*General_Model!$C$7/(General_Model!$C$4/1000)+2)*(General_Model!$C$26/A849))</f>
        <v>-0.35584288367944328</v>
      </c>
      <c r="C849" s="13">
        <f t="shared" si="13"/>
        <v>0</v>
      </c>
    </row>
    <row r="850" spans="1:3" x14ac:dyDescent="0.25">
      <c r="A850" s="11">
        <v>0.84799999999999998</v>
      </c>
      <c r="B850" s="12">
        <f>(General_Model!$C$6/General_Model!$C$7)-1/(1+General_Model!$C$26/((1.2+0.2*(General_Model!$C$26/A850)+0.35*SQRT(9.80665*(General_Model!$C$4/1000))/A850)*A850))-(A850^2/(2*9.80665*General_Model!$C$7))*((4*(0.3164/((General_Model!$C$14*A850*(General_Model!$C$4/1000)/General_Model!$C$15)^0.25))*General_Model!$C$7/(General_Model!$C$4/1000)+1)+(4*(0.3164/((General_Model!$C$14*A850*(General_Model!$C$4/1000)/General_Model!$C$15)^0.25))*General_Model!$C$7/(General_Model!$C$4/1000)+2)*(General_Model!$C$26/A850))</f>
        <v>-0.35638221210662335</v>
      </c>
      <c r="C850" s="13">
        <f t="shared" si="13"/>
        <v>0</v>
      </c>
    </row>
    <row r="851" spans="1:3" x14ac:dyDescent="0.25">
      <c r="A851" s="11">
        <v>0.84899999999999998</v>
      </c>
      <c r="B851" s="12">
        <f>(General_Model!$C$6/General_Model!$C$7)-1/(1+General_Model!$C$26/((1.2+0.2*(General_Model!$C$26/A851)+0.35*SQRT(9.80665*(General_Model!$C$4/1000))/A851)*A851))-(A851^2/(2*9.80665*General_Model!$C$7))*((4*(0.3164/((General_Model!$C$14*A851*(General_Model!$C$4/1000)/General_Model!$C$15)^0.25))*General_Model!$C$7/(General_Model!$C$4/1000)+1)+(4*(0.3164/((General_Model!$C$14*A851*(General_Model!$C$4/1000)/General_Model!$C$15)^0.25))*General_Model!$C$7/(General_Model!$C$4/1000)+2)*(General_Model!$C$26/A851))</f>
        <v>-0.35692155998279468</v>
      </c>
      <c r="C851" s="13">
        <f t="shared" si="13"/>
        <v>0</v>
      </c>
    </row>
    <row r="852" spans="1:3" x14ac:dyDescent="0.25">
      <c r="A852" s="11">
        <v>0.85</v>
      </c>
      <c r="B852" s="12">
        <f>(General_Model!$C$6/General_Model!$C$7)-1/(1+General_Model!$C$26/((1.2+0.2*(General_Model!$C$26/A852)+0.35*SQRT(9.80665*(General_Model!$C$4/1000))/A852)*A852))-(A852^2/(2*9.80665*General_Model!$C$7))*((4*(0.3164/((General_Model!$C$14*A852*(General_Model!$C$4/1000)/General_Model!$C$15)^0.25))*General_Model!$C$7/(General_Model!$C$4/1000)+1)+(4*(0.3164/((General_Model!$C$14*A852*(General_Model!$C$4/1000)/General_Model!$C$15)^0.25))*General_Model!$C$7/(General_Model!$C$4/1000)+2)*(General_Model!$C$26/A852))</f>
        <v>-0.35746092774961147</v>
      </c>
      <c r="C852" s="13">
        <f t="shared" si="13"/>
        <v>0</v>
      </c>
    </row>
    <row r="853" spans="1:3" x14ac:dyDescent="0.25">
      <c r="A853" s="11">
        <v>0.85099999999999998</v>
      </c>
      <c r="B853" s="12">
        <f>(General_Model!$C$6/General_Model!$C$7)-1/(1+General_Model!$C$26/((1.2+0.2*(General_Model!$C$26/A853)+0.35*SQRT(9.80665*(General_Model!$C$4/1000))/A853)*A853))-(A853^2/(2*9.80665*General_Model!$C$7))*((4*(0.3164/((General_Model!$C$14*A853*(General_Model!$C$4/1000)/General_Model!$C$15)^0.25))*General_Model!$C$7/(General_Model!$C$4/1000)+1)+(4*(0.3164/((General_Model!$C$14*A853*(General_Model!$C$4/1000)/General_Model!$C$15)^0.25))*General_Model!$C$7/(General_Model!$C$4/1000)+2)*(General_Model!$C$26/A853))</f>
        <v>-0.35800031584748776</v>
      </c>
      <c r="C853" s="13">
        <f t="shared" si="13"/>
        <v>0</v>
      </c>
    </row>
    <row r="854" spans="1:3" x14ac:dyDescent="0.25">
      <c r="A854" s="11">
        <v>0.85199999999999998</v>
      </c>
      <c r="B854" s="12">
        <f>(General_Model!$C$6/General_Model!$C$7)-1/(1+General_Model!$C$26/((1.2+0.2*(General_Model!$C$26/A854)+0.35*SQRT(9.80665*(General_Model!$C$4/1000))/A854)*A854))-(A854^2/(2*9.80665*General_Model!$C$7))*((4*(0.3164/((General_Model!$C$14*A854*(General_Model!$C$4/1000)/General_Model!$C$15)^0.25))*General_Model!$C$7/(General_Model!$C$4/1000)+1)+(4*(0.3164/((General_Model!$C$14*A854*(General_Model!$C$4/1000)/General_Model!$C$15)^0.25))*General_Model!$C$7/(General_Model!$C$4/1000)+2)*(General_Model!$C$26/A854))</f>
        <v>-0.35853972471560164</v>
      </c>
      <c r="C854" s="13">
        <f t="shared" si="13"/>
        <v>0</v>
      </c>
    </row>
    <row r="855" spans="1:3" x14ac:dyDescent="0.25">
      <c r="A855" s="11">
        <v>0.85299999999999998</v>
      </c>
      <c r="B855" s="12">
        <f>(General_Model!$C$6/General_Model!$C$7)-1/(1+General_Model!$C$26/((1.2+0.2*(General_Model!$C$26/A855)+0.35*SQRT(9.80665*(General_Model!$C$4/1000))/A855)*A855))-(A855^2/(2*9.80665*General_Model!$C$7))*((4*(0.3164/((General_Model!$C$14*A855*(General_Model!$C$4/1000)/General_Model!$C$15)^0.25))*General_Model!$C$7/(General_Model!$C$4/1000)+1)+(4*(0.3164/((General_Model!$C$14*A855*(General_Model!$C$4/1000)/General_Model!$C$15)^0.25))*General_Model!$C$7/(General_Model!$C$4/1000)+2)*(General_Model!$C$26/A855))</f>
        <v>-0.35907915479189845</v>
      </c>
      <c r="C855" s="13">
        <f t="shared" si="13"/>
        <v>0</v>
      </c>
    </row>
    <row r="856" spans="1:3" x14ac:dyDescent="0.25">
      <c r="A856" s="11">
        <v>0.85399999999999998</v>
      </c>
      <c r="B856" s="12">
        <f>(General_Model!$C$6/General_Model!$C$7)-1/(1+General_Model!$C$26/((1.2+0.2*(General_Model!$C$26/A856)+0.35*SQRT(9.80665*(General_Model!$C$4/1000))/A856)*A856))-(A856^2/(2*9.80665*General_Model!$C$7))*((4*(0.3164/((General_Model!$C$14*A856*(General_Model!$C$4/1000)/General_Model!$C$15)^0.25))*General_Model!$C$7/(General_Model!$C$4/1000)+1)+(4*(0.3164/((General_Model!$C$14*A856*(General_Model!$C$4/1000)/General_Model!$C$15)^0.25))*General_Model!$C$7/(General_Model!$C$4/1000)+2)*(General_Model!$C$26/A856))</f>
        <v>-0.35961860651309685</v>
      </c>
      <c r="C856" s="13">
        <f t="shared" si="13"/>
        <v>0</v>
      </c>
    </row>
    <row r="857" spans="1:3" x14ac:dyDescent="0.25">
      <c r="A857" s="11">
        <v>0.85499999999999998</v>
      </c>
      <c r="B857" s="12">
        <f>(General_Model!$C$6/General_Model!$C$7)-1/(1+General_Model!$C$26/((1.2+0.2*(General_Model!$C$26/A857)+0.35*SQRT(9.80665*(General_Model!$C$4/1000))/A857)*A857))-(A857^2/(2*9.80665*General_Model!$C$7))*((4*(0.3164/((General_Model!$C$14*A857*(General_Model!$C$4/1000)/General_Model!$C$15)^0.25))*General_Model!$C$7/(General_Model!$C$4/1000)+1)+(4*(0.3164/((General_Model!$C$14*A857*(General_Model!$C$4/1000)/General_Model!$C$15)^0.25))*General_Model!$C$7/(General_Model!$C$4/1000)+2)*(General_Model!$C$26/A857))</f>
        <v>-0.36015808031469099</v>
      </c>
      <c r="C857" s="13">
        <f t="shared" si="13"/>
        <v>0</v>
      </c>
    </row>
    <row r="858" spans="1:3" x14ac:dyDescent="0.25">
      <c r="A858" s="11">
        <v>0.85599999999999998</v>
      </c>
      <c r="B858" s="12">
        <f>(General_Model!$C$6/General_Model!$C$7)-1/(1+General_Model!$C$26/((1.2+0.2*(General_Model!$C$26/A858)+0.35*SQRT(9.80665*(General_Model!$C$4/1000))/A858)*A858))-(A858^2/(2*9.80665*General_Model!$C$7))*((4*(0.3164/((General_Model!$C$14*A858*(General_Model!$C$4/1000)/General_Model!$C$15)^0.25))*General_Model!$C$7/(General_Model!$C$4/1000)+1)+(4*(0.3164/((General_Model!$C$14*A858*(General_Model!$C$4/1000)/General_Model!$C$15)^0.25))*General_Model!$C$7/(General_Model!$C$4/1000)+2)*(General_Model!$C$26/A858))</f>
        <v>-0.36069757663095608</v>
      </c>
      <c r="C858" s="13">
        <f t="shared" si="13"/>
        <v>0</v>
      </c>
    </row>
    <row r="859" spans="1:3" x14ac:dyDescent="0.25">
      <c r="A859" s="11">
        <v>0.85699999999999998</v>
      </c>
      <c r="B859" s="12">
        <f>(General_Model!$C$6/General_Model!$C$7)-1/(1+General_Model!$C$26/((1.2+0.2*(General_Model!$C$26/A859)+0.35*SQRT(9.80665*(General_Model!$C$4/1000))/A859)*A859))-(A859^2/(2*9.80665*General_Model!$C$7))*((4*(0.3164/((General_Model!$C$14*A859*(General_Model!$C$4/1000)/General_Model!$C$15)^0.25))*General_Model!$C$7/(General_Model!$C$4/1000)+1)+(4*(0.3164/((General_Model!$C$14*A859*(General_Model!$C$4/1000)/General_Model!$C$15)^0.25))*General_Model!$C$7/(General_Model!$C$4/1000)+2)*(General_Model!$C$26/A859))</f>
        <v>-0.36123709589495168</v>
      </c>
      <c r="C859" s="13">
        <f t="shared" si="13"/>
        <v>0</v>
      </c>
    </row>
    <row r="860" spans="1:3" x14ac:dyDescent="0.25">
      <c r="A860" s="11">
        <v>0.85799999999999998</v>
      </c>
      <c r="B860" s="12">
        <f>(General_Model!$C$6/General_Model!$C$7)-1/(1+General_Model!$C$26/((1.2+0.2*(General_Model!$C$26/A860)+0.35*SQRT(9.80665*(General_Model!$C$4/1000))/A860)*A860))-(A860^2/(2*9.80665*General_Model!$C$7))*((4*(0.3164/((General_Model!$C$14*A860*(General_Model!$C$4/1000)/General_Model!$C$15)^0.25))*General_Model!$C$7/(General_Model!$C$4/1000)+1)+(4*(0.3164/((General_Model!$C$14*A860*(General_Model!$C$4/1000)/General_Model!$C$15)^0.25))*General_Model!$C$7/(General_Model!$C$4/1000)+2)*(General_Model!$C$26/A860))</f>
        <v>-0.36177663853852648</v>
      </c>
      <c r="C860" s="13">
        <f t="shared" si="13"/>
        <v>0</v>
      </c>
    </row>
    <row r="861" spans="1:3" x14ac:dyDescent="0.25">
      <c r="A861" s="11">
        <v>0.85899999999999999</v>
      </c>
      <c r="B861" s="12">
        <f>(General_Model!$C$6/General_Model!$C$7)-1/(1+General_Model!$C$26/((1.2+0.2*(General_Model!$C$26/A861)+0.35*SQRT(9.80665*(General_Model!$C$4/1000))/A861)*A861))-(A861^2/(2*9.80665*General_Model!$C$7))*((4*(0.3164/((General_Model!$C$14*A861*(General_Model!$C$4/1000)/General_Model!$C$15)^0.25))*General_Model!$C$7/(General_Model!$C$4/1000)+1)+(4*(0.3164/((General_Model!$C$14*A861*(General_Model!$C$4/1000)/General_Model!$C$15)^0.25))*General_Model!$C$7/(General_Model!$C$4/1000)+2)*(General_Model!$C$26/A861))</f>
        <v>-0.3623162049923222</v>
      </c>
      <c r="C861" s="13">
        <f t="shared" si="13"/>
        <v>0</v>
      </c>
    </row>
    <row r="862" spans="1:3" x14ac:dyDescent="0.25">
      <c r="A862" s="11">
        <v>0.86</v>
      </c>
      <c r="B862" s="12">
        <f>(General_Model!$C$6/General_Model!$C$7)-1/(1+General_Model!$C$26/((1.2+0.2*(General_Model!$C$26/A862)+0.35*SQRT(9.80665*(General_Model!$C$4/1000))/A862)*A862))-(A862^2/(2*9.80665*General_Model!$C$7))*((4*(0.3164/((General_Model!$C$14*A862*(General_Model!$C$4/1000)/General_Model!$C$15)^0.25))*General_Model!$C$7/(General_Model!$C$4/1000)+1)+(4*(0.3164/((General_Model!$C$14*A862*(General_Model!$C$4/1000)/General_Model!$C$15)^0.25))*General_Model!$C$7/(General_Model!$C$4/1000)+2)*(General_Model!$C$26/A862))</f>
        <v>-0.36285579568577675</v>
      </c>
      <c r="C862" s="13">
        <f t="shared" si="13"/>
        <v>0</v>
      </c>
    </row>
    <row r="863" spans="1:3" x14ac:dyDescent="0.25">
      <c r="A863" s="11">
        <v>0.86099999999999999</v>
      </c>
      <c r="B863" s="12">
        <f>(General_Model!$C$6/General_Model!$C$7)-1/(1+General_Model!$C$26/((1.2+0.2*(General_Model!$C$26/A863)+0.35*SQRT(9.80665*(General_Model!$C$4/1000))/A863)*A863))-(A863^2/(2*9.80665*General_Model!$C$7))*((4*(0.3164/((General_Model!$C$14*A863*(General_Model!$C$4/1000)/General_Model!$C$15)^0.25))*General_Model!$C$7/(General_Model!$C$4/1000)+1)+(4*(0.3164/((General_Model!$C$14*A863*(General_Model!$C$4/1000)/General_Model!$C$15)^0.25))*General_Model!$C$7/(General_Model!$C$4/1000)+2)*(General_Model!$C$26/A863))</f>
        <v>-0.36339541104712986</v>
      </c>
      <c r="C863" s="13">
        <f t="shared" si="13"/>
        <v>0</v>
      </c>
    </row>
    <row r="864" spans="1:3" x14ac:dyDescent="0.25">
      <c r="A864" s="11">
        <v>0.86199999999999999</v>
      </c>
      <c r="B864" s="12">
        <f>(General_Model!$C$6/General_Model!$C$7)-1/(1+General_Model!$C$26/((1.2+0.2*(General_Model!$C$26/A864)+0.35*SQRT(9.80665*(General_Model!$C$4/1000))/A864)*A864))-(A864^2/(2*9.80665*General_Model!$C$7))*((4*(0.3164/((General_Model!$C$14*A864*(General_Model!$C$4/1000)/General_Model!$C$15)^0.25))*General_Model!$C$7/(General_Model!$C$4/1000)+1)+(4*(0.3164/((General_Model!$C$14*A864*(General_Model!$C$4/1000)/General_Model!$C$15)^0.25))*General_Model!$C$7/(General_Model!$C$4/1000)+2)*(General_Model!$C$26/A864))</f>
        <v>-0.36393505150342631</v>
      </c>
      <c r="C864" s="13">
        <f t="shared" si="13"/>
        <v>0</v>
      </c>
    </row>
    <row r="865" spans="1:3" x14ac:dyDescent="0.25">
      <c r="A865" s="11">
        <v>0.86299999999999999</v>
      </c>
      <c r="B865" s="12">
        <f>(General_Model!$C$6/General_Model!$C$7)-1/(1+General_Model!$C$26/((1.2+0.2*(General_Model!$C$26/A865)+0.35*SQRT(9.80665*(General_Model!$C$4/1000))/A865)*A865))-(A865^2/(2*9.80665*General_Model!$C$7))*((4*(0.3164/((General_Model!$C$14*A865*(General_Model!$C$4/1000)/General_Model!$C$15)^0.25))*General_Model!$C$7/(General_Model!$C$4/1000)+1)+(4*(0.3164/((General_Model!$C$14*A865*(General_Model!$C$4/1000)/General_Model!$C$15)^0.25))*General_Model!$C$7/(General_Model!$C$4/1000)+2)*(General_Model!$C$26/A865))</f>
        <v>-0.36447471748051985</v>
      </c>
      <c r="C865" s="13">
        <f t="shared" si="13"/>
        <v>0</v>
      </c>
    </row>
    <row r="866" spans="1:3" x14ac:dyDescent="0.25">
      <c r="A866" s="11">
        <v>0.86399999999999999</v>
      </c>
      <c r="B866" s="12">
        <f>(General_Model!$C$6/General_Model!$C$7)-1/(1+General_Model!$C$26/((1.2+0.2*(General_Model!$C$26/A866)+0.35*SQRT(9.80665*(General_Model!$C$4/1000))/A866)*A866))-(A866^2/(2*9.80665*General_Model!$C$7))*((4*(0.3164/((General_Model!$C$14*A866*(General_Model!$C$4/1000)/General_Model!$C$15)^0.25))*General_Model!$C$7/(General_Model!$C$4/1000)+1)+(4*(0.3164/((General_Model!$C$14*A866*(General_Model!$C$4/1000)/General_Model!$C$15)^0.25))*General_Model!$C$7/(General_Model!$C$4/1000)+2)*(General_Model!$C$26/A866))</f>
        <v>-0.36501440940307728</v>
      </c>
      <c r="C866" s="13">
        <f t="shared" si="13"/>
        <v>0</v>
      </c>
    </row>
    <row r="867" spans="1:3" x14ac:dyDescent="0.25">
      <c r="A867" s="11">
        <v>0.86499999999999999</v>
      </c>
      <c r="B867" s="12">
        <f>(General_Model!$C$6/General_Model!$C$7)-1/(1+General_Model!$C$26/((1.2+0.2*(General_Model!$C$26/A867)+0.35*SQRT(9.80665*(General_Model!$C$4/1000))/A867)*A867))-(A867^2/(2*9.80665*General_Model!$C$7))*((4*(0.3164/((General_Model!$C$14*A867*(General_Model!$C$4/1000)/General_Model!$C$15)^0.25))*General_Model!$C$7/(General_Model!$C$4/1000)+1)+(4*(0.3164/((General_Model!$C$14*A867*(General_Model!$C$4/1000)/General_Model!$C$15)^0.25))*General_Model!$C$7/(General_Model!$C$4/1000)+2)*(General_Model!$C$26/A867))</f>
        <v>-0.36555412769458279</v>
      </c>
      <c r="C867" s="13">
        <f t="shared" si="13"/>
        <v>0</v>
      </c>
    </row>
    <row r="868" spans="1:3" x14ac:dyDescent="0.25">
      <c r="A868" s="11">
        <v>0.86599999999999999</v>
      </c>
      <c r="B868" s="12">
        <f>(General_Model!$C$6/General_Model!$C$7)-1/(1+General_Model!$C$26/((1.2+0.2*(General_Model!$C$26/A868)+0.35*SQRT(9.80665*(General_Model!$C$4/1000))/A868)*A868))-(A868^2/(2*9.80665*General_Model!$C$7))*((4*(0.3164/((General_Model!$C$14*A868*(General_Model!$C$4/1000)/General_Model!$C$15)^0.25))*General_Model!$C$7/(General_Model!$C$4/1000)+1)+(4*(0.3164/((General_Model!$C$14*A868*(General_Model!$C$4/1000)/General_Model!$C$15)^0.25))*General_Model!$C$7/(General_Model!$C$4/1000)+2)*(General_Model!$C$26/A868))</f>
        <v>-0.36609387277734184</v>
      </c>
      <c r="C868" s="13">
        <f t="shared" si="13"/>
        <v>0</v>
      </c>
    </row>
    <row r="869" spans="1:3" x14ac:dyDescent="0.25">
      <c r="A869" s="11">
        <v>0.86699999999999999</v>
      </c>
      <c r="B869" s="12">
        <f>(General_Model!$C$6/General_Model!$C$7)-1/(1+General_Model!$C$26/((1.2+0.2*(General_Model!$C$26/A869)+0.35*SQRT(9.80665*(General_Model!$C$4/1000))/A869)*A869))-(A869^2/(2*9.80665*General_Model!$C$7))*((4*(0.3164/((General_Model!$C$14*A869*(General_Model!$C$4/1000)/General_Model!$C$15)^0.25))*General_Model!$C$7/(General_Model!$C$4/1000)+1)+(4*(0.3164/((General_Model!$C$14*A869*(General_Model!$C$4/1000)/General_Model!$C$15)^0.25))*General_Model!$C$7/(General_Model!$C$4/1000)+2)*(General_Model!$C$26/A869))</f>
        <v>-0.36663364507248491</v>
      </c>
      <c r="C869" s="13">
        <f t="shared" si="13"/>
        <v>0</v>
      </c>
    </row>
    <row r="870" spans="1:3" x14ac:dyDescent="0.25">
      <c r="A870" s="11">
        <v>0.86799999999999999</v>
      </c>
      <c r="B870" s="12">
        <f>(General_Model!$C$6/General_Model!$C$7)-1/(1+General_Model!$C$26/((1.2+0.2*(General_Model!$C$26/A870)+0.35*SQRT(9.80665*(General_Model!$C$4/1000))/A870)*A870))-(A870^2/(2*9.80665*General_Model!$C$7))*((4*(0.3164/((General_Model!$C$14*A870*(General_Model!$C$4/1000)/General_Model!$C$15)^0.25))*General_Model!$C$7/(General_Model!$C$4/1000)+1)+(4*(0.3164/((General_Model!$C$14*A870*(General_Model!$C$4/1000)/General_Model!$C$15)^0.25))*General_Model!$C$7/(General_Model!$C$4/1000)+2)*(General_Model!$C$26/A870))</f>
        <v>-0.36717344499997173</v>
      </c>
      <c r="C870" s="13">
        <f t="shared" si="13"/>
        <v>0</v>
      </c>
    </row>
    <row r="871" spans="1:3" x14ac:dyDescent="0.25">
      <c r="A871" s="11">
        <v>0.86899999999999999</v>
      </c>
      <c r="B871" s="12">
        <f>(General_Model!$C$6/General_Model!$C$7)-1/(1+General_Model!$C$26/((1.2+0.2*(General_Model!$C$26/A871)+0.35*SQRT(9.80665*(General_Model!$C$4/1000))/A871)*A871))-(A871^2/(2*9.80665*General_Model!$C$7))*((4*(0.3164/((General_Model!$C$14*A871*(General_Model!$C$4/1000)/General_Model!$C$15)^0.25))*General_Model!$C$7/(General_Model!$C$4/1000)+1)+(4*(0.3164/((General_Model!$C$14*A871*(General_Model!$C$4/1000)/General_Model!$C$15)^0.25))*General_Model!$C$7/(General_Model!$C$4/1000)+2)*(General_Model!$C$26/A871))</f>
        <v>-0.36771327297859457</v>
      </c>
      <c r="C871" s="13">
        <f t="shared" si="13"/>
        <v>0</v>
      </c>
    </row>
    <row r="872" spans="1:3" x14ac:dyDescent="0.25">
      <c r="A872" s="11">
        <v>0.87</v>
      </c>
      <c r="B872" s="12">
        <f>(General_Model!$C$6/General_Model!$C$7)-1/(1+General_Model!$C$26/((1.2+0.2*(General_Model!$C$26/A872)+0.35*SQRT(9.80665*(General_Model!$C$4/1000))/A872)*A872))-(A872^2/(2*9.80665*General_Model!$C$7))*((4*(0.3164/((General_Model!$C$14*A872*(General_Model!$C$4/1000)/General_Model!$C$15)^0.25))*General_Model!$C$7/(General_Model!$C$4/1000)+1)+(4*(0.3164/((General_Model!$C$14*A872*(General_Model!$C$4/1000)/General_Model!$C$15)^0.25))*General_Model!$C$7/(General_Model!$C$4/1000)+2)*(General_Model!$C$26/A872))</f>
        <v>-0.36825312942598332</v>
      </c>
      <c r="C872" s="13">
        <f t="shared" si="13"/>
        <v>0</v>
      </c>
    </row>
    <row r="873" spans="1:3" x14ac:dyDescent="0.25">
      <c r="A873" s="11">
        <v>0.871</v>
      </c>
      <c r="B873" s="12">
        <f>(General_Model!$C$6/General_Model!$C$7)-1/(1+General_Model!$C$26/((1.2+0.2*(General_Model!$C$26/A873)+0.35*SQRT(9.80665*(General_Model!$C$4/1000))/A873)*A873))-(A873^2/(2*9.80665*General_Model!$C$7))*((4*(0.3164/((General_Model!$C$14*A873*(General_Model!$C$4/1000)/General_Model!$C$15)^0.25))*General_Model!$C$7/(General_Model!$C$4/1000)+1)+(4*(0.3164/((General_Model!$C$14*A873*(General_Model!$C$4/1000)/General_Model!$C$15)^0.25))*General_Model!$C$7/(General_Model!$C$4/1000)+2)*(General_Model!$C$26/A873))</f>
        <v>-0.36879301475860859</v>
      </c>
      <c r="C873" s="13">
        <f t="shared" si="13"/>
        <v>0</v>
      </c>
    </row>
    <row r="874" spans="1:3" x14ac:dyDescent="0.25">
      <c r="A874" s="11">
        <v>0.872</v>
      </c>
      <c r="B874" s="12">
        <f>(General_Model!$C$6/General_Model!$C$7)-1/(1+General_Model!$C$26/((1.2+0.2*(General_Model!$C$26/A874)+0.35*SQRT(9.80665*(General_Model!$C$4/1000))/A874)*A874))-(A874^2/(2*9.80665*General_Model!$C$7))*((4*(0.3164/((General_Model!$C$14*A874*(General_Model!$C$4/1000)/General_Model!$C$15)^0.25))*General_Model!$C$7/(General_Model!$C$4/1000)+1)+(4*(0.3164/((General_Model!$C$14*A874*(General_Model!$C$4/1000)/General_Model!$C$15)^0.25))*General_Model!$C$7/(General_Model!$C$4/1000)+2)*(General_Model!$C$26/A874))</f>
        <v>-0.3693329293917853</v>
      </c>
      <c r="C874" s="13">
        <f t="shared" si="13"/>
        <v>0</v>
      </c>
    </row>
    <row r="875" spans="1:3" x14ac:dyDescent="0.25">
      <c r="A875" s="11">
        <v>0.873</v>
      </c>
      <c r="B875" s="12">
        <f>(General_Model!$C$6/General_Model!$C$7)-1/(1+General_Model!$C$26/((1.2+0.2*(General_Model!$C$26/A875)+0.35*SQRT(9.80665*(General_Model!$C$4/1000))/A875)*A875))-(A875^2/(2*9.80665*General_Model!$C$7))*((4*(0.3164/((General_Model!$C$14*A875*(General_Model!$C$4/1000)/General_Model!$C$15)^0.25))*General_Model!$C$7/(General_Model!$C$4/1000)+1)+(4*(0.3164/((General_Model!$C$14*A875*(General_Model!$C$4/1000)/General_Model!$C$15)^0.25))*General_Model!$C$7/(General_Model!$C$4/1000)+2)*(General_Model!$C$26/A875))</f>
        <v>-0.36987287373967748</v>
      </c>
      <c r="C875" s="13">
        <f t="shared" si="13"/>
        <v>0</v>
      </c>
    </row>
    <row r="876" spans="1:3" x14ac:dyDescent="0.25">
      <c r="A876" s="11">
        <v>0.874</v>
      </c>
      <c r="B876" s="12">
        <f>(General_Model!$C$6/General_Model!$C$7)-1/(1+General_Model!$C$26/((1.2+0.2*(General_Model!$C$26/A876)+0.35*SQRT(9.80665*(General_Model!$C$4/1000))/A876)*A876))-(A876^2/(2*9.80665*General_Model!$C$7))*((4*(0.3164/((General_Model!$C$14*A876*(General_Model!$C$4/1000)/General_Model!$C$15)^0.25))*General_Model!$C$7/(General_Model!$C$4/1000)+1)+(4*(0.3164/((General_Model!$C$14*A876*(General_Model!$C$4/1000)/General_Model!$C$15)^0.25))*General_Model!$C$7/(General_Model!$C$4/1000)+2)*(General_Model!$C$26/A876))</f>
        <v>-0.37041284821530163</v>
      </c>
      <c r="C876" s="13">
        <f t="shared" si="13"/>
        <v>0</v>
      </c>
    </row>
    <row r="877" spans="1:3" x14ac:dyDescent="0.25">
      <c r="A877" s="11">
        <v>0.875</v>
      </c>
      <c r="B877" s="12">
        <f>(General_Model!$C$6/General_Model!$C$7)-1/(1+General_Model!$C$26/((1.2+0.2*(General_Model!$C$26/A877)+0.35*SQRT(9.80665*(General_Model!$C$4/1000))/A877)*A877))-(A877^2/(2*9.80665*General_Model!$C$7))*((4*(0.3164/((General_Model!$C$14*A877*(General_Model!$C$4/1000)/General_Model!$C$15)^0.25))*General_Model!$C$7/(General_Model!$C$4/1000)+1)+(4*(0.3164/((General_Model!$C$14*A877*(General_Model!$C$4/1000)/General_Model!$C$15)^0.25))*General_Model!$C$7/(General_Model!$C$4/1000)+2)*(General_Model!$C$26/A877))</f>
        <v>-0.37095285323053062</v>
      </c>
      <c r="C877" s="13">
        <f t="shared" si="13"/>
        <v>0</v>
      </c>
    </row>
    <row r="878" spans="1:3" x14ac:dyDescent="0.25">
      <c r="A878" s="11">
        <v>0.876</v>
      </c>
      <c r="B878" s="12">
        <f>(General_Model!$C$6/General_Model!$C$7)-1/(1+General_Model!$C$26/((1.2+0.2*(General_Model!$C$26/A878)+0.35*SQRT(9.80665*(General_Model!$C$4/1000))/A878)*A878))-(A878^2/(2*9.80665*General_Model!$C$7))*((4*(0.3164/((General_Model!$C$14*A878*(General_Model!$C$4/1000)/General_Model!$C$15)^0.25))*General_Model!$C$7/(General_Model!$C$4/1000)+1)+(4*(0.3164/((General_Model!$C$14*A878*(General_Model!$C$4/1000)/General_Model!$C$15)^0.25))*General_Model!$C$7/(General_Model!$C$4/1000)+2)*(General_Model!$C$26/A878))</f>
        <v>-0.37149288919609724</v>
      </c>
      <c r="C878" s="13">
        <f t="shared" si="13"/>
        <v>0</v>
      </c>
    </row>
    <row r="879" spans="1:3" x14ac:dyDescent="0.25">
      <c r="A879" s="11">
        <v>0.877</v>
      </c>
      <c r="B879" s="12">
        <f>(General_Model!$C$6/General_Model!$C$7)-1/(1+General_Model!$C$26/((1.2+0.2*(General_Model!$C$26/A879)+0.35*SQRT(9.80665*(General_Model!$C$4/1000))/A879)*A879))-(A879^2/(2*9.80665*General_Model!$C$7))*((4*(0.3164/((General_Model!$C$14*A879*(General_Model!$C$4/1000)/General_Model!$C$15)^0.25))*General_Model!$C$7/(General_Model!$C$4/1000)+1)+(4*(0.3164/((General_Model!$C$14*A879*(General_Model!$C$4/1000)/General_Model!$C$15)^0.25))*General_Model!$C$7/(General_Model!$C$4/1000)+2)*(General_Model!$C$26/A879))</f>
        <v>-0.37203295652159885</v>
      </c>
      <c r="C879" s="13">
        <f t="shared" si="13"/>
        <v>0</v>
      </c>
    </row>
    <row r="880" spans="1:3" x14ac:dyDescent="0.25">
      <c r="A880" s="11">
        <v>0.878</v>
      </c>
      <c r="B880" s="12">
        <f>(General_Model!$C$6/General_Model!$C$7)-1/(1+General_Model!$C$26/((1.2+0.2*(General_Model!$C$26/A880)+0.35*SQRT(9.80665*(General_Model!$C$4/1000))/A880)*A880))-(A880^2/(2*9.80665*General_Model!$C$7))*((4*(0.3164/((General_Model!$C$14*A880*(General_Model!$C$4/1000)/General_Model!$C$15)^0.25))*General_Model!$C$7/(General_Model!$C$4/1000)+1)+(4*(0.3164/((General_Model!$C$14*A880*(General_Model!$C$4/1000)/General_Model!$C$15)^0.25))*General_Model!$C$7/(General_Model!$C$4/1000)+2)*(General_Model!$C$26/A880))</f>
        <v>-0.37257305561549975</v>
      </c>
      <c r="C880" s="13">
        <f t="shared" si="13"/>
        <v>0</v>
      </c>
    </row>
    <row r="881" spans="1:3" x14ac:dyDescent="0.25">
      <c r="A881" s="11">
        <v>0.879</v>
      </c>
      <c r="B881" s="12">
        <f>(General_Model!$C$6/General_Model!$C$7)-1/(1+General_Model!$C$26/((1.2+0.2*(General_Model!$C$26/A881)+0.35*SQRT(9.80665*(General_Model!$C$4/1000))/A881)*A881))-(A881^2/(2*9.80665*General_Model!$C$7))*((4*(0.3164/((General_Model!$C$14*A881*(General_Model!$C$4/1000)/General_Model!$C$15)^0.25))*General_Model!$C$7/(General_Model!$C$4/1000)+1)+(4*(0.3164/((General_Model!$C$14*A881*(General_Model!$C$4/1000)/General_Model!$C$15)^0.25))*General_Model!$C$7/(General_Model!$C$4/1000)+2)*(General_Model!$C$26/A881))</f>
        <v>-0.37311318688513673</v>
      </c>
      <c r="C881" s="13">
        <f t="shared" si="13"/>
        <v>0</v>
      </c>
    </row>
    <row r="882" spans="1:3" x14ac:dyDescent="0.25">
      <c r="A882" s="11">
        <v>0.88</v>
      </c>
      <c r="B882" s="12">
        <f>(General_Model!$C$6/General_Model!$C$7)-1/(1+General_Model!$C$26/((1.2+0.2*(General_Model!$C$26/A882)+0.35*SQRT(9.80665*(General_Model!$C$4/1000))/A882)*A882))-(A882^2/(2*9.80665*General_Model!$C$7))*((4*(0.3164/((General_Model!$C$14*A882*(General_Model!$C$4/1000)/General_Model!$C$15)^0.25))*General_Model!$C$7/(General_Model!$C$4/1000)+1)+(4*(0.3164/((General_Model!$C$14*A882*(General_Model!$C$4/1000)/General_Model!$C$15)^0.25))*General_Model!$C$7/(General_Model!$C$4/1000)+2)*(General_Model!$C$26/A882))</f>
        <v>-0.37365335073672168</v>
      </c>
      <c r="C882" s="13">
        <f t="shared" si="13"/>
        <v>0</v>
      </c>
    </row>
    <row r="883" spans="1:3" x14ac:dyDescent="0.25">
      <c r="A883" s="11">
        <v>0.88100000000000001</v>
      </c>
      <c r="B883" s="12">
        <f>(General_Model!$C$6/General_Model!$C$7)-1/(1+General_Model!$C$26/((1.2+0.2*(General_Model!$C$26/A883)+0.35*SQRT(9.80665*(General_Model!$C$4/1000))/A883)*A883))-(A883^2/(2*9.80665*General_Model!$C$7))*((4*(0.3164/((General_Model!$C$14*A883*(General_Model!$C$4/1000)/General_Model!$C$15)^0.25))*General_Model!$C$7/(General_Model!$C$4/1000)+1)+(4*(0.3164/((General_Model!$C$14*A883*(General_Model!$C$4/1000)/General_Model!$C$15)^0.25))*General_Model!$C$7/(General_Model!$C$4/1000)+2)*(General_Model!$C$26/A883))</f>
        <v>-0.37419354757534523</v>
      </c>
      <c r="C883" s="13">
        <f t="shared" si="13"/>
        <v>0</v>
      </c>
    </row>
    <row r="884" spans="1:3" x14ac:dyDescent="0.25">
      <c r="A884" s="11">
        <v>0.88200000000000001</v>
      </c>
      <c r="B884" s="12">
        <f>(General_Model!$C$6/General_Model!$C$7)-1/(1+General_Model!$C$26/((1.2+0.2*(General_Model!$C$26/A884)+0.35*SQRT(9.80665*(General_Model!$C$4/1000))/A884)*A884))-(A884^2/(2*9.80665*General_Model!$C$7))*((4*(0.3164/((General_Model!$C$14*A884*(General_Model!$C$4/1000)/General_Model!$C$15)^0.25))*General_Model!$C$7/(General_Model!$C$4/1000)+1)+(4*(0.3164/((General_Model!$C$14*A884*(General_Model!$C$4/1000)/General_Model!$C$15)^0.25))*General_Model!$C$7/(General_Model!$C$4/1000)+2)*(General_Model!$C$26/A884))</f>
        <v>-0.37473377780498118</v>
      </c>
      <c r="C884" s="13">
        <f t="shared" si="13"/>
        <v>0</v>
      </c>
    </row>
    <row r="885" spans="1:3" x14ac:dyDescent="0.25">
      <c r="A885" s="11">
        <v>0.88300000000000001</v>
      </c>
      <c r="B885" s="12">
        <f>(General_Model!$C$6/General_Model!$C$7)-1/(1+General_Model!$C$26/((1.2+0.2*(General_Model!$C$26/A885)+0.35*SQRT(9.80665*(General_Model!$C$4/1000))/A885)*A885))-(A885^2/(2*9.80665*General_Model!$C$7))*((4*(0.3164/((General_Model!$C$14*A885*(General_Model!$C$4/1000)/General_Model!$C$15)^0.25))*General_Model!$C$7/(General_Model!$C$4/1000)+1)+(4*(0.3164/((General_Model!$C$14*A885*(General_Model!$C$4/1000)/General_Model!$C$15)^0.25))*General_Model!$C$7/(General_Model!$C$4/1000)+2)*(General_Model!$C$26/A885))</f>
        <v>-0.37527404182849011</v>
      </c>
      <c r="C885" s="13">
        <f t="shared" si="13"/>
        <v>0</v>
      </c>
    </row>
    <row r="886" spans="1:3" x14ac:dyDescent="0.25">
      <c r="A886" s="11">
        <v>0.88400000000000001</v>
      </c>
      <c r="B886" s="12">
        <f>(General_Model!$C$6/General_Model!$C$7)-1/(1+General_Model!$C$26/((1.2+0.2*(General_Model!$C$26/A886)+0.35*SQRT(9.80665*(General_Model!$C$4/1000))/A886)*A886))-(A886^2/(2*9.80665*General_Model!$C$7))*((4*(0.3164/((General_Model!$C$14*A886*(General_Model!$C$4/1000)/General_Model!$C$15)^0.25))*General_Model!$C$7/(General_Model!$C$4/1000)+1)+(4*(0.3164/((General_Model!$C$14*A886*(General_Model!$C$4/1000)/General_Model!$C$15)^0.25))*General_Model!$C$7/(General_Model!$C$4/1000)+2)*(General_Model!$C$26/A886))</f>
        <v>-0.37581434004762271</v>
      </c>
      <c r="C886" s="13">
        <f t="shared" si="13"/>
        <v>0</v>
      </c>
    </row>
    <row r="887" spans="1:3" x14ac:dyDescent="0.25">
      <c r="A887" s="11">
        <v>0.88500000000000001</v>
      </c>
      <c r="B887" s="12">
        <f>(General_Model!$C$6/General_Model!$C$7)-1/(1+General_Model!$C$26/((1.2+0.2*(General_Model!$C$26/A887)+0.35*SQRT(9.80665*(General_Model!$C$4/1000))/A887)*A887))-(A887^2/(2*9.80665*General_Model!$C$7))*((4*(0.3164/((General_Model!$C$14*A887*(General_Model!$C$4/1000)/General_Model!$C$15)^0.25))*General_Model!$C$7/(General_Model!$C$4/1000)+1)+(4*(0.3164/((General_Model!$C$14*A887*(General_Model!$C$4/1000)/General_Model!$C$15)^0.25))*General_Model!$C$7/(General_Model!$C$4/1000)+2)*(General_Model!$C$26/A887))</f>
        <v>-0.37635467286302338</v>
      </c>
      <c r="C887" s="13">
        <f t="shared" si="13"/>
        <v>0</v>
      </c>
    </row>
    <row r="888" spans="1:3" x14ac:dyDescent="0.25">
      <c r="A888" s="11">
        <v>0.88600000000000001</v>
      </c>
      <c r="B888" s="12">
        <f>(General_Model!$C$6/General_Model!$C$7)-1/(1+General_Model!$C$26/((1.2+0.2*(General_Model!$C$26/A888)+0.35*SQRT(9.80665*(General_Model!$C$4/1000))/A888)*A888))-(A888^2/(2*9.80665*General_Model!$C$7))*((4*(0.3164/((General_Model!$C$14*A888*(General_Model!$C$4/1000)/General_Model!$C$15)^0.25))*General_Model!$C$7/(General_Model!$C$4/1000)+1)+(4*(0.3164/((General_Model!$C$14*A888*(General_Model!$C$4/1000)/General_Model!$C$15)^0.25))*General_Model!$C$7/(General_Model!$C$4/1000)+2)*(General_Model!$C$26/A888))</f>
        <v>-0.37689504067423463</v>
      </c>
      <c r="C888" s="13">
        <f t="shared" si="13"/>
        <v>0</v>
      </c>
    </row>
    <row r="889" spans="1:3" x14ac:dyDescent="0.25">
      <c r="A889" s="11">
        <v>0.88700000000000001</v>
      </c>
      <c r="B889" s="12">
        <f>(General_Model!$C$6/General_Model!$C$7)-1/(1+General_Model!$C$26/((1.2+0.2*(General_Model!$C$26/A889)+0.35*SQRT(9.80665*(General_Model!$C$4/1000))/A889)*A889))-(A889^2/(2*9.80665*General_Model!$C$7))*((4*(0.3164/((General_Model!$C$14*A889*(General_Model!$C$4/1000)/General_Model!$C$15)^0.25))*General_Model!$C$7/(General_Model!$C$4/1000)+1)+(4*(0.3164/((General_Model!$C$14*A889*(General_Model!$C$4/1000)/General_Model!$C$15)^0.25))*General_Model!$C$7/(General_Model!$C$4/1000)+2)*(General_Model!$C$26/A889))</f>
        <v>-0.37743544387970029</v>
      </c>
      <c r="C889" s="13">
        <f t="shared" si="13"/>
        <v>0</v>
      </c>
    </row>
    <row r="890" spans="1:3" x14ac:dyDescent="0.25">
      <c r="A890" s="11">
        <v>0.88800000000000001</v>
      </c>
      <c r="B890" s="12">
        <f>(General_Model!$C$6/General_Model!$C$7)-1/(1+General_Model!$C$26/((1.2+0.2*(General_Model!$C$26/A890)+0.35*SQRT(9.80665*(General_Model!$C$4/1000))/A890)*A890))-(A890^2/(2*9.80665*General_Model!$C$7))*((4*(0.3164/((General_Model!$C$14*A890*(General_Model!$C$4/1000)/General_Model!$C$15)^0.25))*General_Model!$C$7/(General_Model!$C$4/1000)+1)+(4*(0.3164/((General_Model!$C$14*A890*(General_Model!$C$4/1000)/General_Model!$C$15)^0.25))*General_Model!$C$7/(General_Model!$C$4/1000)+2)*(General_Model!$C$26/A890))</f>
        <v>-0.37797588287676898</v>
      </c>
      <c r="C890" s="13">
        <f t="shared" si="13"/>
        <v>0</v>
      </c>
    </row>
    <row r="891" spans="1:3" x14ac:dyDescent="0.25">
      <c r="A891" s="11">
        <v>0.88900000000000001</v>
      </c>
      <c r="B891" s="12">
        <f>(General_Model!$C$6/General_Model!$C$7)-1/(1+General_Model!$C$26/((1.2+0.2*(General_Model!$C$26/A891)+0.35*SQRT(9.80665*(General_Model!$C$4/1000))/A891)*A891))-(A891^2/(2*9.80665*General_Model!$C$7))*((4*(0.3164/((General_Model!$C$14*A891*(General_Model!$C$4/1000)/General_Model!$C$15)^0.25))*General_Model!$C$7/(General_Model!$C$4/1000)+1)+(4*(0.3164/((General_Model!$C$14*A891*(General_Model!$C$4/1000)/General_Model!$C$15)^0.25))*General_Model!$C$7/(General_Model!$C$4/1000)+2)*(General_Model!$C$26/A891))</f>
        <v>-0.37851635806169814</v>
      </c>
      <c r="C891" s="13">
        <f t="shared" si="13"/>
        <v>0</v>
      </c>
    </row>
    <row r="892" spans="1:3" x14ac:dyDescent="0.25">
      <c r="A892" s="11">
        <v>0.89</v>
      </c>
      <c r="B892" s="12">
        <f>(General_Model!$C$6/General_Model!$C$7)-1/(1+General_Model!$C$26/((1.2+0.2*(General_Model!$C$26/A892)+0.35*SQRT(9.80665*(General_Model!$C$4/1000))/A892)*A892))-(A892^2/(2*9.80665*General_Model!$C$7))*((4*(0.3164/((General_Model!$C$14*A892*(General_Model!$C$4/1000)/General_Model!$C$15)^0.25))*General_Model!$C$7/(General_Model!$C$4/1000)+1)+(4*(0.3164/((General_Model!$C$14*A892*(General_Model!$C$4/1000)/General_Model!$C$15)^0.25))*General_Model!$C$7/(General_Model!$C$4/1000)+2)*(General_Model!$C$26/A892))</f>
        <v>-0.37905686982965708</v>
      </c>
      <c r="C892" s="13">
        <f t="shared" si="13"/>
        <v>0</v>
      </c>
    </row>
    <row r="893" spans="1:3" x14ac:dyDescent="0.25">
      <c r="A893" s="11">
        <v>0.89100000000000001</v>
      </c>
      <c r="B893" s="12">
        <f>(General_Model!$C$6/General_Model!$C$7)-1/(1+General_Model!$C$26/((1.2+0.2*(General_Model!$C$26/A893)+0.35*SQRT(9.80665*(General_Model!$C$4/1000))/A893)*A893))-(A893^2/(2*9.80665*General_Model!$C$7))*((4*(0.3164/((General_Model!$C$14*A893*(General_Model!$C$4/1000)/General_Model!$C$15)^0.25))*General_Model!$C$7/(General_Model!$C$4/1000)+1)+(4*(0.3164/((General_Model!$C$14*A893*(General_Model!$C$4/1000)/General_Model!$C$15)^0.25))*General_Model!$C$7/(General_Model!$C$4/1000)+2)*(General_Model!$C$26/A893))</f>
        <v>-0.37959741857473189</v>
      </c>
      <c r="C893" s="13">
        <f t="shared" si="13"/>
        <v>0</v>
      </c>
    </row>
    <row r="894" spans="1:3" x14ac:dyDescent="0.25">
      <c r="A894" s="11">
        <v>0.89200000000000002</v>
      </c>
      <c r="B894" s="12">
        <f>(General_Model!$C$6/General_Model!$C$7)-1/(1+General_Model!$C$26/((1.2+0.2*(General_Model!$C$26/A894)+0.35*SQRT(9.80665*(General_Model!$C$4/1000))/A894)*A894))-(A894^2/(2*9.80665*General_Model!$C$7))*((4*(0.3164/((General_Model!$C$14*A894*(General_Model!$C$4/1000)/General_Model!$C$15)^0.25))*General_Model!$C$7/(General_Model!$C$4/1000)+1)+(4*(0.3164/((General_Model!$C$14*A894*(General_Model!$C$4/1000)/General_Model!$C$15)^0.25))*General_Model!$C$7/(General_Model!$C$4/1000)+2)*(General_Model!$C$26/A894))</f>
        <v>-0.38013800468992698</v>
      </c>
      <c r="C894" s="13">
        <f t="shared" si="13"/>
        <v>0</v>
      </c>
    </row>
    <row r="895" spans="1:3" x14ac:dyDescent="0.25">
      <c r="A895" s="11">
        <v>0.89300000000000002</v>
      </c>
      <c r="B895" s="12">
        <f>(General_Model!$C$6/General_Model!$C$7)-1/(1+General_Model!$C$26/((1.2+0.2*(General_Model!$C$26/A895)+0.35*SQRT(9.80665*(General_Model!$C$4/1000))/A895)*A895))-(A895^2/(2*9.80665*General_Model!$C$7))*((4*(0.3164/((General_Model!$C$14*A895*(General_Model!$C$4/1000)/General_Model!$C$15)^0.25))*General_Model!$C$7/(General_Model!$C$4/1000)+1)+(4*(0.3164/((General_Model!$C$14*A895*(General_Model!$C$4/1000)/General_Model!$C$15)^0.25))*General_Model!$C$7/(General_Model!$C$4/1000)+2)*(General_Model!$C$26/A895))</f>
        <v>-0.38067862856717072</v>
      </c>
      <c r="C895" s="13">
        <f t="shared" si="13"/>
        <v>0</v>
      </c>
    </row>
    <row r="896" spans="1:3" x14ac:dyDescent="0.25">
      <c r="A896" s="11">
        <v>0.89400000000000002</v>
      </c>
      <c r="B896" s="12">
        <f>(General_Model!$C$6/General_Model!$C$7)-1/(1+General_Model!$C$26/((1.2+0.2*(General_Model!$C$26/A896)+0.35*SQRT(9.80665*(General_Model!$C$4/1000))/A896)*A896))-(A896^2/(2*9.80665*General_Model!$C$7))*((4*(0.3164/((General_Model!$C$14*A896*(General_Model!$C$4/1000)/General_Model!$C$15)^0.25))*General_Model!$C$7/(General_Model!$C$4/1000)+1)+(4*(0.3164/((General_Model!$C$14*A896*(General_Model!$C$4/1000)/General_Model!$C$15)^0.25))*General_Model!$C$7/(General_Model!$C$4/1000)+2)*(General_Model!$C$26/A896))</f>
        <v>-0.38121929059731763</v>
      </c>
      <c r="C896" s="13">
        <f t="shared" si="13"/>
        <v>0</v>
      </c>
    </row>
    <row r="897" spans="1:3" x14ac:dyDescent="0.25">
      <c r="A897" s="11">
        <v>0.89500000000000002</v>
      </c>
      <c r="B897" s="12">
        <f>(General_Model!$C$6/General_Model!$C$7)-1/(1+General_Model!$C$26/((1.2+0.2*(General_Model!$C$26/A897)+0.35*SQRT(9.80665*(General_Model!$C$4/1000))/A897)*A897))-(A897^2/(2*9.80665*General_Model!$C$7))*((4*(0.3164/((General_Model!$C$14*A897*(General_Model!$C$4/1000)/General_Model!$C$15)^0.25))*General_Model!$C$7/(General_Model!$C$4/1000)+1)+(4*(0.3164/((General_Model!$C$14*A897*(General_Model!$C$4/1000)/General_Model!$C$15)^0.25))*General_Model!$C$7/(General_Model!$C$4/1000)+2)*(General_Model!$C$26/A897))</f>
        <v>-0.38175999117015236</v>
      </c>
      <c r="C897" s="13">
        <f t="shared" si="13"/>
        <v>0</v>
      </c>
    </row>
    <row r="898" spans="1:3" x14ac:dyDescent="0.25">
      <c r="A898" s="11">
        <v>0.89600000000000002</v>
      </c>
      <c r="B898" s="12">
        <f>(General_Model!$C$6/General_Model!$C$7)-1/(1+General_Model!$C$26/((1.2+0.2*(General_Model!$C$26/A898)+0.35*SQRT(9.80665*(General_Model!$C$4/1000))/A898)*A898))-(A898^2/(2*9.80665*General_Model!$C$7))*((4*(0.3164/((General_Model!$C$14*A898*(General_Model!$C$4/1000)/General_Model!$C$15)^0.25))*General_Model!$C$7/(General_Model!$C$4/1000)+1)+(4*(0.3164/((General_Model!$C$14*A898*(General_Model!$C$4/1000)/General_Model!$C$15)^0.25))*General_Model!$C$7/(General_Model!$C$4/1000)+2)*(General_Model!$C$26/A898))</f>
        <v>-0.38230073067439385</v>
      </c>
      <c r="C898" s="13">
        <f t="shared" si="13"/>
        <v>0</v>
      </c>
    </row>
    <row r="899" spans="1:3" x14ac:dyDescent="0.25">
      <c r="A899" s="11">
        <v>0.89700000000000002</v>
      </c>
      <c r="B899" s="12">
        <f>(General_Model!$C$6/General_Model!$C$7)-1/(1+General_Model!$C$26/((1.2+0.2*(General_Model!$C$26/A899)+0.35*SQRT(9.80665*(General_Model!$C$4/1000))/A899)*A899))-(A899^2/(2*9.80665*General_Model!$C$7))*((4*(0.3164/((General_Model!$C$14*A899*(General_Model!$C$4/1000)/General_Model!$C$15)^0.25))*General_Model!$C$7/(General_Model!$C$4/1000)+1)+(4*(0.3164/((General_Model!$C$14*A899*(General_Model!$C$4/1000)/General_Model!$C$15)^0.25))*General_Model!$C$7/(General_Model!$C$4/1000)+2)*(General_Model!$C$26/A899))</f>
        <v>-0.38284150949769724</v>
      </c>
      <c r="C899" s="13">
        <f t="shared" ref="C899:C962" si="14">IF(B899*B900&lt;=0,1,0)</f>
        <v>0</v>
      </c>
    </row>
    <row r="900" spans="1:3" x14ac:dyDescent="0.25">
      <c r="A900" s="11">
        <v>0.89800000000000002</v>
      </c>
      <c r="B900" s="12">
        <f>(General_Model!$C$6/General_Model!$C$7)-1/(1+General_Model!$C$26/((1.2+0.2*(General_Model!$C$26/A900)+0.35*SQRT(9.80665*(General_Model!$C$4/1000))/A900)*A900))-(A900^2/(2*9.80665*General_Model!$C$7))*((4*(0.3164/((General_Model!$C$14*A900*(General_Model!$C$4/1000)/General_Model!$C$15)^0.25))*General_Model!$C$7/(General_Model!$C$4/1000)+1)+(4*(0.3164/((General_Model!$C$14*A900*(General_Model!$C$4/1000)/General_Model!$C$15)^0.25))*General_Model!$C$7/(General_Model!$C$4/1000)+2)*(General_Model!$C$26/A900))</f>
        <v>-0.38338232802665945</v>
      </c>
      <c r="C900" s="13">
        <f t="shared" si="14"/>
        <v>0</v>
      </c>
    </row>
    <row r="901" spans="1:3" x14ac:dyDescent="0.25">
      <c r="A901" s="11">
        <v>0.89900000000000002</v>
      </c>
      <c r="B901" s="12">
        <f>(General_Model!$C$6/General_Model!$C$7)-1/(1+General_Model!$C$26/((1.2+0.2*(General_Model!$C$26/A901)+0.35*SQRT(9.80665*(General_Model!$C$4/1000))/A901)*A901))-(A901^2/(2*9.80665*General_Model!$C$7))*((4*(0.3164/((General_Model!$C$14*A901*(General_Model!$C$4/1000)/General_Model!$C$15)^0.25))*General_Model!$C$7/(General_Model!$C$4/1000)+1)+(4*(0.3164/((General_Model!$C$14*A901*(General_Model!$C$4/1000)/General_Model!$C$15)^0.25))*General_Model!$C$7/(General_Model!$C$4/1000)+2)*(General_Model!$C$26/A901))</f>
        <v>-0.38392318664682124</v>
      </c>
      <c r="C901" s="13">
        <f t="shared" si="14"/>
        <v>0</v>
      </c>
    </row>
    <row r="902" spans="1:3" x14ac:dyDescent="0.25">
      <c r="A902" s="11">
        <v>0.9</v>
      </c>
      <c r="B902" s="12">
        <f>(General_Model!$C$6/General_Model!$C$7)-1/(1+General_Model!$C$26/((1.2+0.2*(General_Model!$C$26/A902)+0.35*SQRT(9.80665*(General_Model!$C$4/1000))/A902)*A902))-(A902^2/(2*9.80665*General_Model!$C$7))*((4*(0.3164/((General_Model!$C$14*A902*(General_Model!$C$4/1000)/General_Model!$C$15)^0.25))*General_Model!$C$7/(General_Model!$C$4/1000)+1)+(4*(0.3164/((General_Model!$C$14*A902*(General_Model!$C$4/1000)/General_Model!$C$15)^0.25))*General_Model!$C$7/(General_Model!$C$4/1000)+2)*(General_Model!$C$26/A902))</f>
        <v>-0.38446408574267099</v>
      </c>
      <c r="C902" s="13">
        <f t="shared" si="14"/>
        <v>0</v>
      </c>
    </row>
    <row r="903" spans="1:3" x14ac:dyDescent="0.25">
      <c r="A903" s="11">
        <v>0.90100000000000002</v>
      </c>
      <c r="B903" s="12">
        <f>(General_Model!$C$6/General_Model!$C$7)-1/(1+General_Model!$C$26/((1.2+0.2*(General_Model!$C$26/A903)+0.35*SQRT(9.80665*(General_Model!$C$4/1000))/A903)*A903))-(A903^2/(2*9.80665*General_Model!$C$7))*((4*(0.3164/((General_Model!$C$14*A903*(General_Model!$C$4/1000)/General_Model!$C$15)^0.25))*General_Model!$C$7/(General_Model!$C$4/1000)+1)+(4*(0.3164/((General_Model!$C$14*A903*(General_Model!$C$4/1000)/General_Model!$C$15)^0.25))*General_Model!$C$7/(General_Model!$C$4/1000)+2)*(General_Model!$C$26/A903))</f>
        <v>-0.38500502569764838</v>
      </c>
      <c r="C903" s="13">
        <f t="shared" si="14"/>
        <v>0</v>
      </c>
    </row>
    <row r="904" spans="1:3" x14ac:dyDescent="0.25">
      <c r="A904" s="11">
        <v>0.90200000000000002</v>
      </c>
      <c r="B904" s="12">
        <f>(General_Model!$C$6/General_Model!$C$7)-1/(1+General_Model!$C$26/((1.2+0.2*(General_Model!$C$26/A904)+0.35*SQRT(9.80665*(General_Model!$C$4/1000))/A904)*A904))-(A904^2/(2*9.80665*General_Model!$C$7))*((4*(0.3164/((General_Model!$C$14*A904*(General_Model!$C$4/1000)/General_Model!$C$15)^0.25))*General_Model!$C$7/(General_Model!$C$4/1000)+1)+(4*(0.3164/((General_Model!$C$14*A904*(General_Model!$C$4/1000)/General_Model!$C$15)^0.25))*General_Model!$C$7/(General_Model!$C$4/1000)+2)*(General_Model!$C$26/A904))</f>
        <v>-0.38554600689414736</v>
      </c>
      <c r="C904" s="13">
        <f t="shared" si="14"/>
        <v>0</v>
      </c>
    </row>
    <row r="905" spans="1:3" x14ac:dyDescent="0.25">
      <c r="A905" s="11">
        <v>0.90300000000000002</v>
      </c>
      <c r="B905" s="12">
        <f>(General_Model!$C$6/General_Model!$C$7)-1/(1+General_Model!$C$26/((1.2+0.2*(General_Model!$C$26/A905)+0.35*SQRT(9.80665*(General_Model!$C$4/1000))/A905)*A905))-(A905^2/(2*9.80665*General_Model!$C$7))*((4*(0.3164/((General_Model!$C$14*A905*(General_Model!$C$4/1000)/General_Model!$C$15)^0.25))*General_Model!$C$7/(General_Model!$C$4/1000)+1)+(4*(0.3164/((General_Model!$C$14*A905*(General_Model!$C$4/1000)/General_Model!$C$15)^0.25))*General_Model!$C$7/(General_Model!$C$4/1000)+2)*(General_Model!$C$26/A905))</f>
        <v>-0.38608702971352082</v>
      </c>
      <c r="C905" s="13">
        <f t="shared" si="14"/>
        <v>0</v>
      </c>
    </row>
    <row r="906" spans="1:3" x14ac:dyDescent="0.25">
      <c r="A906" s="11">
        <v>0.90400000000000003</v>
      </c>
      <c r="B906" s="12">
        <f>(General_Model!$C$6/General_Model!$C$7)-1/(1+General_Model!$C$26/((1.2+0.2*(General_Model!$C$26/A906)+0.35*SQRT(9.80665*(General_Model!$C$4/1000))/A906)*A906))-(A906^2/(2*9.80665*General_Model!$C$7))*((4*(0.3164/((General_Model!$C$14*A906*(General_Model!$C$4/1000)/General_Model!$C$15)^0.25))*General_Model!$C$7/(General_Model!$C$4/1000)+1)+(4*(0.3164/((General_Model!$C$14*A906*(General_Model!$C$4/1000)/General_Model!$C$15)^0.25))*General_Model!$C$7/(General_Model!$C$4/1000)+2)*(General_Model!$C$26/A906))</f>
        <v>-0.38662809453608249</v>
      </c>
      <c r="C906" s="13">
        <f t="shared" si="14"/>
        <v>0</v>
      </c>
    </row>
    <row r="907" spans="1:3" x14ac:dyDescent="0.25">
      <c r="A907" s="11">
        <v>0.90500000000000003</v>
      </c>
      <c r="B907" s="12">
        <f>(General_Model!$C$6/General_Model!$C$7)-1/(1+General_Model!$C$26/((1.2+0.2*(General_Model!$C$26/A907)+0.35*SQRT(9.80665*(General_Model!$C$4/1000))/A907)*A907))-(A907^2/(2*9.80665*General_Model!$C$7))*((4*(0.3164/((General_Model!$C$14*A907*(General_Model!$C$4/1000)/General_Model!$C$15)^0.25))*General_Model!$C$7/(General_Model!$C$4/1000)+1)+(4*(0.3164/((General_Model!$C$14*A907*(General_Model!$C$4/1000)/General_Model!$C$15)^0.25))*General_Model!$C$7/(General_Model!$C$4/1000)+2)*(General_Model!$C$26/A907))</f>
        <v>-0.38716920174111102</v>
      </c>
      <c r="C907" s="13">
        <f t="shared" si="14"/>
        <v>0</v>
      </c>
    </row>
    <row r="908" spans="1:3" x14ac:dyDescent="0.25">
      <c r="A908" s="11">
        <v>0.90600000000000003</v>
      </c>
      <c r="B908" s="12">
        <f>(General_Model!$C$6/General_Model!$C$7)-1/(1+General_Model!$C$26/((1.2+0.2*(General_Model!$C$26/A908)+0.35*SQRT(9.80665*(General_Model!$C$4/1000))/A908)*A908))-(A908^2/(2*9.80665*General_Model!$C$7))*((4*(0.3164/((General_Model!$C$14*A908*(General_Model!$C$4/1000)/General_Model!$C$15)^0.25))*General_Model!$C$7/(General_Model!$C$4/1000)+1)+(4*(0.3164/((General_Model!$C$14*A908*(General_Model!$C$4/1000)/General_Model!$C$15)^0.25))*General_Model!$C$7/(General_Model!$C$4/1000)+2)*(General_Model!$C$26/A908))</f>
        <v>-0.38771035170685397</v>
      </c>
      <c r="C908" s="13">
        <f t="shared" si="14"/>
        <v>0</v>
      </c>
    </row>
    <row r="909" spans="1:3" x14ac:dyDescent="0.25">
      <c r="A909" s="11">
        <v>0.90700000000000003</v>
      </c>
      <c r="B909" s="12">
        <f>(General_Model!$C$6/General_Model!$C$7)-1/(1+General_Model!$C$26/((1.2+0.2*(General_Model!$C$26/A909)+0.35*SQRT(9.80665*(General_Model!$C$4/1000))/A909)*A909))-(A909^2/(2*9.80665*General_Model!$C$7))*((4*(0.3164/((General_Model!$C$14*A909*(General_Model!$C$4/1000)/General_Model!$C$15)^0.25))*General_Model!$C$7/(General_Model!$C$4/1000)+1)+(4*(0.3164/((General_Model!$C$14*A909*(General_Model!$C$4/1000)/General_Model!$C$15)^0.25))*General_Model!$C$7/(General_Model!$C$4/1000)+2)*(General_Model!$C$26/A909))</f>
        <v>-0.38825154481053004</v>
      </c>
      <c r="C909" s="13">
        <f t="shared" si="14"/>
        <v>0</v>
      </c>
    </row>
    <row r="910" spans="1:3" x14ac:dyDescent="0.25">
      <c r="A910" s="11">
        <v>0.90800000000000003</v>
      </c>
      <c r="B910" s="12">
        <f>(General_Model!$C$6/General_Model!$C$7)-1/(1+General_Model!$C$26/((1.2+0.2*(General_Model!$C$26/A910)+0.35*SQRT(9.80665*(General_Model!$C$4/1000))/A910)*A910))-(A910^2/(2*9.80665*General_Model!$C$7))*((4*(0.3164/((General_Model!$C$14*A910*(General_Model!$C$4/1000)/General_Model!$C$15)^0.25))*General_Model!$C$7/(General_Model!$C$4/1000)+1)+(4*(0.3164/((General_Model!$C$14*A910*(General_Model!$C$4/1000)/General_Model!$C$15)^0.25))*General_Model!$C$7/(General_Model!$C$4/1000)+2)*(General_Model!$C$26/A910))</f>
        <v>-0.38879278142833307</v>
      </c>
      <c r="C910" s="13">
        <f t="shared" si="14"/>
        <v>0</v>
      </c>
    </row>
    <row r="911" spans="1:3" x14ac:dyDescent="0.25">
      <c r="A911" s="11">
        <v>0.90900000000000003</v>
      </c>
      <c r="B911" s="12">
        <f>(General_Model!$C$6/General_Model!$C$7)-1/(1+General_Model!$C$26/((1.2+0.2*(General_Model!$C$26/A911)+0.35*SQRT(9.80665*(General_Model!$C$4/1000))/A911)*A911))-(A911^2/(2*9.80665*General_Model!$C$7))*((4*(0.3164/((General_Model!$C$14*A911*(General_Model!$C$4/1000)/General_Model!$C$15)^0.25))*General_Model!$C$7/(General_Model!$C$4/1000)+1)+(4*(0.3164/((General_Model!$C$14*A911*(General_Model!$C$4/1000)/General_Model!$C$15)^0.25))*General_Model!$C$7/(General_Model!$C$4/1000)+2)*(General_Model!$C$26/A911))</f>
        <v>-0.38933406193543585</v>
      </c>
      <c r="C911" s="13">
        <f t="shared" si="14"/>
        <v>0</v>
      </c>
    </row>
    <row r="912" spans="1:3" x14ac:dyDescent="0.25">
      <c r="A912" s="11">
        <v>0.91</v>
      </c>
      <c r="B912" s="12">
        <f>(General_Model!$C$6/General_Model!$C$7)-1/(1+General_Model!$C$26/((1.2+0.2*(General_Model!$C$26/A912)+0.35*SQRT(9.80665*(General_Model!$C$4/1000))/A912)*A912))-(A912^2/(2*9.80665*General_Model!$C$7))*((4*(0.3164/((General_Model!$C$14*A912*(General_Model!$C$4/1000)/General_Model!$C$15)^0.25))*General_Model!$C$7/(General_Model!$C$4/1000)+1)+(4*(0.3164/((General_Model!$C$14*A912*(General_Model!$C$4/1000)/General_Model!$C$15)^0.25))*General_Model!$C$7/(General_Model!$C$4/1000)+2)*(General_Model!$C$26/A912))</f>
        <v>-0.38987538670599264</v>
      </c>
      <c r="C912" s="13">
        <f t="shared" si="14"/>
        <v>0</v>
      </c>
    </row>
    <row r="913" spans="1:3" x14ac:dyDescent="0.25">
      <c r="A913" s="11">
        <v>0.91100000000000003</v>
      </c>
      <c r="B913" s="12">
        <f>(General_Model!$C$6/General_Model!$C$7)-1/(1+General_Model!$C$26/((1.2+0.2*(General_Model!$C$26/A913)+0.35*SQRT(9.80665*(General_Model!$C$4/1000))/A913)*A913))-(A913^2/(2*9.80665*General_Model!$C$7))*((4*(0.3164/((General_Model!$C$14*A913*(General_Model!$C$4/1000)/General_Model!$C$15)^0.25))*General_Model!$C$7/(General_Model!$C$4/1000)+1)+(4*(0.3164/((General_Model!$C$14*A913*(General_Model!$C$4/1000)/General_Model!$C$15)^0.25))*General_Model!$C$7/(General_Model!$C$4/1000)+2)*(General_Model!$C$26/A913))</f>
        <v>-0.39041675611314264</v>
      </c>
      <c r="C913" s="13">
        <f t="shared" si="14"/>
        <v>0</v>
      </c>
    </row>
    <row r="914" spans="1:3" x14ac:dyDescent="0.25">
      <c r="A914" s="11">
        <v>0.91200000000000003</v>
      </c>
      <c r="B914" s="12">
        <f>(General_Model!$C$6/General_Model!$C$7)-1/(1+General_Model!$C$26/((1.2+0.2*(General_Model!$C$26/A914)+0.35*SQRT(9.80665*(General_Model!$C$4/1000))/A914)*A914))-(A914^2/(2*9.80665*General_Model!$C$7))*((4*(0.3164/((General_Model!$C$14*A914*(General_Model!$C$4/1000)/General_Model!$C$15)^0.25))*General_Model!$C$7/(General_Model!$C$4/1000)+1)+(4*(0.3164/((General_Model!$C$14*A914*(General_Model!$C$4/1000)/General_Model!$C$15)^0.25))*General_Model!$C$7/(General_Model!$C$4/1000)+2)*(General_Model!$C$26/A914))</f>
        <v>-0.39095817052901394</v>
      </c>
      <c r="C914" s="13">
        <f t="shared" si="14"/>
        <v>0</v>
      </c>
    </row>
    <row r="915" spans="1:3" x14ac:dyDescent="0.25">
      <c r="A915" s="11">
        <v>0.91300000000000003</v>
      </c>
      <c r="B915" s="12">
        <f>(General_Model!$C$6/General_Model!$C$7)-1/(1+General_Model!$C$26/((1.2+0.2*(General_Model!$C$26/A915)+0.35*SQRT(9.80665*(General_Model!$C$4/1000))/A915)*A915))-(A915^2/(2*9.80665*General_Model!$C$7))*((4*(0.3164/((General_Model!$C$14*A915*(General_Model!$C$4/1000)/General_Model!$C$15)^0.25))*General_Model!$C$7/(General_Model!$C$4/1000)+1)+(4*(0.3164/((General_Model!$C$14*A915*(General_Model!$C$4/1000)/General_Model!$C$15)^0.25))*General_Model!$C$7/(General_Model!$C$4/1000)+2)*(General_Model!$C$26/A915))</f>
        <v>-0.39149963032472634</v>
      </c>
      <c r="C915" s="13">
        <f t="shared" si="14"/>
        <v>0</v>
      </c>
    </row>
    <row r="916" spans="1:3" x14ac:dyDescent="0.25">
      <c r="A916" s="11">
        <v>0.91400000000000003</v>
      </c>
      <c r="B916" s="12">
        <f>(General_Model!$C$6/General_Model!$C$7)-1/(1+General_Model!$C$26/((1.2+0.2*(General_Model!$C$26/A916)+0.35*SQRT(9.80665*(General_Model!$C$4/1000))/A916)*A916))-(A916^2/(2*9.80665*General_Model!$C$7))*((4*(0.3164/((General_Model!$C$14*A916*(General_Model!$C$4/1000)/General_Model!$C$15)^0.25))*General_Model!$C$7/(General_Model!$C$4/1000)+1)+(4*(0.3164/((General_Model!$C$14*A916*(General_Model!$C$4/1000)/General_Model!$C$15)^0.25))*General_Model!$C$7/(General_Model!$C$4/1000)+2)*(General_Model!$C$26/A916))</f>
        <v>-0.39204113587039413</v>
      </c>
      <c r="C916" s="13">
        <f t="shared" si="14"/>
        <v>0</v>
      </c>
    </row>
    <row r="917" spans="1:3" x14ac:dyDescent="0.25">
      <c r="A917" s="11">
        <v>0.91500000000000004</v>
      </c>
      <c r="B917" s="12">
        <f>(General_Model!$C$6/General_Model!$C$7)-1/(1+General_Model!$C$26/((1.2+0.2*(General_Model!$C$26/A917)+0.35*SQRT(9.80665*(General_Model!$C$4/1000))/A917)*A917))-(A917^2/(2*9.80665*General_Model!$C$7))*((4*(0.3164/((General_Model!$C$14*A917*(General_Model!$C$4/1000)/General_Model!$C$15)^0.25))*General_Model!$C$7/(General_Model!$C$4/1000)+1)+(4*(0.3164/((General_Model!$C$14*A917*(General_Model!$C$4/1000)/General_Model!$C$15)^0.25))*General_Model!$C$7/(General_Model!$C$4/1000)+2)*(General_Model!$C$26/A917))</f>
        <v>-0.39258268753513115</v>
      </c>
      <c r="C917" s="13">
        <f t="shared" si="14"/>
        <v>0</v>
      </c>
    </row>
    <row r="918" spans="1:3" x14ac:dyDescent="0.25">
      <c r="A918" s="11">
        <v>0.91600000000000004</v>
      </c>
      <c r="B918" s="12">
        <f>(General_Model!$C$6/General_Model!$C$7)-1/(1+General_Model!$C$26/((1.2+0.2*(General_Model!$C$26/A918)+0.35*SQRT(9.80665*(General_Model!$C$4/1000))/A918)*A918))-(A918^2/(2*9.80665*General_Model!$C$7))*((4*(0.3164/((General_Model!$C$14*A918*(General_Model!$C$4/1000)/General_Model!$C$15)^0.25))*General_Model!$C$7/(General_Model!$C$4/1000)+1)+(4*(0.3164/((General_Model!$C$14*A918*(General_Model!$C$4/1000)/General_Model!$C$15)^0.25))*General_Model!$C$7/(General_Model!$C$4/1000)+2)*(General_Model!$C$26/A918))</f>
        <v>-0.39312428568705138</v>
      </c>
      <c r="C918" s="13">
        <f t="shared" si="14"/>
        <v>0</v>
      </c>
    </row>
    <row r="919" spans="1:3" x14ac:dyDescent="0.25">
      <c r="A919" s="11">
        <v>0.91700000000000004</v>
      </c>
      <c r="B919" s="12">
        <f>(General_Model!$C$6/General_Model!$C$7)-1/(1+General_Model!$C$26/((1.2+0.2*(General_Model!$C$26/A919)+0.35*SQRT(9.80665*(General_Model!$C$4/1000))/A919)*A919))-(A919^2/(2*9.80665*General_Model!$C$7))*((4*(0.3164/((General_Model!$C$14*A919*(General_Model!$C$4/1000)/General_Model!$C$15)^0.25))*General_Model!$C$7/(General_Model!$C$4/1000)+1)+(4*(0.3164/((General_Model!$C$14*A919*(General_Model!$C$4/1000)/General_Model!$C$15)^0.25))*General_Model!$C$7/(General_Model!$C$4/1000)+2)*(General_Model!$C$26/A919))</f>
        <v>-0.39366593069327527</v>
      </c>
      <c r="C919" s="13">
        <f t="shared" si="14"/>
        <v>0</v>
      </c>
    </row>
    <row r="920" spans="1:3" x14ac:dyDescent="0.25">
      <c r="A920" s="11">
        <v>0.91800000000000004</v>
      </c>
      <c r="B920" s="12">
        <f>(General_Model!$C$6/General_Model!$C$7)-1/(1+General_Model!$C$26/((1.2+0.2*(General_Model!$C$26/A920)+0.35*SQRT(9.80665*(General_Model!$C$4/1000))/A920)*A920))-(A920^2/(2*9.80665*General_Model!$C$7))*((4*(0.3164/((General_Model!$C$14*A920*(General_Model!$C$4/1000)/General_Model!$C$15)^0.25))*General_Model!$C$7/(General_Model!$C$4/1000)+1)+(4*(0.3164/((General_Model!$C$14*A920*(General_Model!$C$4/1000)/General_Model!$C$15)^0.25))*General_Model!$C$7/(General_Model!$C$4/1000)+2)*(General_Model!$C$26/A920))</f>
        <v>-0.39420762291992995</v>
      </c>
      <c r="C920" s="13">
        <f t="shared" si="14"/>
        <v>0</v>
      </c>
    </row>
    <row r="921" spans="1:3" x14ac:dyDescent="0.25">
      <c r="A921" s="11">
        <v>0.91900000000000004</v>
      </c>
      <c r="B921" s="12">
        <f>(General_Model!$C$6/General_Model!$C$7)-1/(1+General_Model!$C$26/((1.2+0.2*(General_Model!$C$26/A921)+0.35*SQRT(9.80665*(General_Model!$C$4/1000))/A921)*A921))-(A921^2/(2*9.80665*General_Model!$C$7))*((4*(0.3164/((General_Model!$C$14*A921*(General_Model!$C$4/1000)/General_Model!$C$15)^0.25))*General_Model!$C$7/(General_Model!$C$4/1000)+1)+(4*(0.3164/((General_Model!$C$14*A921*(General_Model!$C$4/1000)/General_Model!$C$15)^0.25))*General_Model!$C$7/(General_Model!$C$4/1000)+2)*(General_Model!$C$26/A921))</f>
        <v>-0.39474936273215505</v>
      </c>
      <c r="C921" s="13">
        <f t="shared" si="14"/>
        <v>0</v>
      </c>
    </row>
    <row r="922" spans="1:3" x14ac:dyDescent="0.25">
      <c r="A922" s="11">
        <v>0.92</v>
      </c>
      <c r="B922" s="12">
        <f>(General_Model!$C$6/General_Model!$C$7)-1/(1+General_Model!$C$26/((1.2+0.2*(General_Model!$C$26/A922)+0.35*SQRT(9.80665*(General_Model!$C$4/1000))/A922)*A922))-(A922^2/(2*9.80665*General_Model!$C$7))*((4*(0.3164/((General_Model!$C$14*A922*(General_Model!$C$4/1000)/General_Model!$C$15)^0.25))*General_Model!$C$7/(General_Model!$C$4/1000)+1)+(4*(0.3164/((General_Model!$C$14*A922*(General_Model!$C$4/1000)/General_Model!$C$15)^0.25))*General_Model!$C$7/(General_Model!$C$4/1000)+2)*(General_Model!$C$26/A922))</f>
        <v>-0.39529115049410402</v>
      </c>
      <c r="C922" s="13">
        <f t="shared" si="14"/>
        <v>0</v>
      </c>
    </row>
    <row r="923" spans="1:3" x14ac:dyDescent="0.25">
      <c r="A923" s="11">
        <v>0.92100000000000004</v>
      </c>
      <c r="B923" s="12">
        <f>(General_Model!$C$6/General_Model!$C$7)-1/(1+General_Model!$C$26/((1.2+0.2*(General_Model!$C$26/A923)+0.35*SQRT(9.80665*(General_Model!$C$4/1000))/A923)*A923))-(A923^2/(2*9.80665*General_Model!$C$7))*((4*(0.3164/((General_Model!$C$14*A923*(General_Model!$C$4/1000)/General_Model!$C$15)^0.25))*General_Model!$C$7/(General_Model!$C$4/1000)+1)+(4*(0.3164/((General_Model!$C$14*A923*(General_Model!$C$4/1000)/General_Model!$C$15)^0.25))*General_Model!$C$7/(General_Model!$C$4/1000)+2)*(General_Model!$C$26/A923))</f>
        <v>-0.39583298656894844</v>
      </c>
      <c r="C923" s="13">
        <f t="shared" si="14"/>
        <v>0</v>
      </c>
    </row>
    <row r="924" spans="1:3" x14ac:dyDescent="0.25">
      <c r="A924" s="11">
        <v>0.92200000000000004</v>
      </c>
      <c r="B924" s="12">
        <f>(General_Model!$C$6/General_Model!$C$7)-1/(1+General_Model!$C$26/((1.2+0.2*(General_Model!$C$26/A924)+0.35*SQRT(9.80665*(General_Model!$C$4/1000))/A924)*A924))-(A924^2/(2*9.80665*General_Model!$C$7))*((4*(0.3164/((General_Model!$C$14*A924*(General_Model!$C$4/1000)/General_Model!$C$15)^0.25))*General_Model!$C$7/(General_Model!$C$4/1000)+1)+(4*(0.3164/((General_Model!$C$14*A924*(General_Model!$C$4/1000)/General_Model!$C$15)^0.25))*General_Model!$C$7/(General_Model!$C$4/1000)+2)*(General_Model!$C$26/A924))</f>
        <v>-0.39637487131888105</v>
      </c>
      <c r="C924" s="13">
        <f t="shared" si="14"/>
        <v>0</v>
      </c>
    </row>
    <row r="925" spans="1:3" x14ac:dyDescent="0.25">
      <c r="A925" s="11">
        <v>0.92300000000000004</v>
      </c>
      <c r="B925" s="12">
        <f>(General_Model!$C$6/General_Model!$C$7)-1/(1+General_Model!$C$26/((1.2+0.2*(General_Model!$C$26/A925)+0.35*SQRT(9.80665*(General_Model!$C$4/1000))/A925)*A925))-(A925^2/(2*9.80665*General_Model!$C$7))*((4*(0.3164/((General_Model!$C$14*A925*(General_Model!$C$4/1000)/General_Model!$C$15)^0.25))*General_Model!$C$7/(General_Model!$C$4/1000)+1)+(4*(0.3164/((General_Model!$C$14*A925*(General_Model!$C$4/1000)/General_Model!$C$15)^0.25))*General_Model!$C$7/(General_Model!$C$4/1000)+2)*(General_Model!$C$26/A925))</f>
        <v>-0.3969168051051184</v>
      </c>
      <c r="C925" s="13">
        <f t="shared" si="14"/>
        <v>0</v>
      </c>
    </row>
    <row r="926" spans="1:3" x14ac:dyDescent="0.25">
      <c r="A926" s="11">
        <v>0.92400000000000004</v>
      </c>
      <c r="B926" s="12">
        <f>(General_Model!$C$6/General_Model!$C$7)-1/(1+General_Model!$C$26/((1.2+0.2*(General_Model!$C$26/A926)+0.35*SQRT(9.80665*(General_Model!$C$4/1000))/A926)*A926))-(A926^2/(2*9.80665*General_Model!$C$7))*((4*(0.3164/((General_Model!$C$14*A926*(General_Model!$C$4/1000)/General_Model!$C$15)^0.25))*General_Model!$C$7/(General_Model!$C$4/1000)+1)+(4*(0.3164/((General_Model!$C$14*A926*(General_Model!$C$4/1000)/General_Model!$C$15)^0.25))*General_Model!$C$7/(General_Model!$C$4/1000)+2)*(General_Model!$C$26/A926))</f>
        <v>-0.39745878828790449</v>
      </c>
      <c r="C926" s="13">
        <f t="shared" si="14"/>
        <v>0</v>
      </c>
    </row>
    <row r="927" spans="1:3" x14ac:dyDescent="0.25">
      <c r="A927" s="11">
        <v>0.92500000000000004</v>
      </c>
      <c r="B927" s="12">
        <f>(General_Model!$C$6/General_Model!$C$7)-1/(1+General_Model!$C$26/((1.2+0.2*(General_Model!$C$26/A927)+0.35*SQRT(9.80665*(General_Model!$C$4/1000))/A927)*A927))-(A927^2/(2*9.80665*General_Model!$C$7))*((4*(0.3164/((General_Model!$C$14*A927*(General_Model!$C$4/1000)/General_Model!$C$15)^0.25))*General_Model!$C$7/(General_Model!$C$4/1000)+1)+(4*(0.3164/((General_Model!$C$14*A927*(General_Model!$C$4/1000)/General_Model!$C$15)^0.25))*General_Model!$C$7/(General_Model!$C$4/1000)+2)*(General_Model!$C$26/A927))</f>
        <v>-0.39800082122651426</v>
      </c>
      <c r="C927" s="13">
        <f t="shared" si="14"/>
        <v>0</v>
      </c>
    </row>
    <row r="928" spans="1:3" x14ac:dyDescent="0.25">
      <c r="A928" s="11">
        <v>0.92600000000000005</v>
      </c>
      <c r="B928" s="12">
        <f>(General_Model!$C$6/General_Model!$C$7)-1/(1+General_Model!$C$26/((1.2+0.2*(General_Model!$C$26/A928)+0.35*SQRT(9.80665*(General_Model!$C$4/1000))/A928)*A928))-(A928^2/(2*9.80665*General_Model!$C$7))*((4*(0.3164/((General_Model!$C$14*A928*(General_Model!$C$4/1000)/General_Model!$C$15)^0.25))*General_Model!$C$7/(General_Model!$C$4/1000)+1)+(4*(0.3164/((General_Model!$C$14*A928*(General_Model!$C$4/1000)/General_Model!$C$15)^0.25))*General_Model!$C$7/(General_Model!$C$4/1000)+2)*(General_Model!$C$26/A928))</f>
        <v>-0.39854290427925571</v>
      </c>
      <c r="C928" s="13">
        <f t="shared" si="14"/>
        <v>0</v>
      </c>
    </row>
    <row r="929" spans="1:3" x14ac:dyDescent="0.25">
      <c r="A929" s="11">
        <v>0.92700000000000005</v>
      </c>
      <c r="B929" s="12">
        <f>(General_Model!$C$6/General_Model!$C$7)-1/(1+General_Model!$C$26/((1.2+0.2*(General_Model!$C$26/A929)+0.35*SQRT(9.80665*(General_Model!$C$4/1000))/A929)*A929))-(A929^2/(2*9.80665*General_Model!$C$7))*((4*(0.3164/((General_Model!$C$14*A929*(General_Model!$C$4/1000)/General_Model!$C$15)^0.25))*General_Model!$C$7/(General_Model!$C$4/1000)+1)+(4*(0.3164/((General_Model!$C$14*A929*(General_Model!$C$4/1000)/General_Model!$C$15)^0.25))*General_Model!$C$7/(General_Model!$C$4/1000)+2)*(General_Model!$C$26/A929))</f>
        <v>-0.39908503780347376</v>
      </c>
      <c r="C929" s="13">
        <f t="shared" si="14"/>
        <v>0</v>
      </c>
    </row>
    <row r="930" spans="1:3" x14ac:dyDescent="0.25">
      <c r="A930" s="11">
        <v>0.92800000000000005</v>
      </c>
      <c r="B930" s="12">
        <f>(General_Model!$C$6/General_Model!$C$7)-1/(1+General_Model!$C$26/((1.2+0.2*(General_Model!$C$26/A930)+0.35*SQRT(9.80665*(General_Model!$C$4/1000))/A930)*A930))-(A930^2/(2*9.80665*General_Model!$C$7))*((4*(0.3164/((General_Model!$C$14*A930*(General_Model!$C$4/1000)/General_Model!$C$15)^0.25))*General_Model!$C$7/(General_Model!$C$4/1000)+1)+(4*(0.3164/((General_Model!$C$14*A930*(General_Model!$C$4/1000)/General_Model!$C$15)^0.25))*General_Model!$C$7/(General_Model!$C$4/1000)+2)*(General_Model!$C$26/A930))</f>
        <v>-0.39962722215555319</v>
      </c>
      <c r="C930" s="13">
        <f t="shared" si="14"/>
        <v>0</v>
      </c>
    </row>
    <row r="931" spans="1:3" x14ac:dyDescent="0.25">
      <c r="A931" s="11">
        <v>0.92900000000000005</v>
      </c>
      <c r="B931" s="12">
        <f>(General_Model!$C$6/General_Model!$C$7)-1/(1+General_Model!$C$26/((1.2+0.2*(General_Model!$C$26/A931)+0.35*SQRT(9.80665*(General_Model!$C$4/1000))/A931)*A931))-(A931^2/(2*9.80665*General_Model!$C$7))*((4*(0.3164/((General_Model!$C$14*A931*(General_Model!$C$4/1000)/General_Model!$C$15)^0.25))*General_Model!$C$7/(General_Model!$C$4/1000)+1)+(4*(0.3164/((General_Model!$C$14*A931*(General_Model!$C$4/1000)/General_Model!$C$15)^0.25))*General_Model!$C$7/(General_Model!$C$4/1000)+2)*(General_Model!$C$26/A931))</f>
        <v>-0.4001694576909226</v>
      </c>
      <c r="C931" s="13">
        <f t="shared" si="14"/>
        <v>0</v>
      </c>
    </row>
    <row r="932" spans="1:3" x14ac:dyDescent="0.25">
      <c r="A932" s="11">
        <v>0.93</v>
      </c>
      <c r="B932" s="12">
        <f>(General_Model!$C$6/General_Model!$C$7)-1/(1+General_Model!$C$26/((1.2+0.2*(General_Model!$C$26/A932)+0.35*SQRT(9.80665*(General_Model!$C$4/1000))/A932)*A932))-(A932^2/(2*9.80665*General_Model!$C$7))*((4*(0.3164/((General_Model!$C$14*A932*(General_Model!$C$4/1000)/General_Model!$C$15)^0.25))*General_Model!$C$7/(General_Model!$C$4/1000)+1)+(4*(0.3164/((General_Model!$C$14*A932*(General_Model!$C$4/1000)/General_Model!$C$15)^0.25))*General_Model!$C$7/(General_Model!$C$4/1000)+2)*(General_Model!$C$26/A932))</f>
        <v>-0.40071174476405558</v>
      </c>
      <c r="C932" s="13">
        <f t="shared" si="14"/>
        <v>0</v>
      </c>
    </row>
    <row r="933" spans="1:3" x14ac:dyDescent="0.25">
      <c r="A933" s="11">
        <v>0.93100000000000005</v>
      </c>
      <c r="B933" s="12">
        <f>(General_Model!$C$6/General_Model!$C$7)-1/(1+General_Model!$C$26/((1.2+0.2*(General_Model!$C$26/A933)+0.35*SQRT(9.80665*(General_Model!$C$4/1000))/A933)*A933))-(A933^2/(2*9.80665*General_Model!$C$7))*((4*(0.3164/((General_Model!$C$14*A933*(General_Model!$C$4/1000)/General_Model!$C$15)^0.25))*General_Model!$C$7/(General_Model!$C$4/1000)+1)+(4*(0.3164/((General_Model!$C$14*A933*(General_Model!$C$4/1000)/General_Model!$C$15)^0.25))*General_Model!$C$7/(General_Model!$C$4/1000)+2)*(General_Model!$C$26/A933))</f>
        <v>-0.40125408372847549</v>
      </c>
      <c r="C933" s="13">
        <f t="shared" si="14"/>
        <v>0</v>
      </c>
    </row>
    <row r="934" spans="1:3" x14ac:dyDescent="0.25">
      <c r="A934" s="11">
        <v>0.93200000000000005</v>
      </c>
      <c r="B934" s="12">
        <f>(General_Model!$C$6/General_Model!$C$7)-1/(1+General_Model!$C$26/((1.2+0.2*(General_Model!$C$26/A934)+0.35*SQRT(9.80665*(General_Model!$C$4/1000))/A934)*A934))-(A934^2/(2*9.80665*General_Model!$C$7))*((4*(0.3164/((General_Model!$C$14*A934*(General_Model!$C$4/1000)/General_Model!$C$15)^0.25))*General_Model!$C$7/(General_Model!$C$4/1000)+1)+(4*(0.3164/((General_Model!$C$14*A934*(General_Model!$C$4/1000)/General_Model!$C$15)^0.25))*General_Model!$C$7/(General_Model!$C$4/1000)+2)*(General_Model!$C$26/A934))</f>
        <v>-0.40179647493675807</v>
      </c>
      <c r="C934" s="13">
        <f t="shared" si="14"/>
        <v>0</v>
      </c>
    </row>
    <row r="935" spans="1:3" x14ac:dyDescent="0.25">
      <c r="A935" s="11">
        <v>0.93300000000000005</v>
      </c>
      <c r="B935" s="12">
        <f>(General_Model!$C$6/General_Model!$C$7)-1/(1+General_Model!$C$26/((1.2+0.2*(General_Model!$C$26/A935)+0.35*SQRT(9.80665*(General_Model!$C$4/1000))/A935)*A935))-(A935^2/(2*9.80665*General_Model!$C$7))*((4*(0.3164/((General_Model!$C$14*A935*(General_Model!$C$4/1000)/General_Model!$C$15)^0.25))*General_Model!$C$7/(General_Model!$C$4/1000)+1)+(4*(0.3164/((General_Model!$C$14*A935*(General_Model!$C$4/1000)/General_Model!$C$15)^0.25))*General_Model!$C$7/(General_Model!$C$4/1000)+2)*(General_Model!$C$26/A935))</f>
        <v>-0.40233891874053407</v>
      </c>
      <c r="C935" s="13">
        <f t="shared" si="14"/>
        <v>0</v>
      </c>
    </row>
    <row r="936" spans="1:3" x14ac:dyDescent="0.25">
      <c r="A936" s="11">
        <v>0.93400000000000005</v>
      </c>
      <c r="B936" s="12">
        <f>(General_Model!$C$6/General_Model!$C$7)-1/(1+General_Model!$C$26/((1.2+0.2*(General_Model!$C$26/A936)+0.35*SQRT(9.80665*(General_Model!$C$4/1000))/A936)*A936))-(A936^2/(2*9.80665*General_Model!$C$7))*((4*(0.3164/((General_Model!$C$14*A936*(General_Model!$C$4/1000)/General_Model!$C$15)^0.25))*General_Model!$C$7/(General_Model!$C$4/1000)+1)+(4*(0.3164/((General_Model!$C$14*A936*(General_Model!$C$4/1000)/General_Model!$C$15)^0.25))*General_Model!$C$7/(General_Model!$C$4/1000)+2)*(General_Model!$C$26/A936))</f>
        <v>-0.4028814154904925</v>
      </c>
      <c r="C936" s="13">
        <f t="shared" si="14"/>
        <v>0</v>
      </c>
    </row>
    <row r="937" spans="1:3" x14ac:dyDescent="0.25">
      <c r="A937" s="11">
        <v>0.93500000000000005</v>
      </c>
      <c r="B937" s="12">
        <f>(General_Model!$C$6/General_Model!$C$7)-1/(1+General_Model!$C$26/((1.2+0.2*(General_Model!$C$26/A937)+0.35*SQRT(9.80665*(General_Model!$C$4/1000))/A937)*A937))-(A937^2/(2*9.80665*General_Model!$C$7))*((4*(0.3164/((General_Model!$C$14*A937*(General_Model!$C$4/1000)/General_Model!$C$15)^0.25))*General_Model!$C$7/(General_Model!$C$4/1000)+1)+(4*(0.3164/((General_Model!$C$14*A937*(General_Model!$C$4/1000)/General_Model!$C$15)^0.25))*General_Model!$C$7/(General_Model!$C$4/1000)+2)*(General_Model!$C$26/A937))</f>
        <v>-0.4034239655363846</v>
      </c>
      <c r="C937" s="13">
        <f t="shared" si="14"/>
        <v>0</v>
      </c>
    </row>
    <row r="938" spans="1:3" x14ac:dyDescent="0.25">
      <c r="A938" s="11">
        <v>0.93600000000000005</v>
      </c>
      <c r="B938" s="12">
        <f>(General_Model!$C$6/General_Model!$C$7)-1/(1+General_Model!$C$26/((1.2+0.2*(General_Model!$C$26/A938)+0.35*SQRT(9.80665*(General_Model!$C$4/1000))/A938)*A938))-(A938^2/(2*9.80665*General_Model!$C$7))*((4*(0.3164/((General_Model!$C$14*A938*(General_Model!$C$4/1000)/General_Model!$C$15)^0.25))*General_Model!$C$7/(General_Model!$C$4/1000)+1)+(4*(0.3164/((General_Model!$C$14*A938*(General_Model!$C$4/1000)/General_Model!$C$15)^0.25))*General_Model!$C$7/(General_Model!$C$4/1000)+2)*(General_Model!$C$26/A938))</f>
        <v>-0.40396656922702534</v>
      </c>
      <c r="C938" s="13">
        <f t="shared" si="14"/>
        <v>0</v>
      </c>
    </row>
    <row r="939" spans="1:3" x14ac:dyDescent="0.25">
      <c r="A939" s="11">
        <v>0.93700000000000006</v>
      </c>
      <c r="B939" s="12">
        <f>(General_Model!$C$6/General_Model!$C$7)-1/(1+General_Model!$C$26/((1.2+0.2*(General_Model!$C$26/A939)+0.35*SQRT(9.80665*(General_Model!$C$4/1000))/A939)*A939))-(A939^2/(2*9.80665*General_Model!$C$7))*((4*(0.3164/((General_Model!$C$14*A939*(General_Model!$C$4/1000)/General_Model!$C$15)^0.25))*General_Model!$C$7/(General_Model!$C$4/1000)+1)+(4*(0.3164/((General_Model!$C$14*A939*(General_Model!$C$4/1000)/General_Model!$C$15)^0.25))*General_Model!$C$7/(General_Model!$C$4/1000)+2)*(General_Model!$C$26/A939))</f>
        <v>-0.40450922691029728</v>
      </c>
      <c r="C939" s="13">
        <f t="shared" si="14"/>
        <v>0</v>
      </c>
    </row>
    <row r="940" spans="1:3" x14ac:dyDescent="0.25">
      <c r="A940" s="11">
        <v>0.93800000000000006</v>
      </c>
      <c r="B940" s="12">
        <f>(General_Model!$C$6/General_Model!$C$7)-1/(1+General_Model!$C$26/((1.2+0.2*(General_Model!$C$26/A940)+0.35*SQRT(9.80665*(General_Model!$C$4/1000))/A940)*A940))-(A940^2/(2*9.80665*General_Model!$C$7))*((4*(0.3164/((General_Model!$C$14*A940*(General_Model!$C$4/1000)/General_Model!$C$15)^0.25))*General_Model!$C$7/(General_Model!$C$4/1000)+1)+(4*(0.3164/((General_Model!$C$14*A940*(General_Model!$C$4/1000)/General_Model!$C$15)^0.25))*General_Model!$C$7/(General_Model!$C$4/1000)+2)*(General_Model!$C$26/A940))</f>
        <v>-0.40505193893315367</v>
      </c>
      <c r="C940" s="13">
        <f t="shared" si="14"/>
        <v>0</v>
      </c>
    </row>
    <row r="941" spans="1:3" x14ac:dyDescent="0.25">
      <c r="A941" s="11">
        <v>0.93900000000000006</v>
      </c>
      <c r="B941" s="12">
        <f>(General_Model!$C$6/General_Model!$C$7)-1/(1+General_Model!$C$26/((1.2+0.2*(General_Model!$C$26/A941)+0.35*SQRT(9.80665*(General_Model!$C$4/1000))/A941)*A941))-(A941^2/(2*9.80665*General_Model!$C$7))*((4*(0.3164/((General_Model!$C$14*A941*(General_Model!$C$4/1000)/General_Model!$C$15)^0.25))*General_Model!$C$7/(General_Model!$C$4/1000)+1)+(4*(0.3164/((General_Model!$C$14*A941*(General_Model!$C$4/1000)/General_Model!$C$15)^0.25))*General_Model!$C$7/(General_Model!$C$4/1000)+2)*(General_Model!$C$26/A941))</f>
        <v>-0.4055947056416212</v>
      </c>
      <c r="C941" s="13">
        <f t="shared" si="14"/>
        <v>0</v>
      </c>
    </row>
    <row r="942" spans="1:3" x14ac:dyDescent="0.25">
      <c r="A942" s="11">
        <v>0.94000000000000006</v>
      </c>
      <c r="B942" s="12">
        <f>(General_Model!$C$6/General_Model!$C$7)-1/(1+General_Model!$C$26/((1.2+0.2*(General_Model!$C$26/A942)+0.35*SQRT(9.80665*(General_Model!$C$4/1000))/A942)*A942))-(A942^2/(2*9.80665*General_Model!$C$7))*((4*(0.3164/((General_Model!$C$14*A942*(General_Model!$C$4/1000)/General_Model!$C$15)^0.25))*General_Model!$C$7/(General_Model!$C$4/1000)+1)+(4*(0.3164/((General_Model!$C$14*A942*(General_Model!$C$4/1000)/General_Model!$C$15)^0.25))*General_Model!$C$7/(General_Model!$C$4/1000)+2)*(General_Model!$C$26/A942))</f>
        <v>-0.40613752738080283</v>
      </c>
      <c r="C942" s="13">
        <f t="shared" si="14"/>
        <v>0</v>
      </c>
    </row>
    <row r="943" spans="1:3" x14ac:dyDescent="0.25">
      <c r="A943" s="11">
        <v>0.94100000000000006</v>
      </c>
      <c r="B943" s="12">
        <f>(General_Model!$C$6/General_Model!$C$7)-1/(1+General_Model!$C$26/((1.2+0.2*(General_Model!$C$26/A943)+0.35*SQRT(9.80665*(General_Model!$C$4/1000))/A943)*A943))-(A943^2/(2*9.80665*General_Model!$C$7))*((4*(0.3164/((General_Model!$C$14*A943*(General_Model!$C$4/1000)/General_Model!$C$15)^0.25))*General_Model!$C$7/(General_Model!$C$4/1000)+1)+(4*(0.3164/((General_Model!$C$14*A943*(General_Model!$C$4/1000)/General_Model!$C$15)^0.25))*General_Model!$C$7/(General_Model!$C$4/1000)+2)*(General_Model!$C$26/A943))</f>
        <v>-0.40668040449488074</v>
      </c>
      <c r="C943" s="13">
        <f t="shared" si="14"/>
        <v>0</v>
      </c>
    </row>
    <row r="944" spans="1:3" x14ac:dyDescent="0.25">
      <c r="A944" s="11">
        <v>0.94200000000000006</v>
      </c>
      <c r="B944" s="12">
        <f>(General_Model!$C$6/General_Model!$C$7)-1/(1+General_Model!$C$26/((1.2+0.2*(General_Model!$C$26/A944)+0.35*SQRT(9.80665*(General_Model!$C$4/1000))/A944)*A944))-(A944^2/(2*9.80665*General_Model!$C$7))*((4*(0.3164/((General_Model!$C$14*A944*(General_Model!$C$4/1000)/General_Model!$C$15)^0.25))*General_Model!$C$7/(General_Model!$C$4/1000)+1)+(4*(0.3164/((General_Model!$C$14*A944*(General_Model!$C$4/1000)/General_Model!$C$15)^0.25))*General_Model!$C$7/(General_Model!$C$4/1000)+2)*(General_Model!$C$26/A944))</f>
        <v>-0.40722333732712035</v>
      </c>
      <c r="C944" s="13">
        <f t="shared" si="14"/>
        <v>0</v>
      </c>
    </row>
    <row r="945" spans="1:3" x14ac:dyDescent="0.25">
      <c r="A945" s="11">
        <v>0.94300000000000006</v>
      </c>
      <c r="B945" s="12">
        <f>(General_Model!$C$6/General_Model!$C$7)-1/(1+General_Model!$C$26/((1.2+0.2*(General_Model!$C$26/A945)+0.35*SQRT(9.80665*(General_Model!$C$4/1000))/A945)*A945))-(A945^2/(2*9.80665*General_Model!$C$7))*((4*(0.3164/((General_Model!$C$14*A945*(General_Model!$C$4/1000)/General_Model!$C$15)^0.25))*General_Model!$C$7/(General_Model!$C$4/1000)+1)+(4*(0.3164/((General_Model!$C$14*A945*(General_Model!$C$4/1000)/General_Model!$C$15)^0.25))*General_Model!$C$7/(General_Model!$C$4/1000)+2)*(General_Model!$C$26/A945))</f>
        <v>-0.40776632621987147</v>
      </c>
      <c r="C945" s="13">
        <f t="shared" si="14"/>
        <v>0</v>
      </c>
    </row>
    <row r="946" spans="1:3" x14ac:dyDescent="0.25">
      <c r="A946" s="11">
        <v>0.94400000000000006</v>
      </c>
      <c r="B946" s="12">
        <f>(General_Model!$C$6/General_Model!$C$7)-1/(1+General_Model!$C$26/((1.2+0.2*(General_Model!$C$26/A946)+0.35*SQRT(9.80665*(General_Model!$C$4/1000))/A946)*A946))-(A946^2/(2*9.80665*General_Model!$C$7))*((4*(0.3164/((General_Model!$C$14*A946*(General_Model!$C$4/1000)/General_Model!$C$15)^0.25))*General_Model!$C$7/(General_Model!$C$4/1000)+1)+(4*(0.3164/((General_Model!$C$14*A946*(General_Model!$C$4/1000)/General_Model!$C$15)^0.25))*General_Model!$C$7/(General_Model!$C$4/1000)+2)*(General_Model!$C$26/A946))</f>
        <v>-0.40830937151457269</v>
      </c>
      <c r="C946" s="13">
        <f t="shared" si="14"/>
        <v>0</v>
      </c>
    </row>
    <row r="947" spans="1:3" x14ac:dyDescent="0.25">
      <c r="A947" s="11">
        <v>0.94500000000000006</v>
      </c>
      <c r="B947" s="12">
        <f>(General_Model!$C$6/General_Model!$C$7)-1/(1+General_Model!$C$26/((1.2+0.2*(General_Model!$C$26/A947)+0.35*SQRT(9.80665*(General_Model!$C$4/1000))/A947)*A947))-(A947^2/(2*9.80665*General_Model!$C$7))*((4*(0.3164/((General_Model!$C$14*A947*(General_Model!$C$4/1000)/General_Model!$C$15)^0.25))*General_Model!$C$7/(General_Model!$C$4/1000)+1)+(4*(0.3164/((General_Model!$C$14*A947*(General_Model!$C$4/1000)/General_Model!$C$15)^0.25))*General_Model!$C$7/(General_Model!$C$4/1000)+2)*(General_Model!$C$26/A947))</f>
        <v>-0.40885247355175364</v>
      </c>
      <c r="C947" s="13">
        <f t="shared" si="14"/>
        <v>0</v>
      </c>
    </row>
    <row r="948" spans="1:3" x14ac:dyDescent="0.25">
      <c r="A948" s="11">
        <v>0.94600000000000006</v>
      </c>
      <c r="B948" s="12">
        <f>(General_Model!$C$6/General_Model!$C$7)-1/(1+General_Model!$C$26/((1.2+0.2*(General_Model!$C$26/A948)+0.35*SQRT(9.80665*(General_Model!$C$4/1000))/A948)*A948))-(A948^2/(2*9.80665*General_Model!$C$7))*((4*(0.3164/((General_Model!$C$14*A948*(General_Model!$C$4/1000)/General_Model!$C$15)^0.25))*General_Model!$C$7/(General_Model!$C$4/1000)+1)+(4*(0.3164/((General_Model!$C$14*A948*(General_Model!$C$4/1000)/General_Model!$C$15)^0.25))*General_Model!$C$7/(General_Model!$C$4/1000)+2)*(General_Model!$C$26/A948))</f>
        <v>-0.40939563267103801</v>
      </c>
      <c r="C948" s="13">
        <f t="shared" si="14"/>
        <v>0</v>
      </c>
    </row>
    <row r="949" spans="1:3" x14ac:dyDescent="0.25">
      <c r="A949" s="11">
        <v>0.94700000000000006</v>
      </c>
      <c r="B949" s="12">
        <f>(General_Model!$C$6/General_Model!$C$7)-1/(1+General_Model!$C$26/((1.2+0.2*(General_Model!$C$26/A949)+0.35*SQRT(9.80665*(General_Model!$C$4/1000))/A949)*A949))-(A949^2/(2*9.80665*General_Model!$C$7))*((4*(0.3164/((General_Model!$C$14*A949*(General_Model!$C$4/1000)/General_Model!$C$15)^0.25))*General_Model!$C$7/(General_Model!$C$4/1000)+1)+(4*(0.3164/((General_Model!$C$14*A949*(General_Model!$C$4/1000)/General_Model!$C$15)^0.25))*General_Model!$C$7/(General_Model!$C$4/1000)+2)*(General_Model!$C$26/A949))</f>
        <v>-0.40993884921114654</v>
      </c>
      <c r="C949" s="13">
        <f t="shared" si="14"/>
        <v>0</v>
      </c>
    </row>
    <row r="950" spans="1:3" x14ac:dyDescent="0.25">
      <c r="A950" s="11">
        <v>0.94800000000000006</v>
      </c>
      <c r="B950" s="12">
        <f>(General_Model!$C$6/General_Model!$C$7)-1/(1+General_Model!$C$26/((1.2+0.2*(General_Model!$C$26/A950)+0.35*SQRT(9.80665*(General_Model!$C$4/1000))/A950)*A950))-(A950^2/(2*9.80665*General_Model!$C$7))*((4*(0.3164/((General_Model!$C$14*A950*(General_Model!$C$4/1000)/General_Model!$C$15)^0.25))*General_Model!$C$7/(General_Model!$C$4/1000)+1)+(4*(0.3164/((General_Model!$C$14*A950*(General_Model!$C$4/1000)/General_Model!$C$15)^0.25))*General_Model!$C$7/(General_Model!$C$4/1000)+2)*(General_Model!$C$26/A950))</f>
        <v>-0.41048212350989982</v>
      </c>
      <c r="C950" s="13">
        <f t="shared" si="14"/>
        <v>0</v>
      </c>
    </row>
    <row r="951" spans="1:3" x14ac:dyDescent="0.25">
      <c r="A951" s="11">
        <v>0.94900000000000007</v>
      </c>
      <c r="B951" s="12">
        <f>(General_Model!$C$6/General_Model!$C$7)-1/(1+General_Model!$C$26/((1.2+0.2*(General_Model!$C$26/A951)+0.35*SQRT(9.80665*(General_Model!$C$4/1000))/A951)*A951))-(A951^2/(2*9.80665*General_Model!$C$7))*((4*(0.3164/((General_Model!$C$14*A951*(General_Model!$C$4/1000)/General_Model!$C$15)^0.25))*General_Model!$C$7/(General_Model!$C$4/1000)+1)+(4*(0.3164/((General_Model!$C$14*A951*(General_Model!$C$4/1000)/General_Model!$C$15)^0.25))*General_Model!$C$7/(General_Model!$C$4/1000)+2)*(General_Model!$C$26/A951))</f>
        <v>-0.41102545590422113</v>
      </c>
      <c r="C951" s="13">
        <f t="shared" si="14"/>
        <v>0</v>
      </c>
    </row>
    <row r="952" spans="1:3" x14ac:dyDescent="0.25">
      <c r="A952" s="11">
        <v>0.95000000000000007</v>
      </c>
      <c r="B952" s="12">
        <f>(General_Model!$C$6/General_Model!$C$7)-1/(1+General_Model!$C$26/((1.2+0.2*(General_Model!$C$26/A952)+0.35*SQRT(9.80665*(General_Model!$C$4/1000))/A952)*A952))-(A952^2/(2*9.80665*General_Model!$C$7))*((4*(0.3164/((General_Model!$C$14*A952*(General_Model!$C$4/1000)/General_Model!$C$15)^0.25))*General_Model!$C$7/(General_Model!$C$4/1000)+1)+(4*(0.3164/((General_Model!$C$14*A952*(General_Model!$C$4/1000)/General_Model!$C$15)^0.25))*General_Model!$C$7/(General_Model!$C$4/1000)+2)*(General_Model!$C$26/A952))</f>
        <v>-0.41156884673013988</v>
      </c>
      <c r="C952" s="13">
        <f t="shared" si="14"/>
        <v>0</v>
      </c>
    </row>
    <row r="953" spans="1:3" x14ac:dyDescent="0.25">
      <c r="A953" s="11">
        <v>0.95100000000000007</v>
      </c>
      <c r="B953" s="12">
        <f>(General_Model!$C$6/General_Model!$C$7)-1/(1+General_Model!$C$26/((1.2+0.2*(General_Model!$C$26/A953)+0.35*SQRT(9.80665*(General_Model!$C$4/1000))/A953)*A953))-(A953^2/(2*9.80665*General_Model!$C$7))*((4*(0.3164/((General_Model!$C$14*A953*(General_Model!$C$4/1000)/General_Model!$C$15)^0.25))*General_Model!$C$7/(General_Model!$C$4/1000)+1)+(4*(0.3164/((General_Model!$C$14*A953*(General_Model!$C$4/1000)/General_Model!$C$15)^0.25))*General_Model!$C$7/(General_Model!$C$4/1000)+2)*(General_Model!$C$26/A953))</f>
        <v>-0.41211229632279317</v>
      </c>
      <c r="C953" s="13">
        <f t="shared" si="14"/>
        <v>0</v>
      </c>
    </row>
    <row r="954" spans="1:3" x14ac:dyDescent="0.25">
      <c r="A954" s="11">
        <v>0.95200000000000007</v>
      </c>
      <c r="B954" s="12">
        <f>(General_Model!$C$6/General_Model!$C$7)-1/(1+General_Model!$C$26/((1.2+0.2*(General_Model!$C$26/A954)+0.35*SQRT(9.80665*(General_Model!$C$4/1000))/A954)*A954))-(A954^2/(2*9.80665*General_Model!$C$7))*((4*(0.3164/((General_Model!$C$14*A954*(General_Model!$C$4/1000)/General_Model!$C$15)^0.25))*General_Model!$C$7/(General_Model!$C$4/1000)+1)+(4*(0.3164/((General_Model!$C$14*A954*(General_Model!$C$4/1000)/General_Model!$C$15)^0.25))*General_Model!$C$7/(General_Model!$C$4/1000)+2)*(General_Model!$C$26/A954))</f>
        <v>-0.41265580501643007</v>
      </c>
      <c r="C954" s="13">
        <f t="shared" si="14"/>
        <v>0</v>
      </c>
    </row>
    <row r="955" spans="1:3" x14ac:dyDescent="0.25">
      <c r="A955" s="11">
        <v>0.95300000000000007</v>
      </c>
      <c r="B955" s="12">
        <f>(General_Model!$C$6/General_Model!$C$7)-1/(1+General_Model!$C$26/((1.2+0.2*(General_Model!$C$26/A955)+0.35*SQRT(9.80665*(General_Model!$C$4/1000))/A955)*A955))-(A955^2/(2*9.80665*General_Model!$C$7))*((4*(0.3164/((General_Model!$C$14*A955*(General_Model!$C$4/1000)/General_Model!$C$15)^0.25))*General_Model!$C$7/(General_Model!$C$4/1000)+1)+(4*(0.3164/((General_Model!$C$14*A955*(General_Model!$C$4/1000)/General_Model!$C$15)^0.25))*General_Model!$C$7/(General_Model!$C$4/1000)+2)*(General_Model!$C$26/A955))</f>
        <v>-0.41319937314441374</v>
      </c>
      <c r="C955" s="13">
        <f t="shared" si="14"/>
        <v>0</v>
      </c>
    </row>
    <row r="956" spans="1:3" x14ac:dyDescent="0.25">
      <c r="A956" s="11">
        <v>0.95400000000000007</v>
      </c>
      <c r="B956" s="12">
        <f>(General_Model!$C$6/General_Model!$C$7)-1/(1+General_Model!$C$26/((1.2+0.2*(General_Model!$C$26/A956)+0.35*SQRT(9.80665*(General_Model!$C$4/1000))/A956)*A956))-(A956^2/(2*9.80665*General_Model!$C$7))*((4*(0.3164/((General_Model!$C$14*A956*(General_Model!$C$4/1000)/General_Model!$C$15)^0.25))*General_Model!$C$7/(General_Model!$C$4/1000)+1)+(4*(0.3164/((General_Model!$C$14*A956*(General_Model!$C$4/1000)/General_Model!$C$15)^0.25))*General_Model!$C$7/(General_Model!$C$4/1000)+2)*(General_Model!$C$26/A956))</f>
        <v>-0.41374300103922396</v>
      </c>
      <c r="C956" s="13">
        <f t="shared" si="14"/>
        <v>0</v>
      </c>
    </row>
    <row r="957" spans="1:3" x14ac:dyDescent="0.25">
      <c r="A957" s="11">
        <v>0.95500000000000007</v>
      </c>
      <c r="B957" s="12">
        <f>(General_Model!$C$6/General_Model!$C$7)-1/(1+General_Model!$C$26/((1.2+0.2*(General_Model!$C$26/A957)+0.35*SQRT(9.80665*(General_Model!$C$4/1000))/A957)*A957))-(A957^2/(2*9.80665*General_Model!$C$7))*((4*(0.3164/((General_Model!$C$14*A957*(General_Model!$C$4/1000)/General_Model!$C$15)^0.25))*General_Model!$C$7/(General_Model!$C$4/1000)+1)+(4*(0.3164/((General_Model!$C$14*A957*(General_Model!$C$4/1000)/General_Model!$C$15)^0.25))*General_Model!$C$7/(General_Model!$C$4/1000)+2)*(General_Model!$C$26/A957))</f>
        <v>-0.41428668903246102</v>
      </c>
      <c r="C957" s="13">
        <f t="shared" si="14"/>
        <v>0</v>
      </c>
    </row>
    <row r="958" spans="1:3" x14ac:dyDescent="0.25">
      <c r="A958" s="11">
        <v>0.95600000000000007</v>
      </c>
      <c r="B958" s="12">
        <f>(General_Model!$C$6/General_Model!$C$7)-1/(1+General_Model!$C$26/((1.2+0.2*(General_Model!$C$26/A958)+0.35*SQRT(9.80665*(General_Model!$C$4/1000))/A958)*A958))-(A958^2/(2*9.80665*General_Model!$C$7))*((4*(0.3164/((General_Model!$C$14*A958*(General_Model!$C$4/1000)/General_Model!$C$15)^0.25))*General_Model!$C$7/(General_Model!$C$4/1000)+1)+(4*(0.3164/((General_Model!$C$14*A958*(General_Model!$C$4/1000)/General_Model!$C$15)^0.25))*General_Model!$C$7/(General_Model!$C$4/1000)+2)*(General_Model!$C$26/A958))</f>
        <v>-0.41483043745484716</v>
      </c>
      <c r="C958" s="13">
        <f t="shared" si="14"/>
        <v>0</v>
      </c>
    </row>
    <row r="959" spans="1:3" x14ac:dyDescent="0.25">
      <c r="A959" s="11">
        <v>0.95700000000000007</v>
      </c>
      <c r="B959" s="12">
        <f>(General_Model!$C$6/General_Model!$C$7)-1/(1+General_Model!$C$26/((1.2+0.2*(General_Model!$C$26/A959)+0.35*SQRT(9.80665*(General_Model!$C$4/1000))/A959)*A959))-(A959^2/(2*9.80665*General_Model!$C$7))*((4*(0.3164/((General_Model!$C$14*A959*(General_Model!$C$4/1000)/General_Model!$C$15)^0.25))*General_Model!$C$7/(General_Model!$C$4/1000)+1)+(4*(0.3164/((General_Model!$C$14*A959*(General_Model!$C$4/1000)/General_Model!$C$15)^0.25))*General_Model!$C$7/(General_Model!$C$4/1000)+2)*(General_Model!$C$26/A959))</f>
        <v>-0.41537424663623046</v>
      </c>
      <c r="C959" s="13">
        <f t="shared" si="14"/>
        <v>0</v>
      </c>
    </row>
    <row r="960" spans="1:3" x14ac:dyDescent="0.25">
      <c r="A960" s="11">
        <v>0.95800000000000007</v>
      </c>
      <c r="B960" s="12">
        <f>(General_Model!$C$6/General_Model!$C$7)-1/(1+General_Model!$C$26/((1.2+0.2*(General_Model!$C$26/A960)+0.35*SQRT(9.80665*(General_Model!$C$4/1000))/A960)*A960))-(A960^2/(2*9.80665*General_Model!$C$7))*((4*(0.3164/((General_Model!$C$14*A960*(General_Model!$C$4/1000)/General_Model!$C$15)^0.25))*General_Model!$C$7/(General_Model!$C$4/1000)+1)+(4*(0.3164/((General_Model!$C$14*A960*(General_Model!$C$4/1000)/General_Model!$C$15)^0.25))*General_Model!$C$7/(General_Model!$C$4/1000)+2)*(General_Model!$C$26/A960))</f>
        <v>-0.41591811690558678</v>
      </c>
      <c r="C960" s="13">
        <f t="shared" si="14"/>
        <v>0</v>
      </c>
    </row>
    <row r="961" spans="1:3" x14ac:dyDescent="0.25">
      <c r="A961" s="11">
        <v>0.95900000000000007</v>
      </c>
      <c r="B961" s="12">
        <f>(General_Model!$C$6/General_Model!$C$7)-1/(1+General_Model!$C$26/((1.2+0.2*(General_Model!$C$26/A961)+0.35*SQRT(9.80665*(General_Model!$C$4/1000))/A961)*A961))-(A961^2/(2*9.80665*General_Model!$C$7))*((4*(0.3164/((General_Model!$C$14*A961*(General_Model!$C$4/1000)/General_Model!$C$15)^0.25))*General_Model!$C$7/(General_Model!$C$4/1000)+1)+(4*(0.3164/((General_Model!$C$14*A961*(General_Model!$C$4/1000)/General_Model!$C$15)^0.25))*General_Model!$C$7/(General_Model!$C$4/1000)+2)*(General_Model!$C$26/A961))</f>
        <v>-0.41646204859102343</v>
      </c>
      <c r="C961" s="13">
        <f t="shared" si="14"/>
        <v>0</v>
      </c>
    </row>
    <row r="962" spans="1:3" x14ac:dyDescent="0.25">
      <c r="A962" s="11">
        <v>0.96000000000000008</v>
      </c>
      <c r="B962" s="12">
        <f>(General_Model!$C$6/General_Model!$C$7)-1/(1+General_Model!$C$26/((1.2+0.2*(General_Model!$C$26/A962)+0.35*SQRT(9.80665*(General_Model!$C$4/1000))/A962)*A962))-(A962^2/(2*9.80665*General_Model!$C$7))*((4*(0.3164/((General_Model!$C$14*A962*(General_Model!$C$4/1000)/General_Model!$C$15)^0.25))*General_Model!$C$7/(General_Model!$C$4/1000)+1)+(4*(0.3164/((General_Model!$C$14*A962*(General_Model!$C$4/1000)/General_Model!$C$15)^0.25))*General_Model!$C$7/(General_Model!$C$4/1000)+2)*(General_Model!$C$26/A962))</f>
        <v>-0.41700604201978131</v>
      </c>
      <c r="C962" s="13">
        <f t="shared" si="14"/>
        <v>0</v>
      </c>
    </row>
    <row r="963" spans="1:3" x14ac:dyDescent="0.25">
      <c r="A963" s="11">
        <v>0.96099999999999997</v>
      </c>
      <c r="B963" s="12">
        <f>(General_Model!$C$6/General_Model!$C$7)-1/(1+General_Model!$C$26/((1.2+0.2*(General_Model!$C$26/A963)+0.35*SQRT(9.80665*(General_Model!$C$4/1000))/A963)*A963))-(A963^2/(2*9.80665*General_Model!$C$7))*((4*(0.3164/((General_Model!$C$14*A963*(General_Model!$C$4/1000)/General_Model!$C$15)^0.25))*General_Model!$C$7/(General_Model!$C$4/1000)+1)+(4*(0.3164/((General_Model!$C$14*A963*(General_Model!$C$4/1000)/General_Model!$C$15)^0.25))*General_Model!$C$7/(General_Model!$C$4/1000)+2)*(General_Model!$C$26/A963))</f>
        <v>-0.41755009751823768</v>
      </c>
      <c r="C963" s="13">
        <f t="shared" ref="C963:C1026" si="15">IF(B963*B964&lt;=0,1,0)</f>
        <v>0</v>
      </c>
    </row>
    <row r="964" spans="1:3" x14ac:dyDescent="0.25">
      <c r="A964" s="11">
        <v>0.96199999999999997</v>
      </c>
      <c r="B964" s="12">
        <f>(General_Model!$C$6/General_Model!$C$7)-1/(1+General_Model!$C$26/((1.2+0.2*(General_Model!$C$26/A964)+0.35*SQRT(9.80665*(General_Model!$C$4/1000))/A964)*A964))-(A964^2/(2*9.80665*General_Model!$C$7))*((4*(0.3164/((General_Model!$C$14*A964*(General_Model!$C$4/1000)/General_Model!$C$15)^0.25))*General_Model!$C$7/(General_Model!$C$4/1000)+1)+(4*(0.3164/((General_Model!$C$14*A964*(General_Model!$C$4/1000)/General_Model!$C$15)^0.25))*General_Model!$C$7/(General_Model!$C$4/1000)+2)*(General_Model!$C$26/A964))</f>
        <v>-0.41809421541190916</v>
      </c>
      <c r="C964" s="13">
        <f t="shared" si="15"/>
        <v>0</v>
      </c>
    </row>
    <row r="965" spans="1:3" x14ac:dyDescent="0.25">
      <c r="A965" s="11">
        <v>0.96299999999999997</v>
      </c>
      <c r="B965" s="12">
        <f>(General_Model!$C$6/General_Model!$C$7)-1/(1+General_Model!$C$26/((1.2+0.2*(General_Model!$C$26/A965)+0.35*SQRT(9.80665*(General_Model!$C$4/1000))/A965)*A965))-(A965^2/(2*9.80665*General_Model!$C$7))*((4*(0.3164/((General_Model!$C$14*A965*(General_Model!$C$4/1000)/General_Model!$C$15)^0.25))*General_Model!$C$7/(General_Model!$C$4/1000)+1)+(4*(0.3164/((General_Model!$C$14*A965*(General_Model!$C$4/1000)/General_Model!$C$15)^0.25))*General_Model!$C$7/(General_Model!$C$4/1000)+2)*(General_Model!$C$26/A965))</f>
        <v>-0.41863839602545422</v>
      </c>
      <c r="C965" s="13">
        <f t="shared" si="15"/>
        <v>0</v>
      </c>
    </row>
    <row r="966" spans="1:3" x14ac:dyDescent="0.25">
      <c r="A966" s="11">
        <v>0.96399999999999997</v>
      </c>
      <c r="B966" s="12">
        <f>(General_Model!$C$6/General_Model!$C$7)-1/(1+General_Model!$C$26/((1.2+0.2*(General_Model!$C$26/A966)+0.35*SQRT(9.80665*(General_Model!$C$4/1000))/A966)*A966))-(A966^2/(2*9.80665*General_Model!$C$7))*((4*(0.3164/((General_Model!$C$14*A966*(General_Model!$C$4/1000)/General_Model!$C$15)^0.25))*General_Model!$C$7/(General_Model!$C$4/1000)+1)+(4*(0.3164/((General_Model!$C$14*A966*(General_Model!$C$4/1000)/General_Model!$C$15)^0.25))*General_Model!$C$7/(General_Model!$C$4/1000)+2)*(General_Model!$C$26/A966))</f>
        <v>-0.41918263968267599</v>
      </c>
      <c r="C966" s="13">
        <f t="shared" si="15"/>
        <v>0</v>
      </c>
    </row>
    <row r="967" spans="1:3" x14ac:dyDescent="0.25">
      <c r="A967" s="11">
        <v>0.96499999999999997</v>
      </c>
      <c r="B967" s="12">
        <f>(General_Model!$C$6/General_Model!$C$7)-1/(1+General_Model!$C$26/((1.2+0.2*(General_Model!$C$26/A967)+0.35*SQRT(9.80665*(General_Model!$C$4/1000))/A967)*A967))-(A967^2/(2*9.80665*General_Model!$C$7))*((4*(0.3164/((General_Model!$C$14*A967*(General_Model!$C$4/1000)/General_Model!$C$15)^0.25))*General_Model!$C$7/(General_Model!$C$4/1000)+1)+(4*(0.3164/((General_Model!$C$14*A967*(General_Model!$C$4/1000)/General_Model!$C$15)^0.25))*General_Model!$C$7/(General_Model!$C$4/1000)+2)*(General_Model!$C$26/A967))</f>
        <v>-0.41972694670652516</v>
      </c>
      <c r="C967" s="13">
        <f t="shared" si="15"/>
        <v>0</v>
      </c>
    </row>
    <row r="968" spans="1:3" x14ac:dyDescent="0.25">
      <c r="A968" s="11">
        <v>0.96599999999999997</v>
      </c>
      <c r="B968" s="12">
        <f>(General_Model!$C$6/General_Model!$C$7)-1/(1+General_Model!$C$26/((1.2+0.2*(General_Model!$C$26/A968)+0.35*SQRT(9.80665*(General_Model!$C$4/1000))/A968)*A968))-(A968^2/(2*9.80665*General_Model!$C$7))*((4*(0.3164/((General_Model!$C$14*A968*(General_Model!$C$4/1000)/General_Model!$C$15)^0.25))*General_Model!$C$7/(General_Model!$C$4/1000)+1)+(4*(0.3164/((General_Model!$C$14*A968*(General_Model!$C$4/1000)/General_Model!$C$15)^0.25))*General_Model!$C$7/(General_Model!$C$4/1000)+2)*(General_Model!$C$26/A968))</f>
        <v>-0.42027131741910234</v>
      </c>
      <c r="C968" s="13">
        <f t="shared" si="15"/>
        <v>0</v>
      </c>
    </row>
    <row r="969" spans="1:3" x14ac:dyDescent="0.25">
      <c r="A969" s="11">
        <v>0.96699999999999997</v>
      </c>
      <c r="B969" s="12">
        <f>(General_Model!$C$6/General_Model!$C$7)-1/(1+General_Model!$C$26/((1.2+0.2*(General_Model!$C$26/A969)+0.35*SQRT(9.80665*(General_Model!$C$4/1000))/A969)*A969))-(A969^2/(2*9.80665*General_Model!$C$7))*((4*(0.3164/((General_Model!$C$14*A969*(General_Model!$C$4/1000)/General_Model!$C$15)^0.25))*General_Model!$C$7/(General_Model!$C$4/1000)+1)+(4*(0.3164/((General_Model!$C$14*A969*(General_Model!$C$4/1000)/General_Model!$C$15)^0.25))*General_Model!$C$7/(General_Model!$C$4/1000)+2)*(General_Model!$C$26/A969))</f>
        <v>-0.42081575214166111</v>
      </c>
      <c r="C969" s="13">
        <f t="shared" si="15"/>
        <v>0</v>
      </c>
    </row>
    <row r="970" spans="1:3" x14ac:dyDescent="0.25">
      <c r="A970" s="11">
        <v>0.96799999999999997</v>
      </c>
      <c r="B970" s="12">
        <f>(General_Model!$C$6/General_Model!$C$7)-1/(1+General_Model!$C$26/((1.2+0.2*(General_Model!$C$26/A970)+0.35*SQRT(9.80665*(General_Model!$C$4/1000))/A970)*A970))-(A970^2/(2*9.80665*General_Model!$C$7))*((4*(0.3164/((General_Model!$C$14*A970*(General_Model!$C$4/1000)/General_Model!$C$15)^0.25))*General_Model!$C$7/(General_Model!$C$4/1000)+1)+(4*(0.3164/((General_Model!$C$14*A970*(General_Model!$C$4/1000)/General_Model!$C$15)^0.25))*General_Model!$C$7/(General_Model!$C$4/1000)+2)*(General_Model!$C$26/A970))</f>
        <v>-0.4213602511946104</v>
      </c>
      <c r="C970" s="13">
        <f t="shared" si="15"/>
        <v>0</v>
      </c>
    </row>
    <row r="971" spans="1:3" x14ac:dyDescent="0.25">
      <c r="A971" s="11">
        <v>0.96899999999999997</v>
      </c>
      <c r="B971" s="12">
        <f>(General_Model!$C$6/General_Model!$C$7)-1/(1+General_Model!$C$26/((1.2+0.2*(General_Model!$C$26/A971)+0.35*SQRT(9.80665*(General_Model!$C$4/1000))/A971)*A971))-(A971^2/(2*9.80665*General_Model!$C$7))*((4*(0.3164/((General_Model!$C$14*A971*(General_Model!$C$4/1000)/General_Model!$C$15)^0.25))*General_Model!$C$7/(General_Model!$C$4/1000)+1)+(4*(0.3164/((General_Model!$C$14*A971*(General_Model!$C$4/1000)/General_Model!$C$15)^0.25))*General_Model!$C$7/(General_Model!$C$4/1000)+2)*(General_Model!$C$26/A971))</f>
        <v>-0.42190481489751713</v>
      </c>
      <c r="C971" s="13">
        <f t="shared" si="15"/>
        <v>0</v>
      </c>
    </row>
    <row r="972" spans="1:3" x14ac:dyDescent="0.25">
      <c r="A972" s="11">
        <v>0.97</v>
      </c>
      <c r="B972" s="12">
        <f>(General_Model!$C$6/General_Model!$C$7)-1/(1+General_Model!$C$26/((1.2+0.2*(General_Model!$C$26/A972)+0.35*SQRT(9.80665*(General_Model!$C$4/1000))/A972)*A972))-(A972^2/(2*9.80665*General_Model!$C$7))*((4*(0.3164/((General_Model!$C$14*A972*(General_Model!$C$4/1000)/General_Model!$C$15)^0.25))*General_Model!$C$7/(General_Model!$C$4/1000)+1)+(4*(0.3164/((General_Model!$C$14*A972*(General_Model!$C$4/1000)/General_Model!$C$15)^0.25))*General_Model!$C$7/(General_Model!$C$4/1000)+2)*(General_Model!$C$26/A972))</f>
        <v>-0.42244944356910913</v>
      </c>
      <c r="C972" s="13">
        <f t="shared" si="15"/>
        <v>0</v>
      </c>
    </row>
    <row r="973" spans="1:3" x14ac:dyDescent="0.25">
      <c r="A973" s="11">
        <v>0.97099999999999997</v>
      </c>
      <c r="B973" s="12">
        <f>(General_Model!$C$6/General_Model!$C$7)-1/(1+General_Model!$C$26/((1.2+0.2*(General_Model!$C$26/A973)+0.35*SQRT(9.80665*(General_Model!$C$4/1000))/A973)*A973))-(A973^2/(2*9.80665*General_Model!$C$7))*((4*(0.3164/((General_Model!$C$14*A973*(General_Model!$C$4/1000)/General_Model!$C$15)^0.25))*General_Model!$C$7/(General_Model!$C$4/1000)+1)+(4*(0.3164/((General_Model!$C$14*A973*(General_Model!$C$4/1000)/General_Model!$C$15)^0.25))*General_Model!$C$7/(General_Model!$C$4/1000)+2)*(General_Model!$C$26/A973))</f>
        <v>-0.42299413752727771</v>
      </c>
      <c r="C973" s="13">
        <f t="shared" si="15"/>
        <v>0</v>
      </c>
    </row>
    <row r="974" spans="1:3" x14ac:dyDescent="0.25">
      <c r="A974" s="11">
        <v>0.97199999999999998</v>
      </c>
      <c r="B974" s="12">
        <f>(General_Model!$C$6/General_Model!$C$7)-1/(1+General_Model!$C$26/((1.2+0.2*(General_Model!$C$26/A974)+0.35*SQRT(9.80665*(General_Model!$C$4/1000))/A974)*A974))-(A974^2/(2*9.80665*General_Model!$C$7))*((4*(0.3164/((General_Model!$C$14*A974*(General_Model!$C$4/1000)/General_Model!$C$15)^0.25))*General_Model!$C$7/(General_Model!$C$4/1000)+1)+(4*(0.3164/((General_Model!$C$14*A974*(General_Model!$C$4/1000)/General_Model!$C$15)^0.25))*General_Model!$C$7/(General_Model!$C$4/1000)+2)*(General_Model!$C$26/A974))</f>
        <v>-0.42353889708908027</v>
      </c>
      <c r="C974" s="13">
        <f t="shared" si="15"/>
        <v>0</v>
      </c>
    </row>
    <row r="975" spans="1:3" x14ac:dyDescent="0.25">
      <c r="A975" s="11">
        <v>0.97299999999999998</v>
      </c>
      <c r="B975" s="12">
        <f>(General_Model!$C$6/General_Model!$C$7)-1/(1+General_Model!$C$26/((1.2+0.2*(General_Model!$C$26/A975)+0.35*SQRT(9.80665*(General_Model!$C$4/1000))/A975)*A975))-(A975^2/(2*9.80665*General_Model!$C$7))*((4*(0.3164/((General_Model!$C$14*A975*(General_Model!$C$4/1000)/General_Model!$C$15)^0.25))*General_Model!$C$7/(General_Model!$C$4/1000)+1)+(4*(0.3164/((General_Model!$C$14*A975*(General_Model!$C$4/1000)/General_Model!$C$15)^0.25))*General_Model!$C$7/(General_Model!$C$4/1000)+2)*(General_Model!$C$26/A975))</f>
        <v>-0.42408372257074278</v>
      </c>
      <c r="C975" s="13">
        <f t="shared" si="15"/>
        <v>0</v>
      </c>
    </row>
    <row r="976" spans="1:3" x14ac:dyDescent="0.25">
      <c r="A976" s="11">
        <v>0.97399999999999998</v>
      </c>
      <c r="B976" s="12">
        <f>(General_Model!$C$6/General_Model!$C$7)-1/(1+General_Model!$C$26/((1.2+0.2*(General_Model!$C$26/A976)+0.35*SQRT(9.80665*(General_Model!$C$4/1000))/A976)*A976))-(A976^2/(2*9.80665*General_Model!$C$7))*((4*(0.3164/((General_Model!$C$14*A976*(General_Model!$C$4/1000)/General_Model!$C$15)^0.25))*General_Model!$C$7/(General_Model!$C$4/1000)+1)+(4*(0.3164/((General_Model!$C$14*A976*(General_Model!$C$4/1000)/General_Model!$C$15)^0.25))*General_Model!$C$7/(General_Model!$C$4/1000)+2)*(General_Model!$C$26/A976))</f>
        <v>-0.42462861428766252</v>
      </c>
      <c r="C976" s="13">
        <f t="shared" si="15"/>
        <v>0</v>
      </c>
    </row>
    <row r="977" spans="1:3" x14ac:dyDescent="0.25">
      <c r="A977" s="11">
        <v>0.97499999999999998</v>
      </c>
      <c r="B977" s="12">
        <f>(General_Model!$C$6/General_Model!$C$7)-1/(1+General_Model!$C$26/((1.2+0.2*(General_Model!$C$26/A977)+0.35*SQRT(9.80665*(General_Model!$C$4/1000))/A977)*A977))-(A977^2/(2*9.80665*General_Model!$C$7))*((4*(0.3164/((General_Model!$C$14*A977*(General_Model!$C$4/1000)/General_Model!$C$15)^0.25))*General_Model!$C$7/(General_Model!$C$4/1000)+1)+(4*(0.3164/((General_Model!$C$14*A977*(General_Model!$C$4/1000)/General_Model!$C$15)^0.25))*General_Model!$C$7/(General_Model!$C$4/1000)+2)*(General_Model!$C$26/A977))</f>
        <v>-0.42517357255441107</v>
      </c>
      <c r="C977" s="13">
        <f t="shared" si="15"/>
        <v>0</v>
      </c>
    </row>
    <row r="978" spans="1:3" x14ac:dyDescent="0.25">
      <c r="A978" s="11">
        <v>0.97599999999999998</v>
      </c>
      <c r="B978" s="12">
        <f>(General_Model!$C$6/General_Model!$C$7)-1/(1+General_Model!$C$26/((1.2+0.2*(General_Model!$C$26/A978)+0.35*SQRT(9.80665*(General_Model!$C$4/1000))/A978)*A978))-(A978^2/(2*9.80665*General_Model!$C$7))*((4*(0.3164/((General_Model!$C$14*A978*(General_Model!$C$4/1000)/General_Model!$C$15)^0.25))*General_Model!$C$7/(General_Model!$C$4/1000)+1)+(4*(0.3164/((General_Model!$C$14*A978*(General_Model!$C$4/1000)/General_Model!$C$15)^0.25))*General_Model!$C$7/(General_Model!$C$4/1000)+2)*(General_Model!$C$26/A978))</f>
        <v>-0.42571859768473608</v>
      </c>
      <c r="C978" s="13">
        <f t="shared" si="15"/>
        <v>0</v>
      </c>
    </row>
    <row r="979" spans="1:3" x14ac:dyDescent="0.25">
      <c r="A979" s="11">
        <v>0.97699999999999998</v>
      </c>
      <c r="B979" s="12">
        <f>(General_Model!$C$6/General_Model!$C$7)-1/(1+General_Model!$C$26/((1.2+0.2*(General_Model!$C$26/A979)+0.35*SQRT(9.80665*(General_Model!$C$4/1000))/A979)*A979))-(A979^2/(2*9.80665*General_Model!$C$7))*((4*(0.3164/((General_Model!$C$14*A979*(General_Model!$C$4/1000)/General_Model!$C$15)^0.25))*General_Model!$C$7/(General_Model!$C$4/1000)+1)+(4*(0.3164/((General_Model!$C$14*A979*(General_Model!$C$4/1000)/General_Model!$C$15)^0.25))*General_Model!$C$7/(General_Model!$C$4/1000)+2)*(General_Model!$C$26/A979))</f>
        <v>-0.42626368999156466</v>
      </c>
      <c r="C979" s="13">
        <f t="shared" si="15"/>
        <v>0</v>
      </c>
    </row>
    <row r="980" spans="1:3" x14ac:dyDescent="0.25">
      <c r="A980" s="11">
        <v>0.97799999999999998</v>
      </c>
      <c r="B980" s="12">
        <f>(General_Model!$C$6/General_Model!$C$7)-1/(1+General_Model!$C$26/((1.2+0.2*(General_Model!$C$26/A980)+0.35*SQRT(9.80665*(General_Model!$C$4/1000))/A980)*A980))-(A980^2/(2*9.80665*General_Model!$C$7))*((4*(0.3164/((General_Model!$C$14*A980*(General_Model!$C$4/1000)/General_Model!$C$15)^0.25))*General_Model!$C$7/(General_Model!$C$4/1000)+1)+(4*(0.3164/((General_Model!$C$14*A980*(General_Model!$C$4/1000)/General_Model!$C$15)^0.25))*General_Model!$C$7/(General_Model!$C$4/1000)+2)*(General_Model!$C$26/A980))</f>
        <v>-0.42680884978700528</v>
      </c>
      <c r="C980" s="13">
        <f t="shared" si="15"/>
        <v>0</v>
      </c>
    </row>
    <row r="981" spans="1:3" x14ac:dyDescent="0.25">
      <c r="A981" s="11">
        <v>0.97899999999999998</v>
      </c>
      <c r="B981" s="12">
        <f>(General_Model!$C$6/General_Model!$C$7)-1/(1+General_Model!$C$26/((1.2+0.2*(General_Model!$C$26/A981)+0.35*SQRT(9.80665*(General_Model!$C$4/1000))/A981)*A981))-(A981^2/(2*9.80665*General_Model!$C$7))*((4*(0.3164/((General_Model!$C$14*A981*(General_Model!$C$4/1000)/General_Model!$C$15)^0.25))*General_Model!$C$7/(General_Model!$C$4/1000)+1)+(4*(0.3164/((General_Model!$C$14*A981*(General_Model!$C$4/1000)/General_Model!$C$15)^0.25))*General_Model!$C$7/(General_Model!$C$4/1000)+2)*(General_Model!$C$26/A981))</f>
        <v>-0.42735407738235087</v>
      </c>
      <c r="C981" s="13">
        <f t="shared" si="15"/>
        <v>0</v>
      </c>
    </row>
    <row r="982" spans="1:3" x14ac:dyDescent="0.25">
      <c r="A982" s="11">
        <v>0.98</v>
      </c>
      <c r="B982" s="12">
        <f>(General_Model!$C$6/General_Model!$C$7)-1/(1+General_Model!$C$26/((1.2+0.2*(General_Model!$C$26/A982)+0.35*SQRT(9.80665*(General_Model!$C$4/1000))/A982)*A982))-(A982^2/(2*9.80665*General_Model!$C$7))*((4*(0.3164/((General_Model!$C$14*A982*(General_Model!$C$4/1000)/General_Model!$C$15)^0.25))*General_Model!$C$7/(General_Model!$C$4/1000)+1)+(4*(0.3164/((General_Model!$C$14*A982*(General_Model!$C$4/1000)/General_Model!$C$15)^0.25))*General_Model!$C$7/(General_Model!$C$4/1000)+2)*(General_Model!$C$26/A982))</f>
        <v>-0.42789937308808135</v>
      </c>
      <c r="C982" s="13">
        <f t="shared" si="15"/>
        <v>0</v>
      </c>
    </row>
    <row r="983" spans="1:3" x14ac:dyDescent="0.25">
      <c r="A983" s="11">
        <v>0.98099999999999998</v>
      </c>
      <c r="B983" s="12">
        <f>(General_Model!$C$6/General_Model!$C$7)-1/(1+General_Model!$C$26/((1.2+0.2*(General_Model!$C$26/A983)+0.35*SQRT(9.80665*(General_Model!$C$4/1000))/A983)*A983))-(A983^2/(2*9.80665*General_Model!$C$7))*((4*(0.3164/((General_Model!$C$14*A983*(General_Model!$C$4/1000)/General_Model!$C$15)^0.25))*General_Model!$C$7/(General_Model!$C$4/1000)+1)+(4*(0.3164/((General_Model!$C$14*A983*(General_Model!$C$4/1000)/General_Model!$C$15)^0.25))*General_Model!$C$7/(General_Model!$C$4/1000)+2)*(General_Model!$C$26/A983))</f>
        <v>-0.42844473721386594</v>
      </c>
      <c r="C983" s="13">
        <f t="shared" si="15"/>
        <v>0</v>
      </c>
    </row>
    <row r="984" spans="1:3" x14ac:dyDescent="0.25">
      <c r="A984" s="11">
        <v>0.98199999999999998</v>
      </c>
      <c r="B984" s="12">
        <f>(General_Model!$C$6/General_Model!$C$7)-1/(1+General_Model!$C$26/((1.2+0.2*(General_Model!$C$26/A984)+0.35*SQRT(9.80665*(General_Model!$C$4/1000))/A984)*A984))-(A984^2/(2*9.80665*General_Model!$C$7))*((4*(0.3164/((General_Model!$C$14*A984*(General_Model!$C$4/1000)/General_Model!$C$15)^0.25))*General_Model!$C$7/(General_Model!$C$4/1000)+1)+(4*(0.3164/((General_Model!$C$14*A984*(General_Model!$C$4/1000)/General_Model!$C$15)^0.25))*General_Model!$C$7/(General_Model!$C$4/1000)+2)*(General_Model!$C$26/A984))</f>
        <v>-0.42899017006856555</v>
      </c>
      <c r="C984" s="13">
        <f t="shared" si="15"/>
        <v>0</v>
      </c>
    </row>
    <row r="985" spans="1:3" x14ac:dyDescent="0.25">
      <c r="A985" s="11">
        <v>0.98299999999999998</v>
      </c>
      <c r="B985" s="12">
        <f>(General_Model!$C$6/General_Model!$C$7)-1/(1+General_Model!$C$26/((1.2+0.2*(General_Model!$C$26/A985)+0.35*SQRT(9.80665*(General_Model!$C$4/1000))/A985)*A985))-(A985^2/(2*9.80665*General_Model!$C$7))*((4*(0.3164/((General_Model!$C$14*A985*(General_Model!$C$4/1000)/General_Model!$C$15)^0.25))*General_Model!$C$7/(General_Model!$C$4/1000)+1)+(4*(0.3164/((General_Model!$C$14*A985*(General_Model!$C$4/1000)/General_Model!$C$15)^0.25))*General_Model!$C$7/(General_Model!$C$4/1000)+2)*(General_Model!$C$26/A985))</f>
        <v>-0.4295356719602359</v>
      </c>
      <c r="C985" s="13">
        <f t="shared" si="15"/>
        <v>0</v>
      </c>
    </row>
    <row r="986" spans="1:3" x14ac:dyDescent="0.25">
      <c r="A986" s="11">
        <v>0.98399999999999999</v>
      </c>
      <c r="B986" s="12">
        <f>(General_Model!$C$6/General_Model!$C$7)-1/(1+General_Model!$C$26/((1.2+0.2*(General_Model!$C$26/A986)+0.35*SQRT(9.80665*(General_Model!$C$4/1000))/A986)*A986))-(A986^2/(2*9.80665*General_Model!$C$7))*((4*(0.3164/((General_Model!$C$14*A986*(General_Model!$C$4/1000)/General_Model!$C$15)^0.25))*General_Model!$C$7/(General_Model!$C$4/1000)+1)+(4*(0.3164/((General_Model!$C$14*A986*(General_Model!$C$4/1000)/General_Model!$C$15)^0.25))*General_Model!$C$7/(General_Model!$C$4/1000)+2)*(General_Model!$C$26/A986))</f>
        <v>-0.43008124319612939</v>
      </c>
      <c r="C986" s="13">
        <f t="shared" si="15"/>
        <v>0</v>
      </c>
    </row>
    <row r="987" spans="1:3" x14ac:dyDescent="0.25">
      <c r="A987" s="11">
        <v>0.98499999999999999</v>
      </c>
      <c r="B987" s="12">
        <f>(General_Model!$C$6/General_Model!$C$7)-1/(1+General_Model!$C$26/((1.2+0.2*(General_Model!$C$26/A987)+0.35*SQRT(9.80665*(General_Model!$C$4/1000))/A987)*A987))-(A987^2/(2*9.80665*General_Model!$C$7))*((4*(0.3164/((General_Model!$C$14*A987*(General_Model!$C$4/1000)/General_Model!$C$15)^0.25))*General_Model!$C$7/(General_Model!$C$4/1000)+1)+(4*(0.3164/((General_Model!$C$14*A987*(General_Model!$C$4/1000)/General_Model!$C$15)^0.25))*General_Model!$C$7/(General_Model!$C$4/1000)+2)*(General_Model!$C$26/A987))</f>
        <v>-0.43062688408269828</v>
      </c>
      <c r="C987" s="13">
        <f t="shared" si="15"/>
        <v>0</v>
      </c>
    </row>
    <row r="988" spans="1:3" x14ac:dyDescent="0.25">
      <c r="A988" s="11">
        <v>0.98599999999999999</v>
      </c>
      <c r="B988" s="12">
        <f>(General_Model!$C$6/General_Model!$C$7)-1/(1+General_Model!$C$26/((1.2+0.2*(General_Model!$C$26/A988)+0.35*SQRT(9.80665*(General_Model!$C$4/1000))/A988)*A988))-(A988^2/(2*9.80665*General_Model!$C$7))*((4*(0.3164/((General_Model!$C$14*A988*(General_Model!$C$4/1000)/General_Model!$C$15)^0.25))*General_Model!$C$7/(General_Model!$C$4/1000)+1)+(4*(0.3164/((General_Model!$C$14*A988*(General_Model!$C$4/1000)/General_Model!$C$15)^0.25))*General_Model!$C$7/(General_Model!$C$4/1000)+2)*(General_Model!$C$26/A988))</f>
        <v>-0.43117259492559629</v>
      </c>
      <c r="C988" s="13">
        <f t="shared" si="15"/>
        <v>0</v>
      </c>
    </row>
    <row r="989" spans="1:3" x14ac:dyDescent="0.25">
      <c r="A989" s="11">
        <v>0.98699999999999999</v>
      </c>
      <c r="B989" s="12">
        <f>(General_Model!$C$6/General_Model!$C$7)-1/(1+General_Model!$C$26/((1.2+0.2*(General_Model!$C$26/A989)+0.35*SQRT(9.80665*(General_Model!$C$4/1000))/A989)*A989))-(A989^2/(2*9.80665*General_Model!$C$7))*((4*(0.3164/((General_Model!$C$14*A989*(General_Model!$C$4/1000)/General_Model!$C$15)^0.25))*General_Model!$C$7/(General_Model!$C$4/1000)+1)+(4*(0.3164/((General_Model!$C$14*A989*(General_Model!$C$4/1000)/General_Model!$C$15)^0.25))*General_Model!$C$7/(General_Model!$C$4/1000)+2)*(General_Model!$C$26/A989))</f>
        <v>-0.43171837602968249</v>
      </c>
      <c r="C989" s="13">
        <f t="shared" si="15"/>
        <v>0</v>
      </c>
    </row>
    <row r="990" spans="1:3" x14ac:dyDescent="0.25">
      <c r="A990" s="11">
        <v>0.98799999999999999</v>
      </c>
      <c r="B990" s="12">
        <f>(General_Model!$C$6/General_Model!$C$7)-1/(1+General_Model!$C$26/((1.2+0.2*(General_Model!$C$26/A990)+0.35*SQRT(9.80665*(General_Model!$C$4/1000))/A990)*A990))-(A990^2/(2*9.80665*General_Model!$C$7))*((4*(0.3164/((General_Model!$C$14*A990*(General_Model!$C$4/1000)/General_Model!$C$15)^0.25))*General_Model!$C$7/(General_Model!$C$4/1000)+1)+(4*(0.3164/((General_Model!$C$14*A990*(General_Model!$C$4/1000)/General_Model!$C$15)^0.25))*General_Model!$C$7/(General_Model!$C$4/1000)+2)*(General_Model!$C$26/A990))</f>
        <v>-0.43226422769902184</v>
      </c>
      <c r="C990" s="13">
        <f t="shared" si="15"/>
        <v>0</v>
      </c>
    </row>
    <row r="991" spans="1:3" x14ac:dyDescent="0.25">
      <c r="A991" s="11">
        <v>0.98899999999999999</v>
      </c>
      <c r="B991" s="12">
        <f>(General_Model!$C$6/General_Model!$C$7)-1/(1+General_Model!$C$26/((1.2+0.2*(General_Model!$C$26/A991)+0.35*SQRT(9.80665*(General_Model!$C$4/1000))/A991)*A991))-(A991^2/(2*9.80665*General_Model!$C$7))*((4*(0.3164/((General_Model!$C$14*A991*(General_Model!$C$4/1000)/General_Model!$C$15)^0.25))*General_Model!$C$7/(General_Model!$C$4/1000)+1)+(4*(0.3164/((General_Model!$C$14*A991*(General_Model!$C$4/1000)/General_Model!$C$15)^0.25))*General_Model!$C$7/(General_Model!$C$4/1000)+2)*(General_Model!$C$26/A991))</f>
        <v>-0.43281015023688979</v>
      </c>
      <c r="C991" s="13">
        <f t="shared" si="15"/>
        <v>0</v>
      </c>
    </row>
    <row r="992" spans="1:3" x14ac:dyDescent="0.25">
      <c r="A992" s="11">
        <v>0.99</v>
      </c>
      <c r="B992" s="12">
        <f>(General_Model!$C$6/General_Model!$C$7)-1/(1+General_Model!$C$26/((1.2+0.2*(General_Model!$C$26/A992)+0.35*SQRT(9.80665*(General_Model!$C$4/1000))/A992)*A992))-(A992^2/(2*9.80665*General_Model!$C$7))*((4*(0.3164/((General_Model!$C$14*A992*(General_Model!$C$4/1000)/General_Model!$C$15)^0.25))*General_Model!$C$7/(General_Model!$C$4/1000)+1)+(4*(0.3164/((General_Model!$C$14*A992*(General_Model!$C$4/1000)/General_Model!$C$15)^0.25))*General_Model!$C$7/(General_Model!$C$4/1000)+2)*(General_Model!$C$26/A992))</f>
        <v>-0.43335614394577293</v>
      </c>
      <c r="C992" s="13">
        <f t="shared" si="15"/>
        <v>0</v>
      </c>
    </row>
    <row r="993" spans="1:3" x14ac:dyDescent="0.25">
      <c r="A993" s="11">
        <v>0.99099999999999999</v>
      </c>
      <c r="B993" s="12">
        <f>(General_Model!$C$6/General_Model!$C$7)-1/(1+General_Model!$C$26/((1.2+0.2*(General_Model!$C$26/A993)+0.35*SQRT(9.80665*(General_Model!$C$4/1000))/A993)*A993))-(A993^2/(2*9.80665*General_Model!$C$7))*((4*(0.3164/((General_Model!$C$14*A993*(General_Model!$C$4/1000)/General_Model!$C$15)^0.25))*General_Model!$C$7/(General_Model!$C$4/1000)+1)+(4*(0.3164/((General_Model!$C$14*A993*(General_Model!$C$4/1000)/General_Model!$C$15)^0.25))*General_Model!$C$7/(General_Model!$C$4/1000)+2)*(General_Model!$C$26/A993))</f>
        <v>-0.43390220912737271</v>
      </c>
      <c r="C993" s="13">
        <f t="shared" si="15"/>
        <v>0</v>
      </c>
    </row>
    <row r="994" spans="1:3" x14ac:dyDescent="0.25">
      <c r="A994" s="11">
        <v>0.99199999999999999</v>
      </c>
      <c r="B994" s="12">
        <f>(General_Model!$C$6/General_Model!$C$7)-1/(1+General_Model!$C$26/((1.2+0.2*(General_Model!$C$26/A994)+0.35*SQRT(9.80665*(General_Model!$C$4/1000))/A994)*A994))-(A994^2/(2*9.80665*General_Model!$C$7))*((4*(0.3164/((General_Model!$C$14*A994*(General_Model!$C$4/1000)/General_Model!$C$15)^0.25))*General_Model!$C$7/(General_Model!$C$4/1000)+1)+(4*(0.3164/((General_Model!$C$14*A994*(General_Model!$C$4/1000)/General_Model!$C$15)^0.25))*General_Model!$C$7/(General_Model!$C$4/1000)+2)*(General_Model!$C$26/A994))</f>
        <v>-0.43444834608260707</v>
      </c>
      <c r="C994" s="13">
        <f t="shared" si="15"/>
        <v>0</v>
      </c>
    </row>
    <row r="995" spans="1:3" x14ac:dyDescent="0.25">
      <c r="A995" s="11">
        <v>0.99299999999999999</v>
      </c>
      <c r="B995" s="12">
        <f>(General_Model!$C$6/General_Model!$C$7)-1/(1+General_Model!$C$26/((1.2+0.2*(General_Model!$C$26/A995)+0.35*SQRT(9.80665*(General_Model!$C$4/1000))/A995)*A995))-(A995^2/(2*9.80665*General_Model!$C$7))*((4*(0.3164/((General_Model!$C$14*A995*(General_Model!$C$4/1000)/General_Model!$C$15)^0.25))*General_Model!$C$7/(General_Model!$C$4/1000)+1)+(4*(0.3164/((General_Model!$C$14*A995*(General_Model!$C$4/1000)/General_Model!$C$15)^0.25))*General_Model!$C$7/(General_Model!$C$4/1000)+2)*(General_Model!$C$26/A995))</f>
        <v>-0.43499455511161395</v>
      </c>
      <c r="C995" s="13">
        <f t="shared" si="15"/>
        <v>0</v>
      </c>
    </row>
    <row r="996" spans="1:3" x14ac:dyDescent="0.25">
      <c r="A996" s="11">
        <v>0.99399999999999999</v>
      </c>
      <c r="B996" s="12">
        <f>(General_Model!$C$6/General_Model!$C$7)-1/(1+General_Model!$C$26/((1.2+0.2*(General_Model!$C$26/A996)+0.35*SQRT(9.80665*(General_Model!$C$4/1000))/A996)*A996))-(A996^2/(2*9.80665*General_Model!$C$7))*((4*(0.3164/((General_Model!$C$14*A996*(General_Model!$C$4/1000)/General_Model!$C$15)^0.25))*General_Model!$C$7/(General_Model!$C$4/1000)+1)+(4*(0.3164/((General_Model!$C$14*A996*(General_Model!$C$4/1000)/General_Model!$C$15)^0.25))*General_Model!$C$7/(General_Model!$C$4/1000)+2)*(General_Model!$C$26/A996))</f>
        <v>-0.43554083651375203</v>
      </c>
      <c r="C996" s="13">
        <f t="shared" si="15"/>
        <v>0</v>
      </c>
    </row>
    <row r="997" spans="1:3" x14ac:dyDescent="0.25">
      <c r="A997" s="11">
        <v>0.995</v>
      </c>
      <c r="B997" s="12">
        <f>(General_Model!$C$6/General_Model!$C$7)-1/(1+General_Model!$C$26/((1.2+0.2*(General_Model!$C$26/A997)+0.35*SQRT(9.80665*(General_Model!$C$4/1000))/A997)*A997))-(A997^2/(2*9.80665*General_Model!$C$7))*((4*(0.3164/((General_Model!$C$14*A997*(General_Model!$C$4/1000)/General_Model!$C$15)^0.25))*General_Model!$C$7/(General_Model!$C$4/1000)+1)+(4*(0.3164/((General_Model!$C$14*A997*(General_Model!$C$4/1000)/General_Model!$C$15)^0.25))*General_Model!$C$7/(General_Model!$C$4/1000)+2)*(General_Model!$C$26/A997))</f>
        <v>-0.4360871905876047</v>
      </c>
      <c r="C997" s="13">
        <f t="shared" si="15"/>
        <v>0</v>
      </c>
    </row>
    <row r="998" spans="1:3" x14ac:dyDescent="0.25">
      <c r="A998" s="11">
        <v>0.996</v>
      </c>
      <c r="B998" s="12">
        <f>(General_Model!$C$6/General_Model!$C$7)-1/(1+General_Model!$C$26/((1.2+0.2*(General_Model!$C$26/A998)+0.35*SQRT(9.80665*(General_Model!$C$4/1000))/A998)*A998))-(A998^2/(2*9.80665*General_Model!$C$7))*((4*(0.3164/((General_Model!$C$14*A998*(General_Model!$C$4/1000)/General_Model!$C$15)^0.25))*General_Model!$C$7/(General_Model!$C$4/1000)+1)+(4*(0.3164/((General_Model!$C$14*A998*(General_Model!$C$4/1000)/General_Model!$C$15)^0.25))*General_Model!$C$7/(General_Model!$C$4/1000)+2)*(General_Model!$C$26/A998))</f>
        <v>-0.43663361763098169</v>
      </c>
      <c r="C998" s="13">
        <f t="shared" si="15"/>
        <v>0</v>
      </c>
    </row>
    <row r="999" spans="1:3" x14ac:dyDescent="0.25">
      <c r="A999" s="11">
        <v>0.997</v>
      </c>
      <c r="B999" s="12">
        <f>(General_Model!$C$6/General_Model!$C$7)-1/(1+General_Model!$C$26/((1.2+0.2*(General_Model!$C$26/A999)+0.35*SQRT(9.80665*(General_Model!$C$4/1000))/A999)*A999))-(A999^2/(2*9.80665*General_Model!$C$7))*((4*(0.3164/((General_Model!$C$14*A999*(General_Model!$C$4/1000)/General_Model!$C$15)^0.25))*General_Model!$C$7/(General_Model!$C$4/1000)+1)+(4*(0.3164/((General_Model!$C$14*A999*(General_Model!$C$4/1000)/General_Model!$C$15)^0.25))*General_Model!$C$7/(General_Model!$C$4/1000)+2)*(General_Model!$C$26/A999))</f>
        <v>-0.43718011794092193</v>
      </c>
      <c r="C999" s="13">
        <f t="shared" si="15"/>
        <v>0</v>
      </c>
    </row>
    <row r="1000" spans="1:3" x14ac:dyDescent="0.25">
      <c r="A1000" s="11">
        <v>0.998</v>
      </c>
      <c r="B1000" s="12">
        <f>(General_Model!$C$6/General_Model!$C$7)-1/(1+General_Model!$C$26/((1.2+0.2*(General_Model!$C$26/A1000)+0.35*SQRT(9.80665*(General_Model!$C$4/1000))/A1000)*A1000))-(A1000^2/(2*9.80665*General_Model!$C$7))*((4*(0.3164/((General_Model!$C$14*A1000*(General_Model!$C$4/1000)/General_Model!$C$15)^0.25))*General_Model!$C$7/(General_Model!$C$4/1000)+1)+(4*(0.3164/((General_Model!$C$14*A1000*(General_Model!$C$4/1000)/General_Model!$C$15)^0.25))*General_Model!$C$7/(General_Model!$C$4/1000)+2)*(General_Model!$C$26/A1000))</f>
        <v>-0.43772669181369533</v>
      </c>
      <c r="C1000" s="13">
        <f t="shared" si="15"/>
        <v>0</v>
      </c>
    </row>
    <row r="1001" spans="1:3" x14ac:dyDescent="0.25">
      <c r="A1001" s="11">
        <v>0.999</v>
      </c>
      <c r="B1001" s="12">
        <f>(General_Model!$C$6/General_Model!$C$7)-1/(1+General_Model!$C$26/((1.2+0.2*(General_Model!$C$26/A1001)+0.35*SQRT(9.80665*(General_Model!$C$4/1000))/A1001)*A1001))-(A1001^2/(2*9.80665*General_Model!$C$7))*((4*(0.3164/((General_Model!$C$14*A1001*(General_Model!$C$4/1000)/General_Model!$C$15)^0.25))*General_Model!$C$7/(General_Model!$C$4/1000)+1)+(4*(0.3164/((General_Model!$C$14*A1001*(General_Model!$C$4/1000)/General_Model!$C$15)^0.25))*General_Model!$C$7/(General_Model!$C$4/1000)+2)*(General_Model!$C$26/A1001))</f>
        <v>-0.4382733395448058</v>
      </c>
      <c r="C1001" s="13">
        <f t="shared" si="15"/>
        <v>0</v>
      </c>
    </row>
    <row r="1002" spans="1:3" x14ac:dyDescent="0.25">
      <c r="A1002" s="11">
        <v>1</v>
      </c>
      <c r="B1002" s="12">
        <f>(General_Model!$C$6/General_Model!$C$7)-1/(1+General_Model!$C$26/((1.2+0.2*(General_Model!$C$26/A1002)+0.35*SQRT(9.80665*(General_Model!$C$4/1000))/A1002)*A1002))-(A1002^2/(2*9.80665*General_Model!$C$7))*((4*(0.3164/((General_Model!$C$14*A1002*(General_Model!$C$4/1000)/General_Model!$C$15)^0.25))*General_Model!$C$7/(General_Model!$C$4/1000)+1)+(4*(0.3164/((General_Model!$C$14*A1002*(General_Model!$C$4/1000)/General_Model!$C$15)^0.25))*General_Model!$C$7/(General_Model!$C$4/1000)+2)*(General_Model!$C$26/A1002))</f>
        <v>-0.43882006142899299</v>
      </c>
      <c r="C1002" s="13"/>
    </row>
  </sheetData>
  <autoFilter ref="A2:C1002" xr:uid="{00000000-0009-0000-0000-000001000000}"/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8.7109375" customWidth="1"/>
    <col min="2" max="2" width="27.7109375" customWidth="1"/>
    <col min="3" max="3" width="22.7109375" customWidth="1"/>
  </cols>
  <sheetData>
    <row r="1" spans="1:3" ht="18.75" x14ac:dyDescent="0.25">
      <c r="A1" s="15" t="s">
        <v>52</v>
      </c>
      <c r="B1" s="15"/>
      <c r="C1" s="15"/>
    </row>
    <row r="2" spans="1:3" x14ac:dyDescent="0.25">
      <c r="A2" s="10" t="s">
        <v>49</v>
      </c>
      <c r="B2" s="10" t="s">
        <v>50</v>
      </c>
      <c r="C2" s="10" t="s">
        <v>51</v>
      </c>
    </row>
    <row r="3" spans="1:3" x14ac:dyDescent="0.25">
      <c r="A3" s="11">
        <v>1E-3</v>
      </c>
      <c r="B3" s="12">
        <f>(General_Model!$D$6/General_Model!$D$7)-1/(1+General_Model!$D$26/((1.2+0.2*(General_Model!$D$26/A3)+0.35*SQRT(9.80665*(General_Model!$D$4/1000))/A3)*A3))-(A3^2/(2*9.80665*General_Model!$D$7))*((4*(0.3164/((General_Model!$D$14*A3*(General_Model!$D$4/1000)/General_Model!$D$15)^0.25))*General_Model!$D$7/(General_Model!$D$4/1000)+1)+(4*(0.3164/((General_Model!$D$14*A3*(General_Model!$D$4/1000)/General_Model!$D$15)^0.25))*General_Model!$D$7/(General_Model!$D$4/1000)+2)*(General_Model!$D$26/A3))</f>
        <v>0.20052308686560816</v>
      </c>
      <c r="C3" s="13">
        <f t="shared" ref="C3:C66" si="0">IF(B3*B4&lt;=0,1,0)</f>
        <v>0</v>
      </c>
    </row>
    <row r="4" spans="1:3" x14ac:dyDescent="0.25">
      <c r="A4" s="11">
        <v>2E-3</v>
      </c>
      <c r="B4" s="12">
        <f>(General_Model!$D$6/General_Model!$D$7)-1/(1+General_Model!$D$26/((1.2+0.2*(General_Model!$D$26/A4)+0.35*SQRT(9.80665*(General_Model!$D$4/1000))/A4)*A4))-(A4^2/(2*9.80665*General_Model!$D$7))*((4*(0.3164/((General_Model!$D$14*A4*(General_Model!$D$4/1000)/General_Model!$D$15)^0.25))*General_Model!$D$7/(General_Model!$D$4/1000)+1)+(4*(0.3164/((General_Model!$D$14*A4*(General_Model!$D$4/1000)/General_Model!$D$15)^0.25))*General_Model!$D$7/(General_Model!$D$4/1000)+2)*(General_Model!$D$26/A4))</f>
        <v>0.19953196328060704</v>
      </c>
      <c r="C4" s="13">
        <f t="shared" si="0"/>
        <v>0</v>
      </c>
    </row>
    <row r="5" spans="1:3" x14ac:dyDescent="0.25">
      <c r="A5" s="11">
        <v>3.0000000000000001E-3</v>
      </c>
      <c r="B5" s="12">
        <f>(General_Model!$D$6/General_Model!$D$7)-1/(1+General_Model!$D$26/((1.2+0.2*(General_Model!$D$26/A5)+0.35*SQRT(9.80665*(General_Model!$D$4/1000))/A5)*A5))-(A5^2/(2*9.80665*General_Model!$D$7))*((4*(0.3164/((General_Model!$D$14*A5*(General_Model!$D$4/1000)/General_Model!$D$15)^0.25))*General_Model!$D$7/(General_Model!$D$4/1000)+1)+(4*(0.3164/((General_Model!$D$14*A5*(General_Model!$D$4/1000)/General_Model!$D$15)^0.25))*General_Model!$D$7/(General_Model!$D$4/1000)+2)*(General_Model!$D$26/A5))</f>
        <v>0.19856174630514281</v>
      </c>
      <c r="C5" s="13">
        <f t="shared" si="0"/>
        <v>0</v>
      </c>
    </row>
    <row r="6" spans="1:3" x14ac:dyDescent="0.25">
      <c r="A6" s="11">
        <v>4.0000000000000001E-3</v>
      </c>
      <c r="B6" s="12">
        <f>(General_Model!$D$6/General_Model!$D$7)-1/(1+General_Model!$D$26/((1.2+0.2*(General_Model!$D$26/A6)+0.35*SQRT(9.80665*(General_Model!$D$4/1000))/A6)*A6))-(A6^2/(2*9.80665*General_Model!$D$7))*((4*(0.3164/((General_Model!$D$14*A6*(General_Model!$D$4/1000)/General_Model!$D$15)^0.25))*General_Model!$D$7/(General_Model!$D$4/1000)+1)+(4*(0.3164/((General_Model!$D$14*A6*(General_Model!$D$4/1000)/General_Model!$D$15)^0.25))*General_Model!$D$7/(General_Model!$D$4/1000)+2)*(General_Model!$D$26/A6))</f>
        <v>0.19760430269458121</v>
      </c>
      <c r="C6" s="13">
        <f t="shared" si="0"/>
        <v>0</v>
      </c>
    </row>
    <row r="7" spans="1:3" x14ac:dyDescent="0.25">
      <c r="A7" s="11">
        <v>5.0000000000000001E-3</v>
      </c>
      <c r="B7" s="12">
        <f>(General_Model!$D$6/General_Model!$D$7)-1/(1+General_Model!$D$26/((1.2+0.2*(General_Model!$D$26/A7)+0.35*SQRT(9.80665*(General_Model!$D$4/1000))/A7)*A7))-(A7^2/(2*9.80665*General_Model!$D$7))*((4*(0.3164/((General_Model!$D$14*A7*(General_Model!$D$4/1000)/General_Model!$D$15)^0.25))*General_Model!$D$7/(General_Model!$D$4/1000)+1)+(4*(0.3164/((General_Model!$D$14*A7*(General_Model!$D$4/1000)/General_Model!$D$15)^0.25))*General_Model!$D$7/(General_Model!$D$4/1000)+2)*(General_Model!$D$26/A7))</f>
        <v>0.19665614580361587</v>
      </c>
      <c r="C7" s="13">
        <f t="shared" si="0"/>
        <v>0</v>
      </c>
    </row>
    <row r="8" spans="1:3" x14ac:dyDescent="0.25">
      <c r="A8" s="11">
        <v>6.0000000000000001E-3</v>
      </c>
      <c r="B8" s="12">
        <f>(General_Model!$D$6/General_Model!$D$7)-1/(1+General_Model!$D$26/((1.2+0.2*(General_Model!$D$26/A8)+0.35*SQRT(9.80665*(General_Model!$D$4/1000))/A8)*A8))-(A8^2/(2*9.80665*General_Model!$D$7))*((4*(0.3164/((General_Model!$D$14*A8*(General_Model!$D$4/1000)/General_Model!$D$15)^0.25))*General_Model!$D$7/(General_Model!$D$4/1000)+1)+(4*(0.3164/((General_Model!$D$14*A8*(General_Model!$D$4/1000)/General_Model!$D$15)^0.25))*General_Model!$D$7/(General_Model!$D$4/1000)+2)*(General_Model!$D$26/A8))</f>
        <v>0.19571536035599807</v>
      </c>
      <c r="C8" s="13">
        <f t="shared" si="0"/>
        <v>0</v>
      </c>
    </row>
    <row r="9" spans="1:3" x14ac:dyDescent="0.25">
      <c r="A9" s="11">
        <v>7.0000000000000001E-3</v>
      </c>
      <c r="B9" s="12">
        <f>(General_Model!$D$6/General_Model!$D$7)-1/(1+General_Model!$D$26/((1.2+0.2*(General_Model!$D$26/A9)+0.35*SQRT(9.80665*(General_Model!$D$4/1000))/A9)*A9))-(A9^2/(2*9.80665*General_Model!$D$7))*((4*(0.3164/((General_Model!$D$14*A9*(General_Model!$D$4/1000)/General_Model!$D$15)^0.25))*General_Model!$D$7/(General_Model!$D$4/1000)+1)+(4*(0.3164/((General_Model!$D$14*A9*(General_Model!$D$4/1000)/General_Model!$D$15)^0.25))*General_Model!$D$7/(General_Model!$D$4/1000)+2)*(General_Model!$D$26/A9))</f>
        <v>0.19478074651423397</v>
      </c>
      <c r="C9" s="13">
        <f t="shared" si="0"/>
        <v>0</v>
      </c>
    </row>
    <row r="10" spans="1:3" x14ac:dyDescent="0.25">
      <c r="A10" s="11">
        <v>8.0000000000000002E-3</v>
      </c>
      <c r="B10" s="12">
        <f>(General_Model!$D$6/General_Model!$D$7)-1/(1+General_Model!$D$26/((1.2+0.2*(General_Model!$D$26/A10)+0.35*SQRT(9.80665*(General_Model!$D$4/1000))/A10)*A10))-(A10^2/(2*9.80665*General_Model!$D$7))*((4*(0.3164/((General_Model!$D$14*A10*(General_Model!$D$4/1000)/General_Model!$D$15)^0.25))*General_Model!$D$7/(General_Model!$D$4/1000)+1)+(4*(0.3164/((General_Model!$D$14*A10*(General_Model!$D$4/1000)/General_Model!$D$15)^0.25))*General_Model!$D$7/(General_Model!$D$4/1000)+2)*(General_Model!$D$26/A10))</f>
        <v>0.19385148742757477</v>
      </c>
      <c r="C10" s="13">
        <f t="shared" si="0"/>
        <v>0</v>
      </c>
    </row>
    <row r="11" spans="1:3" x14ac:dyDescent="0.25">
      <c r="A11" s="11">
        <v>9.0000000000000011E-3</v>
      </c>
      <c r="B11" s="12">
        <f>(General_Model!$D$6/General_Model!$D$7)-1/(1+General_Model!$D$26/((1.2+0.2*(General_Model!$D$26/A11)+0.35*SQRT(9.80665*(General_Model!$D$4/1000))/A11)*A11))-(A11^2/(2*9.80665*General_Model!$D$7))*((4*(0.3164/((General_Model!$D$14*A11*(General_Model!$D$4/1000)/General_Model!$D$15)^0.25))*General_Model!$D$7/(General_Model!$D$4/1000)+1)+(4*(0.3164/((General_Model!$D$14*A11*(General_Model!$D$4/1000)/General_Model!$D$15)^0.25))*General_Model!$D$7/(General_Model!$D$4/1000)+2)*(General_Model!$D$26/A11))</f>
        <v>0.19292699382690412</v>
      </c>
      <c r="C11" s="13">
        <f t="shared" si="0"/>
        <v>0</v>
      </c>
    </row>
    <row r="12" spans="1:3" x14ac:dyDescent="0.25">
      <c r="A12" s="11">
        <v>0.01</v>
      </c>
      <c r="B12" s="12">
        <f>(General_Model!$D$6/General_Model!$D$7)-1/(1+General_Model!$D$26/((1.2+0.2*(General_Model!$D$26/A12)+0.35*SQRT(9.80665*(General_Model!$D$4/1000))/A12)*A12))-(A12^2/(2*9.80665*General_Model!$D$7))*((4*(0.3164/((General_Model!$D$14*A12*(General_Model!$D$4/1000)/General_Model!$D$15)^0.25))*General_Model!$D$7/(General_Model!$D$4/1000)+1)+(4*(0.3164/((General_Model!$D$14*A12*(General_Model!$D$4/1000)/General_Model!$D$15)^0.25))*General_Model!$D$7/(General_Model!$D$4/1000)+2)*(General_Model!$D$26/A12))</f>
        <v>0.19200682200869298</v>
      </c>
      <c r="C12" s="13">
        <f t="shared" si="0"/>
        <v>0</v>
      </c>
    </row>
    <row r="13" spans="1:3" x14ac:dyDescent="0.25">
      <c r="A13" s="11">
        <v>1.0999999999999999E-2</v>
      </c>
      <c r="B13" s="12">
        <f>(General_Model!$D$6/General_Model!$D$7)-1/(1+General_Model!$D$26/((1.2+0.2*(General_Model!$D$26/A13)+0.35*SQRT(9.80665*(General_Model!$D$4/1000))/A13)*A13))-(A13^2/(2*9.80665*General_Model!$D$7))*((4*(0.3164/((General_Model!$D$14*A13*(General_Model!$D$4/1000)/General_Model!$D$15)^0.25))*General_Model!$D$7/(General_Model!$D$4/1000)+1)+(4*(0.3164/((General_Model!$D$14*A13*(General_Model!$D$4/1000)/General_Model!$D$15)^0.25))*General_Model!$D$7/(General_Model!$D$4/1000)+2)*(General_Model!$D$26/A13))</f>
        <v>0.19109062663441911</v>
      </c>
      <c r="C13" s="13">
        <f t="shared" si="0"/>
        <v>0</v>
      </c>
    </row>
    <row r="14" spans="1:3" x14ac:dyDescent="0.25">
      <c r="A14" s="11">
        <v>1.2E-2</v>
      </c>
      <c r="B14" s="12">
        <f>(General_Model!$D$6/General_Model!$D$7)-1/(1+General_Model!$D$26/((1.2+0.2*(General_Model!$D$26/A14)+0.35*SQRT(9.80665*(General_Model!$D$4/1000))/A14)*A14))-(A14^2/(2*9.80665*General_Model!$D$7))*((4*(0.3164/((General_Model!$D$14*A14*(General_Model!$D$4/1000)/General_Model!$D$15)^0.25))*General_Model!$D$7/(General_Model!$D$4/1000)+1)+(4*(0.3164/((General_Model!$D$14*A14*(General_Model!$D$4/1000)/General_Model!$D$15)^0.25))*General_Model!$D$7/(General_Model!$D$4/1000)+2)*(General_Model!$D$26/A14))</f>
        <v>0.19017813173376677</v>
      </c>
      <c r="C14" s="13">
        <f t="shared" si="0"/>
        <v>0</v>
      </c>
    </row>
    <row r="15" spans="1:3" x14ac:dyDescent="0.25">
      <c r="A15" s="11">
        <v>1.2999999999999999E-2</v>
      </c>
      <c r="B15" s="12">
        <f>(General_Model!$D$6/General_Model!$D$7)-1/(1+General_Model!$D$26/((1.2+0.2*(General_Model!$D$26/A15)+0.35*SQRT(9.80665*(General_Model!$D$4/1000))/A15)*A15))-(A15^2/(2*9.80665*General_Model!$D$7))*((4*(0.3164/((General_Model!$D$14*A15*(General_Model!$D$4/1000)/General_Model!$D$15)^0.25))*General_Model!$D$7/(General_Model!$D$4/1000)+1)+(4*(0.3164/((General_Model!$D$14*A15*(General_Model!$D$4/1000)/General_Model!$D$15)^0.25))*General_Model!$D$7/(General_Model!$D$4/1000)+2)*(General_Model!$D$26/A15))</f>
        <v>0.18926911195638585</v>
      </c>
      <c r="C15" s="13">
        <f t="shared" si="0"/>
        <v>0</v>
      </c>
    </row>
    <row r="16" spans="1:3" x14ac:dyDescent="0.25">
      <c r="A16" s="11">
        <v>1.4E-2</v>
      </c>
      <c r="B16" s="12">
        <f>(General_Model!$D$6/General_Model!$D$7)-1/(1+General_Model!$D$26/((1.2+0.2*(General_Model!$D$26/A16)+0.35*SQRT(9.80665*(General_Model!$D$4/1000))/A16)*A16))-(A16^2/(2*9.80665*General_Model!$D$7))*((4*(0.3164/((General_Model!$D$14*A16*(General_Model!$D$4/1000)/General_Model!$D$15)^0.25))*General_Model!$D$7/(General_Model!$D$4/1000)+1)+(4*(0.3164/((General_Model!$D$14*A16*(General_Model!$D$4/1000)/General_Model!$D$15)^0.25))*General_Model!$D$7/(General_Model!$D$4/1000)+2)*(General_Model!$D$26/A16))</f>
        <v>0.18836337993997282</v>
      </c>
      <c r="C16" s="13">
        <f t="shared" si="0"/>
        <v>0</v>
      </c>
    </row>
    <row r="17" spans="1:3" x14ac:dyDescent="0.25">
      <c r="A17" s="11">
        <v>1.4999999999999999E-2</v>
      </c>
      <c r="B17" s="12">
        <f>(General_Model!$D$6/General_Model!$D$7)-1/(1+General_Model!$D$26/((1.2+0.2*(General_Model!$D$26/A17)+0.35*SQRT(9.80665*(General_Model!$D$4/1000))/A17)*A17))-(A17^2/(2*9.80665*General_Model!$D$7))*((4*(0.3164/((General_Model!$D$14*A17*(General_Model!$D$4/1000)/General_Model!$D$15)^0.25))*General_Model!$D$7/(General_Model!$D$4/1000)+1)+(4*(0.3164/((General_Model!$D$14*A17*(General_Model!$D$4/1000)/General_Model!$D$15)^0.25))*General_Model!$D$7/(General_Model!$D$4/1000)+2)*(General_Model!$D$26/A17))</f>
        <v>0.18746077750528492</v>
      </c>
      <c r="C17" s="13">
        <f t="shared" si="0"/>
        <v>0</v>
      </c>
    </row>
    <row r="18" spans="1:3" x14ac:dyDescent="0.25">
      <c r="A18" s="11">
        <v>1.6E-2</v>
      </c>
      <c r="B18" s="12">
        <f>(General_Model!$D$6/General_Model!$D$7)-1/(1+General_Model!$D$26/((1.2+0.2*(General_Model!$D$26/A18)+0.35*SQRT(9.80665*(General_Model!$D$4/1000))/A18)*A18))-(A18^2/(2*9.80665*General_Model!$D$7))*((4*(0.3164/((General_Model!$D$14*A18*(General_Model!$D$4/1000)/General_Model!$D$15)^0.25))*General_Model!$D$7/(General_Model!$D$4/1000)+1)+(4*(0.3164/((General_Model!$D$14*A18*(General_Model!$D$4/1000)/General_Model!$D$15)^0.25))*General_Model!$D$7/(General_Model!$D$4/1000)+2)*(General_Model!$D$26/A18))</f>
        <v>0.18656116934126632</v>
      </c>
      <c r="C18" s="13">
        <f t="shared" si="0"/>
        <v>0</v>
      </c>
    </row>
    <row r="19" spans="1:3" x14ac:dyDescent="0.25">
      <c r="A19" s="11">
        <v>1.7000000000000001E-2</v>
      </c>
      <c r="B19" s="12">
        <f>(General_Model!$D$6/General_Model!$D$7)-1/(1+General_Model!$D$26/((1.2+0.2*(General_Model!$D$26/A19)+0.35*SQRT(9.80665*(General_Model!$D$4/1000))/A19)*A19))-(A19^2/(2*9.80665*General_Model!$D$7))*((4*(0.3164/((General_Model!$D$14*A19*(General_Model!$D$4/1000)/General_Model!$D$15)^0.25))*General_Model!$D$7/(General_Model!$D$4/1000)+1)+(4*(0.3164/((General_Model!$D$14*A19*(General_Model!$D$4/1000)/General_Model!$D$15)^0.25))*General_Model!$D$7/(General_Model!$D$4/1000)+2)*(General_Model!$D$26/A19))</f>
        <v>0.185664438364817</v>
      </c>
      <c r="C19" s="13">
        <f t="shared" si="0"/>
        <v>0</v>
      </c>
    </row>
    <row r="20" spans="1:3" x14ac:dyDescent="0.25">
      <c r="A20" s="11">
        <v>1.7999999999999999E-2</v>
      </c>
      <c r="B20" s="12">
        <f>(General_Model!$D$6/General_Model!$D$7)-1/(1+General_Model!$D$26/((1.2+0.2*(General_Model!$D$26/A20)+0.35*SQRT(9.80665*(General_Model!$D$4/1000))/A20)*A20))-(A20^2/(2*9.80665*General_Model!$D$7))*((4*(0.3164/((General_Model!$D$14*A20*(General_Model!$D$4/1000)/General_Model!$D$15)^0.25))*General_Model!$D$7/(General_Model!$D$4/1000)+1)+(4*(0.3164/((General_Model!$D$14*A20*(General_Model!$D$4/1000)/General_Model!$D$15)^0.25))*General_Model!$D$7/(General_Model!$D$4/1000)+2)*(General_Model!$D$26/A20))</f>
        <v>0.18477048223901149</v>
      </c>
      <c r="C20" s="13">
        <f t="shared" si="0"/>
        <v>0</v>
      </c>
    </row>
    <row r="21" spans="1:3" x14ac:dyDescent="0.25">
      <c r="A21" s="11">
        <v>1.9E-2</v>
      </c>
      <c r="B21" s="12">
        <f>(General_Model!$D$6/General_Model!$D$7)-1/(1+General_Model!$D$26/((1.2+0.2*(General_Model!$D$26/A21)+0.35*SQRT(9.80665*(General_Model!$D$4/1000))/A21)*A21))-(A21^2/(2*9.80665*General_Model!$D$7))*((4*(0.3164/((General_Model!$D$14*A21*(General_Model!$D$4/1000)/General_Model!$D$15)^0.25))*General_Model!$D$7/(General_Model!$D$4/1000)+1)+(4*(0.3164/((General_Model!$D$14*A21*(General_Model!$D$4/1000)/General_Model!$D$15)^0.25))*General_Model!$D$7/(General_Model!$D$4/1000)+2)*(General_Model!$D$26/A21))</f>
        <v>0.18387921071249039</v>
      </c>
      <c r="C21" s="13">
        <f t="shared" si="0"/>
        <v>0</v>
      </c>
    </row>
    <row r="22" spans="1:3" x14ac:dyDescent="0.25">
      <c r="A22" s="11">
        <v>0.02</v>
      </c>
      <c r="B22" s="12">
        <f>(General_Model!$D$6/General_Model!$D$7)-1/(1+General_Model!$D$26/((1.2+0.2*(General_Model!$D$26/A22)+0.35*SQRT(9.80665*(General_Model!$D$4/1000))/A22)*A22))-(A22^2/(2*9.80665*General_Model!$D$7))*((4*(0.3164/((General_Model!$D$14*A22*(General_Model!$D$4/1000)/General_Model!$D$15)^0.25))*General_Model!$D$7/(General_Model!$D$4/1000)+1)+(4*(0.3164/((General_Model!$D$14*A22*(General_Model!$D$4/1000)/General_Model!$D$15)^0.25))*General_Model!$D$7/(General_Model!$D$4/1000)+2)*(General_Model!$D$26/A22))</f>
        <v>0.18299054355349695</v>
      </c>
      <c r="C22" s="13">
        <f t="shared" si="0"/>
        <v>0</v>
      </c>
    </row>
    <row r="23" spans="1:3" x14ac:dyDescent="0.25">
      <c r="A23" s="11">
        <v>2.1000000000000001E-2</v>
      </c>
      <c r="B23" s="12">
        <f>(General_Model!$D$6/General_Model!$D$7)-1/(1+General_Model!$D$26/((1.2+0.2*(General_Model!$D$26/A23)+0.35*SQRT(9.80665*(General_Model!$D$4/1000))/A23)*A23))-(A23^2/(2*9.80665*General_Model!$D$7))*((4*(0.3164/((General_Model!$D$14*A23*(General_Model!$D$4/1000)/General_Model!$D$15)^0.25))*General_Model!$D$7/(General_Model!$D$4/1000)+1)+(4*(0.3164/((General_Model!$D$14*A23*(General_Model!$D$4/1000)/General_Model!$D$15)^0.25))*General_Model!$D$7/(General_Model!$D$4/1000)+2)*(General_Model!$D$26/A23))</f>
        <v>0.18210440892269406</v>
      </c>
      <c r="C23" s="13">
        <f t="shared" si="0"/>
        <v>0</v>
      </c>
    </row>
    <row r="24" spans="1:3" x14ac:dyDescent="0.25">
      <c r="A24" s="11">
        <v>2.1999999999999999E-2</v>
      </c>
      <c r="B24" s="12">
        <f>(General_Model!$D$6/General_Model!$D$7)-1/(1+General_Model!$D$26/((1.2+0.2*(General_Model!$D$26/A24)+0.35*SQRT(9.80665*(General_Model!$D$4/1000))/A24)*A24))-(A24^2/(2*9.80665*General_Model!$D$7))*((4*(0.3164/((General_Model!$D$14*A24*(General_Model!$D$4/1000)/General_Model!$D$15)^0.25))*General_Model!$D$7/(General_Model!$D$4/1000)+1)+(4*(0.3164/((General_Model!$D$14*A24*(General_Model!$D$4/1000)/General_Model!$D$15)^0.25))*General_Model!$D$7/(General_Model!$D$4/1000)+2)*(General_Model!$D$26/A24))</f>
        <v>0.18122074207521197</v>
      </c>
      <c r="C24" s="13">
        <f t="shared" si="0"/>
        <v>0</v>
      </c>
    </row>
    <row r="25" spans="1:3" x14ac:dyDescent="0.25">
      <c r="A25" s="11">
        <v>2.3E-2</v>
      </c>
      <c r="B25" s="12">
        <f>(General_Model!$D$6/General_Model!$D$7)-1/(1+General_Model!$D$26/((1.2+0.2*(General_Model!$D$26/A25)+0.35*SQRT(9.80665*(General_Model!$D$4/1000))/A25)*A25))-(A25^2/(2*9.80665*General_Model!$D$7))*((4*(0.3164/((General_Model!$D$14*A25*(General_Model!$D$4/1000)/General_Model!$D$15)^0.25))*General_Model!$D$7/(General_Model!$D$4/1000)+1)+(4*(0.3164/((General_Model!$D$14*A25*(General_Model!$D$4/1000)/General_Model!$D$15)^0.25))*General_Model!$D$7/(General_Model!$D$4/1000)+2)*(General_Model!$D$26/A25))</f>
        <v>0.18033948431344946</v>
      </c>
      <c r="C25" s="13">
        <f t="shared" si="0"/>
        <v>0</v>
      </c>
    </row>
    <row r="26" spans="1:3" x14ac:dyDescent="0.25">
      <c r="A26" s="11">
        <v>2.4E-2</v>
      </c>
      <c r="B26" s="12">
        <f>(General_Model!$D$6/General_Model!$D$7)-1/(1+General_Model!$D$26/((1.2+0.2*(General_Model!$D$26/A26)+0.35*SQRT(9.80665*(General_Model!$D$4/1000))/A26)*A26))-(A26^2/(2*9.80665*General_Model!$D$7))*((4*(0.3164/((General_Model!$D$14*A26*(General_Model!$D$4/1000)/General_Model!$D$15)^0.25))*General_Model!$D$7/(General_Model!$D$4/1000)+1)+(4*(0.3164/((General_Model!$D$14*A26*(General_Model!$D$4/1000)/General_Model!$D$15)^0.25))*General_Model!$D$7/(General_Model!$D$4/1000)+2)*(General_Model!$D$26/A26))</f>
        <v>0.17946058213344149</v>
      </c>
      <c r="C26" s="13">
        <f t="shared" si="0"/>
        <v>0</v>
      </c>
    </row>
    <row r="27" spans="1:3" x14ac:dyDescent="0.25">
      <c r="A27" s="11">
        <v>2.5000000000000001E-2</v>
      </c>
      <c r="B27" s="12">
        <f>(General_Model!$D$6/General_Model!$D$7)-1/(1+General_Model!$D$26/((1.2+0.2*(General_Model!$D$26/A27)+0.35*SQRT(9.80665*(General_Model!$D$4/1000))/A27)*A27))-(A27^2/(2*9.80665*General_Model!$D$7))*((4*(0.3164/((General_Model!$D$14*A27*(General_Model!$D$4/1000)/General_Model!$D$15)^0.25))*General_Model!$D$7/(General_Model!$D$4/1000)+1)+(4*(0.3164/((General_Model!$D$14*A27*(General_Model!$D$4/1000)/General_Model!$D$15)^0.25))*General_Model!$D$7/(General_Model!$D$4/1000)+2)*(General_Model!$D$26/A27))</f>
        <v>0.17858398652248517</v>
      </c>
      <c r="C27" s="13">
        <f t="shared" si="0"/>
        <v>0</v>
      </c>
    </row>
    <row r="28" spans="1:3" x14ac:dyDescent="0.25">
      <c r="A28" s="11">
        <v>2.5999999999999999E-2</v>
      </c>
      <c r="B28" s="12">
        <f>(General_Model!$D$6/General_Model!$D$7)-1/(1+General_Model!$D$26/((1.2+0.2*(General_Model!$D$26/A28)+0.35*SQRT(9.80665*(General_Model!$D$4/1000))/A28)*A28))-(A28^2/(2*9.80665*General_Model!$D$7))*((4*(0.3164/((General_Model!$D$14*A28*(General_Model!$D$4/1000)/General_Model!$D$15)^0.25))*General_Model!$D$7/(General_Model!$D$4/1000)+1)+(4*(0.3164/((General_Model!$D$14*A28*(General_Model!$D$4/1000)/General_Model!$D$15)^0.25))*General_Model!$D$7/(General_Model!$D$4/1000)+2)*(General_Model!$D$26/A28))</f>
        <v>0.17770965237627478</v>
      </c>
      <c r="C28" s="13">
        <f t="shared" si="0"/>
        <v>0</v>
      </c>
    </row>
    <row r="29" spans="1:3" x14ac:dyDescent="0.25">
      <c r="A29" s="11">
        <v>2.7E-2</v>
      </c>
      <c r="B29" s="12">
        <f>(General_Model!$D$6/General_Model!$D$7)-1/(1+General_Model!$D$26/((1.2+0.2*(General_Model!$D$26/A29)+0.35*SQRT(9.80665*(General_Model!$D$4/1000))/A29)*A29))-(A29^2/(2*9.80665*General_Model!$D$7))*((4*(0.3164/((General_Model!$D$14*A29*(General_Model!$D$4/1000)/General_Model!$D$15)^0.25))*General_Model!$D$7/(General_Model!$D$4/1000)+1)+(4*(0.3164/((General_Model!$D$14*A29*(General_Model!$D$4/1000)/General_Model!$D$15)^0.25))*General_Model!$D$7/(General_Model!$D$4/1000)+2)*(General_Model!$D$26/A29))</f>
        <v>0.17683753801142169</v>
      </c>
      <c r="C29" s="13">
        <f t="shared" si="0"/>
        <v>0</v>
      </c>
    </row>
    <row r="30" spans="1:3" x14ac:dyDescent="0.25">
      <c r="A30" s="11">
        <v>2.8000000000000001E-2</v>
      </c>
      <c r="B30" s="12">
        <f>(General_Model!$D$6/General_Model!$D$7)-1/(1+General_Model!$D$26/((1.2+0.2*(General_Model!$D$26/A30)+0.35*SQRT(9.80665*(General_Model!$D$4/1000))/A30)*A30))-(A30^2/(2*9.80665*General_Model!$D$7))*((4*(0.3164/((General_Model!$D$14*A30*(General_Model!$D$4/1000)/General_Model!$D$15)^0.25))*General_Model!$D$7/(General_Model!$D$4/1000)+1)+(4*(0.3164/((General_Model!$D$14*A30*(General_Model!$D$4/1000)/General_Model!$D$15)^0.25))*General_Model!$D$7/(General_Model!$D$4/1000)+2)*(General_Model!$D$26/A30))</f>
        <v>0.17596760475481565</v>
      </c>
      <c r="C30" s="13">
        <f t="shared" si="0"/>
        <v>0</v>
      </c>
    </row>
    <row r="31" spans="1:3" x14ac:dyDescent="0.25">
      <c r="A31" s="11">
        <v>2.9000000000000001E-2</v>
      </c>
      <c r="B31" s="12">
        <f>(General_Model!$D$6/General_Model!$D$7)-1/(1+General_Model!$D$26/((1.2+0.2*(General_Model!$D$26/A31)+0.35*SQRT(9.80665*(General_Model!$D$4/1000))/A31)*A31))-(A31^2/(2*9.80665*General_Model!$D$7))*((4*(0.3164/((General_Model!$D$14*A31*(General_Model!$D$4/1000)/General_Model!$D$15)^0.25))*General_Model!$D$7/(General_Model!$D$4/1000)+1)+(4*(0.3164/((General_Model!$D$14*A31*(General_Model!$D$4/1000)/General_Model!$D$15)^0.25))*General_Model!$D$7/(General_Model!$D$4/1000)+2)*(General_Model!$D$26/A31))</f>
        <v>0.17509981659541804</v>
      </c>
      <c r="C31" s="13">
        <f t="shared" si="0"/>
        <v>0</v>
      </c>
    </row>
    <row r="32" spans="1:3" x14ac:dyDescent="0.25">
      <c r="A32" s="11">
        <v>0.03</v>
      </c>
      <c r="B32" s="12">
        <f>(General_Model!$D$6/General_Model!$D$7)-1/(1+General_Model!$D$26/((1.2+0.2*(General_Model!$D$26/A32)+0.35*SQRT(9.80665*(General_Model!$D$4/1000))/A32)*A32))-(A32^2/(2*9.80665*General_Model!$D$7))*((4*(0.3164/((General_Model!$D$14*A32*(General_Model!$D$4/1000)/General_Model!$D$15)^0.25))*General_Model!$D$7/(General_Model!$D$4/1000)+1)+(4*(0.3164/((General_Model!$D$14*A32*(General_Model!$D$4/1000)/General_Model!$D$15)^0.25))*General_Model!$D$7/(General_Model!$D$4/1000)+2)*(General_Model!$D$26/A32))</f>
        <v>0.17423413988718087</v>
      </c>
      <c r="C32" s="13">
        <f t="shared" si="0"/>
        <v>0</v>
      </c>
    </row>
    <row r="33" spans="1:3" x14ac:dyDescent="0.25">
      <c r="A33" s="11">
        <v>3.1E-2</v>
      </c>
      <c r="B33" s="12">
        <f>(General_Model!$D$6/General_Model!$D$7)-1/(1+General_Model!$D$26/((1.2+0.2*(General_Model!$D$26/A33)+0.35*SQRT(9.80665*(General_Model!$D$4/1000))/A33)*A33))-(A33^2/(2*9.80665*General_Model!$D$7))*((4*(0.3164/((General_Model!$D$14*A33*(General_Model!$D$4/1000)/General_Model!$D$15)^0.25))*General_Model!$D$7/(General_Model!$D$4/1000)+1)+(4*(0.3164/((General_Model!$D$14*A33*(General_Model!$D$4/1000)/General_Model!$D$15)^0.25))*General_Model!$D$7/(General_Model!$D$4/1000)+2)*(General_Model!$D$26/A33))</f>
        <v>0.17337054309414091</v>
      </c>
      <c r="C33" s="13">
        <f t="shared" si="0"/>
        <v>0</v>
      </c>
    </row>
    <row r="34" spans="1:3" x14ac:dyDescent="0.25">
      <c r="A34" s="11">
        <v>3.2000000000000001E-2</v>
      </c>
      <c r="B34" s="12">
        <f>(General_Model!$D$6/General_Model!$D$7)-1/(1+General_Model!$D$26/((1.2+0.2*(General_Model!$D$26/A34)+0.35*SQRT(9.80665*(General_Model!$D$4/1000))/A34)*A34))-(A34^2/(2*9.80665*General_Model!$D$7))*((4*(0.3164/((General_Model!$D$14*A34*(General_Model!$D$4/1000)/General_Model!$D$15)^0.25))*General_Model!$D$7/(General_Model!$D$4/1000)+1)+(4*(0.3164/((General_Model!$D$14*A34*(General_Model!$D$4/1000)/General_Model!$D$15)^0.25))*General_Model!$D$7/(General_Model!$D$4/1000)+2)*(General_Model!$D$26/A34))</f>
        <v>0.17250899657054172</v>
      </c>
      <c r="C34" s="13">
        <f t="shared" si="0"/>
        <v>0</v>
      </c>
    </row>
    <row r="35" spans="1:3" x14ac:dyDescent="0.25">
      <c r="A35" s="11">
        <v>3.3000000000000002E-2</v>
      </c>
      <c r="B35" s="12">
        <f>(General_Model!$D$6/General_Model!$D$7)-1/(1+General_Model!$D$26/((1.2+0.2*(General_Model!$D$26/A35)+0.35*SQRT(9.80665*(General_Model!$D$4/1000))/A35)*A35))-(A35^2/(2*9.80665*General_Model!$D$7))*((4*(0.3164/((General_Model!$D$14*A35*(General_Model!$D$4/1000)/General_Model!$D$15)^0.25))*General_Model!$D$7/(General_Model!$D$4/1000)+1)+(4*(0.3164/((General_Model!$D$14*A35*(General_Model!$D$4/1000)/General_Model!$D$15)^0.25))*General_Model!$D$7/(General_Model!$D$4/1000)+2)*(General_Model!$D$26/A35))</f>
        <v>0.17164947237023101</v>
      </c>
      <c r="C35" s="13">
        <f t="shared" si="0"/>
        <v>0</v>
      </c>
    </row>
    <row r="36" spans="1:3" x14ac:dyDescent="0.25">
      <c r="A36" s="11">
        <v>3.4000000000000002E-2</v>
      </c>
      <c r="B36" s="12">
        <f>(General_Model!$D$6/General_Model!$D$7)-1/(1+General_Model!$D$26/((1.2+0.2*(General_Model!$D$26/A36)+0.35*SQRT(9.80665*(General_Model!$D$4/1000))/A36)*A36))-(A36^2/(2*9.80665*General_Model!$D$7))*((4*(0.3164/((General_Model!$D$14*A36*(General_Model!$D$4/1000)/General_Model!$D$15)^0.25))*General_Model!$D$7/(General_Model!$D$4/1000)+1)+(4*(0.3164/((General_Model!$D$14*A36*(General_Model!$D$4/1000)/General_Model!$D$15)^0.25))*General_Model!$D$7/(General_Model!$D$4/1000)+2)*(General_Model!$D$26/A36))</f>
        <v>0.17079194408067086</v>
      </c>
      <c r="C36" s="13">
        <f t="shared" si="0"/>
        <v>0</v>
      </c>
    </row>
    <row r="37" spans="1:3" x14ac:dyDescent="0.25">
      <c r="A37" s="11">
        <v>3.5000000000000003E-2</v>
      </c>
      <c r="B37" s="12">
        <f>(General_Model!$D$6/General_Model!$D$7)-1/(1+General_Model!$D$26/((1.2+0.2*(General_Model!$D$26/A37)+0.35*SQRT(9.80665*(General_Model!$D$4/1000))/A37)*A37))-(A37^2/(2*9.80665*General_Model!$D$7))*((4*(0.3164/((General_Model!$D$14*A37*(General_Model!$D$4/1000)/General_Model!$D$15)^0.25))*General_Model!$D$7/(General_Model!$D$4/1000)+1)+(4*(0.3164/((General_Model!$D$14*A37*(General_Model!$D$4/1000)/General_Model!$D$15)^0.25))*General_Model!$D$7/(General_Model!$D$4/1000)+2)*(General_Model!$D$26/A37))</f>
        <v>0.16993638667775596</v>
      </c>
      <c r="C37" s="13">
        <f t="shared" si="0"/>
        <v>0</v>
      </c>
    </row>
    <row r="38" spans="1:3" x14ac:dyDescent="0.25">
      <c r="A38" s="11">
        <v>3.5999999999999997E-2</v>
      </c>
      <c r="B38" s="12">
        <f>(General_Model!$D$6/General_Model!$D$7)-1/(1+General_Model!$D$26/((1.2+0.2*(General_Model!$D$26/A38)+0.35*SQRT(9.80665*(General_Model!$D$4/1000))/A38)*A38))-(A38^2/(2*9.80665*General_Model!$D$7))*((4*(0.3164/((General_Model!$D$14*A38*(General_Model!$D$4/1000)/General_Model!$D$15)^0.25))*General_Model!$D$7/(General_Model!$D$4/1000)+1)+(4*(0.3164/((General_Model!$D$14*A38*(General_Model!$D$4/1000)/General_Model!$D$15)^0.25))*General_Model!$D$7/(General_Model!$D$4/1000)+2)*(General_Model!$D$26/A38))</f>
        <v>0.16908277639831462</v>
      </c>
      <c r="C38" s="13">
        <f t="shared" si="0"/>
        <v>0</v>
      </c>
    </row>
    <row r="39" spans="1:3" x14ac:dyDescent="0.25">
      <c r="A39" s="11">
        <v>3.7000000000000012E-2</v>
      </c>
      <c r="B39" s="12">
        <f>(General_Model!$D$6/General_Model!$D$7)-1/(1+General_Model!$D$26/((1.2+0.2*(General_Model!$D$26/A39)+0.35*SQRT(9.80665*(General_Model!$D$4/1000))/A39)*A39))-(A39^2/(2*9.80665*General_Model!$D$7))*((4*(0.3164/((General_Model!$D$14*A39*(General_Model!$D$4/1000)/General_Model!$D$15)^0.25))*General_Model!$D$7/(General_Model!$D$4/1000)+1)+(4*(0.3164/((General_Model!$D$14*A39*(General_Model!$D$4/1000)/General_Model!$D$15)^0.25))*General_Model!$D$7/(General_Model!$D$4/1000)+2)*(General_Model!$D$26/A39))</f>
        <v>0.16823109062770711</v>
      </c>
      <c r="C39" s="13">
        <f t="shared" si="0"/>
        <v>0</v>
      </c>
    </row>
    <row r="40" spans="1:3" x14ac:dyDescent="0.25">
      <c r="A40" s="11">
        <v>3.7999999999999999E-2</v>
      </c>
      <c r="B40" s="12">
        <f>(General_Model!$D$6/General_Model!$D$7)-1/(1+General_Model!$D$26/((1.2+0.2*(General_Model!$D$26/A40)+0.35*SQRT(9.80665*(General_Model!$D$4/1000))/A40)*A40))-(A40^2/(2*9.80665*General_Model!$D$7))*((4*(0.3164/((General_Model!$D$14*A40*(General_Model!$D$4/1000)/General_Model!$D$15)^0.25))*General_Model!$D$7/(General_Model!$D$4/1000)+1)+(4*(0.3164/((General_Model!$D$14*A40*(General_Model!$D$4/1000)/General_Model!$D$15)^0.25))*General_Model!$D$7/(General_Model!$D$4/1000)+2)*(General_Model!$D$26/A40))</f>
        <v>0.16738130780037896</v>
      </c>
      <c r="C40" s="13">
        <f t="shared" si="0"/>
        <v>0</v>
      </c>
    </row>
    <row r="41" spans="1:3" x14ac:dyDescent="0.25">
      <c r="A41" s="11">
        <v>3.9E-2</v>
      </c>
      <c r="B41" s="12">
        <f>(General_Model!$D$6/General_Model!$D$7)-1/(1+General_Model!$D$26/((1.2+0.2*(General_Model!$D$26/A41)+0.35*SQRT(9.80665*(General_Model!$D$4/1000))/A41)*A41))-(A41^2/(2*9.80665*General_Model!$D$7))*((4*(0.3164/((General_Model!$D$14*A41*(General_Model!$D$4/1000)/General_Model!$D$15)^0.25))*General_Model!$D$7/(General_Model!$D$4/1000)+1)+(4*(0.3164/((General_Model!$D$14*A41*(General_Model!$D$4/1000)/General_Model!$D$15)^0.25))*General_Model!$D$7/(General_Model!$D$4/1000)+2)*(General_Model!$D$26/A41))</f>
        <v>0.16653340731157179</v>
      </c>
      <c r="C41" s="13">
        <f t="shared" si="0"/>
        <v>0</v>
      </c>
    </row>
    <row r="42" spans="1:3" x14ac:dyDescent="0.25">
      <c r="A42" s="11">
        <v>0.04</v>
      </c>
      <c r="B42" s="12">
        <f>(General_Model!$D$6/General_Model!$D$7)-1/(1+General_Model!$D$26/((1.2+0.2*(General_Model!$D$26/A42)+0.35*SQRT(9.80665*(General_Model!$D$4/1000))/A42)*A42))-(A42^2/(2*9.80665*General_Model!$D$7))*((4*(0.3164/((General_Model!$D$14*A42*(General_Model!$D$4/1000)/General_Model!$D$15)^0.25))*General_Model!$D$7/(General_Model!$D$4/1000)+1)+(4*(0.3164/((General_Model!$D$14*A42*(General_Model!$D$4/1000)/General_Model!$D$15)^0.25))*General_Model!$D$7/(General_Model!$D$4/1000)+2)*(General_Model!$D$26/A42))</f>
        <v>0.16568736943868978</v>
      </c>
      <c r="C42" s="13">
        <f t="shared" si="0"/>
        <v>0</v>
      </c>
    </row>
    <row r="43" spans="1:3" x14ac:dyDescent="0.25">
      <c r="A43" s="11">
        <v>4.1000000000000002E-2</v>
      </c>
      <c r="B43" s="12">
        <f>(General_Model!$D$6/General_Model!$D$7)-1/(1+General_Model!$D$26/((1.2+0.2*(General_Model!$D$26/A43)+0.35*SQRT(9.80665*(General_Model!$D$4/1000))/A43)*A43))-(A43^2/(2*9.80665*General_Model!$D$7))*((4*(0.3164/((General_Model!$D$14*A43*(General_Model!$D$4/1000)/General_Model!$D$15)^0.25))*General_Model!$D$7/(General_Model!$D$4/1000)+1)+(4*(0.3164/((General_Model!$D$14*A43*(General_Model!$D$4/1000)/General_Model!$D$15)^0.25))*General_Model!$D$7/(General_Model!$D$4/1000)+2)*(General_Model!$D$26/A43))</f>
        <v>0.16484317527104894</v>
      </c>
      <c r="C43" s="13">
        <f t="shared" si="0"/>
        <v>0</v>
      </c>
    </row>
    <row r="44" spans="1:3" x14ac:dyDescent="0.25">
      <c r="A44" s="11">
        <v>4.2000000000000003E-2</v>
      </c>
      <c r="B44" s="12">
        <f>(General_Model!$D$6/General_Model!$D$7)-1/(1+General_Model!$D$26/((1.2+0.2*(General_Model!$D$26/A44)+0.35*SQRT(9.80665*(General_Model!$D$4/1000))/A44)*A44))-(A44^2/(2*9.80665*General_Model!$D$7))*((4*(0.3164/((General_Model!$D$14*A44*(General_Model!$D$4/1000)/General_Model!$D$15)^0.25))*General_Model!$D$7/(General_Model!$D$4/1000)+1)+(4*(0.3164/((General_Model!$D$14*A44*(General_Model!$D$4/1000)/General_Model!$D$15)^0.25))*General_Model!$D$7/(General_Model!$D$4/1000)+2)*(General_Model!$D$26/A44))</f>
        <v>0.16400080664693498</v>
      </c>
      <c r="C44" s="13">
        <f t="shared" si="0"/>
        <v>0</v>
      </c>
    </row>
    <row r="45" spans="1:3" x14ac:dyDescent="0.25">
      <c r="A45" s="11">
        <v>4.2999999999999997E-2</v>
      </c>
      <c r="B45" s="12">
        <f>(General_Model!$D$6/General_Model!$D$7)-1/(1+General_Model!$D$26/((1.2+0.2*(General_Model!$D$26/A45)+0.35*SQRT(9.80665*(General_Model!$D$4/1000))/A45)*A45))-(A45^2/(2*9.80665*General_Model!$D$7))*((4*(0.3164/((General_Model!$D$14*A45*(General_Model!$D$4/1000)/General_Model!$D$15)^0.25))*General_Model!$D$7/(General_Model!$D$4/1000)+1)+(4*(0.3164/((General_Model!$D$14*A45*(General_Model!$D$4/1000)/General_Model!$D$15)^0.25))*General_Model!$D$7/(General_Model!$D$4/1000)+2)*(General_Model!$D$26/A45))</f>
        <v>0.16316024609705168</v>
      </c>
      <c r="C45" s="13">
        <f t="shared" si="0"/>
        <v>0</v>
      </c>
    </row>
    <row r="46" spans="1:3" x14ac:dyDescent="0.25">
      <c r="A46" s="11">
        <v>4.3999999999999997E-2</v>
      </c>
      <c r="B46" s="12">
        <f>(General_Model!$D$6/General_Model!$D$7)-1/(1+General_Model!$D$26/((1.2+0.2*(General_Model!$D$26/A46)+0.35*SQRT(9.80665*(General_Model!$D$4/1000))/A46)*A46))-(A46^2/(2*9.80665*General_Model!$D$7))*((4*(0.3164/((General_Model!$D$14*A46*(General_Model!$D$4/1000)/General_Model!$D$15)^0.25))*General_Model!$D$7/(General_Model!$D$4/1000)+1)+(4*(0.3164/((General_Model!$D$14*A46*(General_Model!$D$4/1000)/General_Model!$D$15)^0.25))*General_Model!$D$7/(General_Model!$D$4/1000)+2)*(General_Model!$D$26/A46))</f>
        <v>0.16232147679357981</v>
      </c>
      <c r="C46" s="13">
        <f t="shared" si="0"/>
        <v>0</v>
      </c>
    </row>
    <row r="47" spans="1:3" x14ac:dyDescent="0.25">
      <c r="A47" s="11">
        <v>4.4999999999999998E-2</v>
      </c>
      <c r="B47" s="12">
        <f>(General_Model!$D$6/General_Model!$D$7)-1/(1+General_Model!$D$26/((1.2+0.2*(General_Model!$D$26/A47)+0.35*SQRT(9.80665*(General_Model!$D$4/1000))/A47)*A47))-(A47^2/(2*9.80665*General_Model!$D$7))*((4*(0.3164/((General_Model!$D$14*A47*(General_Model!$D$4/1000)/General_Model!$D$15)^0.25))*General_Model!$D$7/(General_Model!$D$4/1000)+1)+(4*(0.3164/((General_Model!$D$14*A47*(General_Model!$D$4/1000)/General_Model!$D$15)^0.25))*General_Model!$D$7/(General_Model!$D$4/1000)+2)*(General_Model!$D$26/A47))</f>
        <v>0.16148448250417222</v>
      </c>
      <c r="C47" s="13">
        <f t="shared" si="0"/>
        <v>0</v>
      </c>
    </row>
    <row r="48" spans="1:3" x14ac:dyDescent="0.25">
      <c r="A48" s="11">
        <v>4.5999999999999999E-2</v>
      </c>
      <c r="B48" s="12">
        <f>(General_Model!$D$6/General_Model!$D$7)-1/(1+General_Model!$D$26/((1.2+0.2*(General_Model!$D$26/A48)+0.35*SQRT(9.80665*(General_Model!$D$4/1000))/A48)*A48))-(A48^2/(2*9.80665*General_Model!$D$7))*((4*(0.3164/((General_Model!$D$14*A48*(General_Model!$D$4/1000)/General_Model!$D$15)^0.25))*General_Model!$D$7/(General_Model!$D$4/1000)+1)+(4*(0.3164/((General_Model!$D$14*A48*(General_Model!$D$4/1000)/General_Model!$D$15)^0.25))*General_Model!$D$7/(General_Model!$D$4/1000)+2)*(General_Model!$D$26/A48))</f>
        <v>0.16064924755031007</v>
      </c>
      <c r="C48" s="13">
        <f t="shared" si="0"/>
        <v>0</v>
      </c>
    </row>
    <row r="49" spans="1:3" x14ac:dyDescent="0.25">
      <c r="A49" s="11">
        <v>4.7E-2</v>
      </c>
      <c r="B49" s="12">
        <f>(General_Model!$D$6/General_Model!$D$7)-1/(1+General_Model!$D$26/((1.2+0.2*(General_Model!$D$26/A49)+0.35*SQRT(9.80665*(General_Model!$D$4/1000))/A49)*A49))-(A49^2/(2*9.80665*General_Model!$D$7))*((4*(0.3164/((General_Model!$D$14*A49*(General_Model!$D$4/1000)/General_Model!$D$15)^0.25))*General_Model!$D$7/(General_Model!$D$4/1000)+1)+(4*(0.3164/((General_Model!$D$14*A49*(General_Model!$D$4/1000)/General_Model!$D$15)^0.25))*General_Model!$D$7/(General_Model!$D$4/1000)+2)*(General_Model!$D$26/A49))</f>
        <v>0.15981575676951873</v>
      </c>
      <c r="C49" s="13">
        <f t="shared" si="0"/>
        <v>0</v>
      </c>
    </row>
    <row r="50" spans="1:3" x14ac:dyDescent="0.25">
      <c r="A50" s="11">
        <v>4.8000000000000001E-2</v>
      </c>
      <c r="B50" s="12">
        <f>(General_Model!$D$6/General_Model!$D$7)-1/(1+General_Model!$D$26/((1.2+0.2*(General_Model!$D$26/A50)+0.35*SQRT(9.80665*(General_Model!$D$4/1000))/A50)*A50))-(A50^2/(2*9.80665*General_Model!$D$7))*((4*(0.3164/((General_Model!$D$14*A50*(General_Model!$D$4/1000)/General_Model!$D$15)^0.25))*General_Model!$D$7/(General_Model!$D$4/1000)+1)+(4*(0.3164/((General_Model!$D$14*A50*(General_Model!$D$4/1000)/General_Model!$D$15)^0.25))*General_Model!$D$7/(General_Model!$D$4/1000)+2)*(General_Model!$D$26/A50))</f>
        <v>0.15898399548101216</v>
      </c>
      <c r="C50" s="13">
        <f t="shared" si="0"/>
        <v>0</v>
      </c>
    </row>
    <row r="51" spans="1:3" x14ac:dyDescent="0.25">
      <c r="A51" s="11">
        <v>4.9000000000000002E-2</v>
      </c>
      <c r="B51" s="12">
        <f>(General_Model!$D$6/General_Model!$D$7)-1/(1+General_Model!$D$26/((1.2+0.2*(General_Model!$D$26/A51)+0.35*SQRT(9.80665*(General_Model!$D$4/1000))/A51)*A51))-(A51^2/(2*9.80665*General_Model!$D$7))*((4*(0.3164/((General_Model!$D$14*A51*(General_Model!$D$4/1000)/General_Model!$D$15)^0.25))*General_Model!$D$7/(General_Model!$D$4/1000)+1)+(4*(0.3164/((General_Model!$D$14*A51*(General_Model!$D$4/1000)/General_Model!$D$15)^0.25))*General_Model!$D$7/(General_Model!$D$4/1000)+2)*(General_Model!$D$26/A51))</f>
        <v>0.15815394945438796</v>
      </c>
      <c r="C51" s="13">
        <f t="shared" si="0"/>
        <v>0</v>
      </c>
    </row>
    <row r="52" spans="1:3" x14ac:dyDescent="0.25">
      <c r="A52" s="11">
        <v>0.05</v>
      </c>
      <c r="B52" s="12">
        <f>(General_Model!$D$6/General_Model!$D$7)-1/(1+General_Model!$D$26/((1.2+0.2*(General_Model!$D$26/A52)+0.35*SQRT(9.80665*(General_Model!$D$4/1000))/A52)*A52))-(A52^2/(2*9.80665*General_Model!$D$7))*((4*(0.3164/((General_Model!$D$14*A52*(General_Model!$D$4/1000)/General_Model!$D$15)^0.25))*General_Model!$D$7/(General_Model!$D$4/1000)+1)+(4*(0.3164/((General_Model!$D$14*A52*(General_Model!$D$4/1000)/General_Model!$D$15)^0.25))*General_Model!$D$7/(General_Model!$D$4/1000)+2)*(General_Model!$D$26/A52))</f>
        <v>0.15732560488104669</v>
      </c>
      <c r="C52" s="13">
        <f t="shared" si="0"/>
        <v>0</v>
      </c>
    </row>
    <row r="53" spans="1:3" x14ac:dyDescent="0.25">
      <c r="A53" s="11">
        <v>5.0999999999999997E-2</v>
      </c>
      <c r="B53" s="12">
        <f>(General_Model!$D$6/General_Model!$D$7)-1/(1+General_Model!$D$26/((1.2+0.2*(General_Model!$D$26/A53)+0.35*SQRT(9.80665*(General_Model!$D$4/1000))/A53)*A53))-(A53^2/(2*9.80665*General_Model!$D$7))*((4*(0.3164/((General_Model!$D$14*A53*(General_Model!$D$4/1000)/General_Model!$D$15)^0.25))*General_Model!$D$7/(General_Model!$D$4/1000)+1)+(4*(0.3164/((General_Model!$D$14*A53*(General_Model!$D$4/1000)/General_Model!$D$15)^0.25))*General_Model!$D$7/(General_Model!$D$4/1000)+2)*(General_Model!$D$26/A53))</f>
        <v>0.15649894834804667</v>
      </c>
      <c r="C53" s="13">
        <f t="shared" si="0"/>
        <v>0</v>
      </c>
    </row>
    <row r="54" spans="1:3" x14ac:dyDescent="0.25">
      <c r="A54" s="11">
        <v>5.1999999999999998E-2</v>
      </c>
      <c r="B54" s="12">
        <f>(General_Model!$D$6/General_Model!$D$7)-1/(1+General_Model!$D$26/((1.2+0.2*(General_Model!$D$26/A54)+0.35*SQRT(9.80665*(General_Model!$D$4/1000))/A54)*A54))-(A54^2/(2*9.80665*General_Model!$D$7))*((4*(0.3164/((General_Model!$D$14*A54*(General_Model!$D$4/1000)/General_Model!$D$15)^0.25))*General_Model!$D$7/(General_Model!$D$4/1000)+1)+(4*(0.3164/((General_Model!$D$14*A54*(General_Model!$D$4/1000)/General_Model!$D$15)^0.25))*General_Model!$D$7/(General_Model!$D$4/1000)+2)*(General_Model!$D$26/A54))</f>
        <v>0.1556739668141438</v>
      </c>
      <c r="C54" s="13">
        <f t="shared" si="0"/>
        <v>0</v>
      </c>
    </row>
    <row r="55" spans="1:3" x14ac:dyDescent="0.25">
      <c r="A55" s="11">
        <v>5.3000000000000012E-2</v>
      </c>
      <c r="B55" s="12">
        <f>(General_Model!$D$6/General_Model!$D$7)-1/(1+General_Model!$D$26/((1.2+0.2*(General_Model!$D$26/A55)+0.35*SQRT(9.80665*(General_Model!$D$4/1000))/A55)*A55))-(A55^2/(2*9.80665*General_Model!$D$7))*((4*(0.3164/((General_Model!$D$14*A55*(General_Model!$D$4/1000)/General_Model!$D$15)^0.25))*General_Model!$D$7/(General_Model!$D$4/1000)+1)+(4*(0.3164/((General_Model!$D$14*A55*(General_Model!$D$4/1000)/General_Model!$D$15)^0.25))*General_Model!$D$7/(General_Model!$D$4/1000)+2)*(General_Model!$D$26/A55))</f>
        <v>0.15485064758779363</v>
      </c>
      <c r="C55" s="13">
        <f t="shared" si="0"/>
        <v>0</v>
      </c>
    </row>
    <row r="56" spans="1:3" x14ac:dyDescent="0.25">
      <c r="A56" s="11">
        <v>5.3999999999999999E-2</v>
      </c>
      <c r="B56" s="12">
        <f>(General_Model!$D$6/General_Model!$D$7)-1/(1+General_Model!$D$26/((1.2+0.2*(General_Model!$D$26/A56)+0.35*SQRT(9.80665*(General_Model!$D$4/1000))/A56)*A56))-(A56^2/(2*9.80665*General_Model!$D$7))*((4*(0.3164/((General_Model!$D$14*A56*(General_Model!$D$4/1000)/General_Model!$D$15)^0.25))*General_Model!$D$7/(General_Model!$D$4/1000)+1)+(4*(0.3164/((General_Model!$D$14*A56*(General_Model!$D$4/1000)/General_Model!$D$15)^0.25))*General_Model!$D$7/(General_Model!$D$4/1000)+2)*(General_Model!$D$26/A56))</f>
        <v>0.15402897830692189</v>
      </c>
      <c r="C56" s="13">
        <f t="shared" si="0"/>
        <v>0</v>
      </c>
    </row>
    <row r="57" spans="1:3" x14ac:dyDescent="0.25">
      <c r="A57" s="11">
        <v>5.5E-2</v>
      </c>
      <c r="B57" s="12">
        <f>(General_Model!$D$6/General_Model!$D$7)-1/(1+General_Model!$D$26/((1.2+0.2*(General_Model!$D$26/A57)+0.35*SQRT(9.80665*(General_Model!$D$4/1000))/A57)*A57))-(A57^2/(2*9.80665*General_Model!$D$7))*((4*(0.3164/((General_Model!$D$14*A57*(General_Model!$D$4/1000)/General_Model!$D$15)^0.25))*General_Model!$D$7/(General_Model!$D$4/1000)+1)+(4*(0.3164/((General_Model!$D$14*A57*(General_Model!$D$4/1000)/General_Model!$D$15)^0.25))*General_Model!$D$7/(General_Model!$D$4/1000)+2)*(General_Model!$D$26/A57))</f>
        <v>0.15320894692028908</v>
      </c>
      <c r="C57" s="13">
        <f t="shared" si="0"/>
        <v>0</v>
      </c>
    </row>
    <row r="58" spans="1:3" x14ac:dyDescent="0.25">
      <c r="A58" s="11">
        <v>5.6000000000000001E-2</v>
      </c>
      <c r="B58" s="12">
        <f>(General_Model!$D$6/General_Model!$D$7)-1/(1+General_Model!$D$26/((1.2+0.2*(General_Model!$D$26/A58)+0.35*SQRT(9.80665*(General_Model!$D$4/1000))/A58)*A58))-(A58^2/(2*9.80665*General_Model!$D$7))*((4*(0.3164/((General_Model!$D$14*A58*(General_Model!$D$4/1000)/General_Model!$D$15)^0.25))*General_Model!$D$7/(General_Model!$D$4/1000)+1)+(4*(0.3164/((General_Model!$D$14*A58*(General_Model!$D$4/1000)/General_Model!$D$15)^0.25))*General_Model!$D$7/(General_Model!$D$4/1000)+2)*(General_Model!$D$26/A58))</f>
        <v>0.15239054167029864</v>
      </c>
      <c r="C58" s="13">
        <f t="shared" si="0"/>
        <v>0</v>
      </c>
    </row>
    <row r="59" spans="1:3" x14ac:dyDescent="0.25">
      <c r="A59" s="11">
        <v>5.7000000000000002E-2</v>
      </c>
      <c r="B59" s="12">
        <f>(General_Model!$D$6/General_Model!$D$7)-1/(1+General_Model!$D$26/((1.2+0.2*(General_Model!$D$26/A59)+0.35*SQRT(9.80665*(General_Model!$D$4/1000))/A59)*A59))-(A59^2/(2*9.80665*General_Model!$D$7))*((4*(0.3164/((General_Model!$D$14*A59*(General_Model!$D$4/1000)/General_Model!$D$15)^0.25))*General_Model!$D$7/(General_Model!$D$4/1000)+1)+(4*(0.3164/((General_Model!$D$14*A59*(General_Model!$D$4/1000)/General_Model!$D$15)^0.25))*General_Model!$D$7/(General_Model!$D$4/1000)+2)*(General_Model!$D$26/A59))</f>
        <v>0.15157375107710938</v>
      </c>
      <c r="C59" s="13">
        <f t="shared" si="0"/>
        <v>0</v>
      </c>
    </row>
    <row r="60" spans="1:3" x14ac:dyDescent="0.25">
      <c r="A60" s="11">
        <v>5.8000000000000003E-2</v>
      </c>
      <c r="B60" s="12">
        <f>(General_Model!$D$6/General_Model!$D$7)-1/(1+General_Model!$D$26/((1.2+0.2*(General_Model!$D$26/A60)+0.35*SQRT(9.80665*(General_Model!$D$4/1000))/A60)*A60))-(A60^2/(2*9.80665*General_Model!$D$7))*((4*(0.3164/((General_Model!$D$14*A60*(General_Model!$D$4/1000)/General_Model!$D$15)^0.25))*General_Model!$D$7/(General_Model!$D$4/1000)+1)+(4*(0.3164/((General_Model!$D$14*A60*(General_Model!$D$4/1000)/General_Model!$D$15)^0.25))*General_Model!$D$7/(General_Model!$D$4/1000)+2)*(General_Model!$D$26/A60))</f>
        <v>0.150758563923935</v>
      </c>
      <c r="C60" s="13">
        <f t="shared" si="0"/>
        <v>0</v>
      </c>
    </row>
    <row r="61" spans="1:3" x14ac:dyDescent="0.25">
      <c r="A61" s="11">
        <v>5.8999999999999997E-2</v>
      </c>
      <c r="B61" s="12">
        <f>(General_Model!$D$6/General_Model!$D$7)-1/(1+General_Model!$D$26/((1.2+0.2*(General_Model!$D$26/A61)+0.35*SQRT(9.80665*(General_Model!$D$4/1000))/A61)*A61))-(A61^2/(2*9.80665*General_Model!$D$7))*((4*(0.3164/((General_Model!$D$14*A61*(General_Model!$D$4/1000)/General_Model!$D$15)^0.25))*General_Model!$D$7/(General_Model!$D$4/1000)+1)+(4*(0.3164/((General_Model!$D$14*A61*(General_Model!$D$4/1000)/General_Model!$D$15)^0.25))*General_Model!$D$7/(General_Model!$D$4/1000)+2)*(General_Model!$D$26/A61))</f>
        <v>0.14994496924342032</v>
      </c>
      <c r="C61" s="13">
        <f t="shared" si="0"/>
        <v>0</v>
      </c>
    </row>
    <row r="62" spans="1:3" x14ac:dyDescent="0.25">
      <c r="A62" s="11">
        <v>0.06</v>
      </c>
      <c r="B62" s="12">
        <f>(General_Model!$D$6/General_Model!$D$7)-1/(1+General_Model!$D$26/((1.2+0.2*(General_Model!$D$26/A62)+0.35*SQRT(9.80665*(General_Model!$D$4/1000))/A62)*A62))-(A62^2/(2*9.80665*General_Model!$D$7))*((4*(0.3164/((General_Model!$D$14*A62*(General_Model!$D$4/1000)/General_Model!$D$15)^0.25))*General_Model!$D$7/(General_Model!$D$4/1000)+1)+(4*(0.3164/((General_Model!$D$14*A62*(General_Model!$D$4/1000)/General_Model!$D$15)^0.25))*General_Model!$D$7/(General_Model!$D$4/1000)+2)*(General_Model!$D$26/A62))</f>
        <v>0.14913295630499873</v>
      </c>
      <c r="C62" s="13">
        <f t="shared" si="0"/>
        <v>0</v>
      </c>
    </row>
    <row r="63" spans="1:3" x14ac:dyDescent="0.25">
      <c r="A63" s="11">
        <v>6.0999999999999999E-2</v>
      </c>
      <c r="B63" s="12">
        <f>(General_Model!$D$6/General_Model!$D$7)-1/(1+General_Model!$D$26/((1.2+0.2*(General_Model!$D$26/A63)+0.35*SQRT(9.80665*(General_Model!$D$4/1000))/A63)*A63))-(A63^2/(2*9.80665*General_Model!$D$7))*((4*(0.3164/((General_Model!$D$14*A63*(General_Model!$D$4/1000)/General_Model!$D$15)^0.25))*General_Model!$D$7/(General_Model!$D$4/1000)+1)+(4*(0.3164/((General_Model!$D$14*A63*(General_Model!$D$4/1000)/General_Model!$D$15)^0.25))*General_Model!$D$7/(General_Model!$D$4/1000)+2)*(General_Model!$D$26/A63))</f>
        <v>0.14832251460314475</v>
      </c>
      <c r="C63" s="13">
        <f t="shared" si="0"/>
        <v>0</v>
      </c>
    </row>
    <row r="64" spans="1:3" x14ac:dyDescent="0.25">
      <c r="A64" s="11">
        <v>6.2E-2</v>
      </c>
      <c r="B64" s="12">
        <f>(General_Model!$D$6/General_Model!$D$7)-1/(1+General_Model!$D$26/((1.2+0.2*(General_Model!$D$26/A64)+0.35*SQRT(9.80665*(General_Model!$D$4/1000))/A64)*A64))-(A64^2/(2*9.80665*General_Model!$D$7))*((4*(0.3164/((General_Model!$D$14*A64*(General_Model!$D$4/1000)/General_Model!$D$15)^0.25))*General_Model!$D$7/(General_Model!$D$4/1000)+1)+(4*(0.3164/((General_Model!$D$14*A64*(General_Model!$D$4/1000)/General_Model!$D$15)^0.25))*General_Model!$D$7/(General_Model!$D$4/1000)+2)*(General_Model!$D$26/A64))</f>
        <v>0.14751363384644409</v>
      </c>
      <c r="C64" s="13">
        <f t="shared" si="0"/>
        <v>0</v>
      </c>
    </row>
    <row r="65" spans="1:3" x14ac:dyDescent="0.25">
      <c r="A65" s="11">
        <v>6.3E-2</v>
      </c>
      <c r="B65" s="12">
        <f>(General_Model!$D$6/General_Model!$D$7)-1/(1+General_Model!$D$26/((1.2+0.2*(General_Model!$D$26/A65)+0.35*SQRT(9.80665*(General_Model!$D$4/1000))/A65)*A65))-(A65^2/(2*9.80665*General_Model!$D$7))*((4*(0.3164/((General_Model!$D$14*A65*(General_Model!$D$4/1000)/General_Model!$D$15)^0.25))*General_Model!$D$7/(General_Model!$D$4/1000)+1)+(4*(0.3164/((General_Model!$D$14*A65*(General_Model!$D$4/1000)/General_Model!$D$15)^0.25))*General_Model!$D$7/(General_Model!$D$4/1000)+2)*(General_Model!$D$26/A65))</f>
        <v>0.14670630394741105</v>
      </c>
      <c r="C65" s="13">
        <f t="shared" si="0"/>
        <v>0</v>
      </c>
    </row>
    <row r="66" spans="1:3" x14ac:dyDescent="0.25">
      <c r="A66" s="11">
        <v>6.4000000000000001E-2</v>
      </c>
      <c r="B66" s="12">
        <f>(General_Model!$D$6/General_Model!$D$7)-1/(1+General_Model!$D$26/((1.2+0.2*(General_Model!$D$26/A66)+0.35*SQRT(9.80665*(General_Model!$D$4/1000))/A66)*A66))-(A66^2/(2*9.80665*General_Model!$D$7))*((4*(0.3164/((General_Model!$D$14*A66*(General_Model!$D$4/1000)/General_Model!$D$15)^0.25))*General_Model!$D$7/(General_Model!$D$4/1000)+1)+(4*(0.3164/((General_Model!$D$14*A66*(General_Model!$D$4/1000)/General_Model!$D$15)^0.25))*General_Model!$D$7/(General_Model!$D$4/1000)+2)*(General_Model!$D$26/A66))</f>
        <v>0.14590051501299212</v>
      </c>
      <c r="C66" s="13">
        <f t="shared" si="0"/>
        <v>0</v>
      </c>
    </row>
    <row r="67" spans="1:3" x14ac:dyDescent="0.25">
      <c r="A67" s="11">
        <v>6.5000000000000002E-2</v>
      </c>
      <c r="B67" s="12">
        <f>(General_Model!$D$6/General_Model!$D$7)-1/(1+General_Model!$D$26/((1.2+0.2*(General_Model!$D$26/A67)+0.35*SQRT(9.80665*(General_Model!$D$4/1000))/A67)*A67))-(A67^2/(2*9.80665*General_Model!$D$7))*((4*(0.3164/((General_Model!$D$14*A67*(General_Model!$D$4/1000)/General_Model!$D$15)^0.25))*General_Model!$D$7/(General_Model!$D$4/1000)+1)+(4*(0.3164/((General_Model!$D$14*A67*(General_Model!$D$4/1000)/General_Model!$D$15)^0.25))*General_Model!$D$7/(General_Model!$D$4/1000)+2)*(General_Model!$D$26/A67))</f>
        <v>0.14509625733569739</v>
      </c>
      <c r="C67" s="13">
        <f t="shared" ref="C67:C130" si="1">IF(B67*B68&lt;=0,1,0)</f>
        <v>0</v>
      </c>
    </row>
    <row r="68" spans="1:3" x14ac:dyDescent="0.25">
      <c r="A68" s="11">
        <v>6.6000000000000003E-2</v>
      </c>
      <c r="B68" s="12">
        <f>(General_Model!$D$6/General_Model!$D$7)-1/(1+General_Model!$D$26/((1.2+0.2*(General_Model!$D$26/A68)+0.35*SQRT(9.80665*(General_Model!$D$4/1000))/A68)*A68))-(A68^2/(2*9.80665*General_Model!$D$7))*((4*(0.3164/((General_Model!$D$14*A68*(General_Model!$D$4/1000)/General_Model!$D$15)^0.25))*General_Model!$D$7/(General_Model!$D$4/1000)+1)+(4*(0.3164/((General_Model!$D$14*A68*(General_Model!$D$4/1000)/General_Model!$D$15)^0.25))*General_Model!$D$7/(General_Model!$D$4/1000)+2)*(General_Model!$D$26/A68))</f>
        <v>0.14429352138531004</v>
      </c>
      <c r="C68" s="13">
        <f t="shared" si="1"/>
        <v>0</v>
      </c>
    </row>
    <row r="69" spans="1:3" x14ac:dyDescent="0.25">
      <c r="A69" s="11">
        <v>6.7000000000000004E-2</v>
      </c>
      <c r="B69" s="12">
        <f>(General_Model!$D$6/General_Model!$D$7)-1/(1+General_Model!$D$26/((1.2+0.2*(General_Model!$D$26/A69)+0.35*SQRT(9.80665*(General_Model!$D$4/1000))/A69)*A69))-(A69^2/(2*9.80665*General_Model!$D$7))*((4*(0.3164/((General_Model!$D$14*A69*(General_Model!$D$4/1000)/General_Model!$D$15)^0.25))*General_Model!$D$7/(General_Model!$D$4/1000)+1)+(4*(0.3164/((General_Model!$D$14*A69*(General_Model!$D$4/1000)/General_Model!$D$15)^0.25))*General_Model!$D$7/(General_Model!$D$4/1000)+2)*(General_Model!$D$26/A69))</f>
        <v>0.14349229780112713</v>
      </c>
      <c r="C69" s="13">
        <f t="shared" si="1"/>
        <v>0</v>
      </c>
    </row>
    <row r="70" spans="1:3" x14ac:dyDescent="0.25">
      <c r="A70" s="11">
        <v>6.8000000000000005E-2</v>
      </c>
      <c r="B70" s="12">
        <f>(General_Model!$D$6/General_Model!$D$7)-1/(1+General_Model!$D$26/((1.2+0.2*(General_Model!$D$26/A70)+0.35*SQRT(9.80665*(General_Model!$D$4/1000))/A70)*A70))-(A70^2/(2*9.80665*General_Model!$D$7))*((4*(0.3164/((General_Model!$D$14*A70*(General_Model!$D$4/1000)/General_Model!$D$15)^0.25))*General_Model!$D$7/(General_Model!$D$4/1000)+1)+(4*(0.3164/((General_Model!$D$14*A70*(General_Model!$D$4/1000)/General_Model!$D$15)^0.25))*General_Model!$D$7/(General_Model!$D$4/1000)+2)*(General_Model!$D$26/A70))</f>
        <v>0.14269257738469057</v>
      </c>
      <c r="C70" s="13">
        <f t="shared" si="1"/>
        <v>0</v>
      </c>
    </row>
    <row r="71" spans="1:3" x14ac:dyDescent="0.25">
      <c r="A71" s="11">
        <v>6.9000000000000006E-2</v>
      </c>
      <c r="B71" s="12">
        <f>(General_Model!$D$6/General_Model!$D$7)-1/(1+General_Model!$D$26/((1.2+0.2*(General_Model!$D$26/A71)+0.35*SQRT(9.80665*(General_Model!$D$4/1000))/A71)*A71))-(A71^2/(2*9.80665*General_Model!$D$7))*((4*(0.3164/((General_Model!$D$14*A71*(General_Model!$D$4/1000)/General_Model!$D$15)^0.25))*General_Model!$D$7/(General_Model!$D$4/1000)+1)+(4*(0.3164/((General_Model!$D$14*A71*(General_Model!$D$4/1000)/General_Model!$D$15)^0.25))*General_Model!$D$7/(General_Model!$D$4/1000)+2)*(General_Model!$D$26/A71))</f>
        <v>0.14189435109296877</v>
      </c>
      <c r="C71" s="13">
        <f t="shared" si="1"/>
        <v>0</v>
      </c>
    </row>
    <row r="72" spans="1:3" x14ac:dyDescent="0.25">
      <c r="A72" s="11">
        <v>7.0000000000000007E-2</v>
      </c>
      <c r="B72" s="12">
        <f>(General_Model!$D$6/General_Model!$D$7)-1/(1+General_Model!$D$26/((1.2+0.2*(General_Model!$D$26/A72)+0.35*SQRT(9.80665*(General_Model!$D$4/1000))/A72)*A72))-(A72^2/(2*9.80665*General_Model!$D$7))*((4*(0.3164/((General_Model!$D$14*A72*(General_Model!$D$4/1000)/General_Model!$D$15)^0.25))*General_Model!$D$7/(General_Model!$D$4/1000)+1)+(4*(0.3164/((General_Model!$D$14*A72*(General_Model!$D$4/1000)/General_Model!$D$15)^0.25))*General_Model!$D$7/(General_Model!$D$4/1000)+2)*(General_Model!$D$26/A72))</f>
        <v>0.14109761003195584</v>
      </c>
      <c r="C72" s="13">
        <f t="shared" si="1"/>
        <v>0</v>
      </c>
    </row>
    <row r="73" spans="1:3" x14ac:dyDescent="0.25">
      <c r="A73" s="11">
        <v>7.1000000000000008E-2</v>
      </c>
      <c r="B73" s="12">
        <f>(General_Model!$D$6/General_Model!$D$7)-1/(1+General_Model!$D$26/((1.2+0.2*(General_Model!$D$26/A73)+0.35*SQRT(9.80665*(General_Model!$D$4/1000))/A73)*A73))-(A73^2/(2*9.80665*General_Model!$D$7))*((4*(0.3164/((General_Model!$D$14*A73*(General_Model!$D$4/1000)/General_Model!$D$15)^0.25))*General_Model!$D$7/(General_Model!$D$4/1000)+1)+(4*(0.3164/((General_Model!$D$14*A73*(General_Model!$D$4/1000)/General_Model!$D$15)^0.25))*General_Model!$D$7/(General_Model!$D$4/1000)+2)*(General_Model!$D$26/A73))</f>
        <v>0.1403023454506562</v>
      </c>
      <c r="C73" s="13">
        <f t="shared" si="1"/>
        <v>0</v>
      </c>
    </row>
    <row r="74" spans="1:3" x14ac:dyDescent="0.25">
      <c r="A74" s="11">
        <v>7.2000000000000008E-2</v>
      </c>
      <c r="B74" s="12">
        <f>(General_Model!$D$6/General_Model!$D$7)-1/(1+General_Model!$D$26/((1.2+0.2*(General_Model!$D$26/A74)+0.35*SQRT(9.80665*(General_Model!$D$4/1000))/A74)*A74))-(A74^2/(2*9.80665*General_Model!$D$7))*((4*(0.3164/((General_Model!$D$14*A74*(General_Model!$D$4/1000)/General_Model!$D$15)^0.25))*General_Model!$D$7/(General_Model!$D$4/1000)+1)+(4*(0.3164/((General_Model!$D$14*A74*(General_Model!$D$4/1000)/General_Model!$D$15)^0.25))*General_Model!$D$7/(General_Model!$D$4/1000)+2)*(General_Model!$D$26/A74))</f>
        <v>0.13950854873542662</v>
      </c>
      <c r="C74" s="13">
        <f t="shared" si="1"/>
        <v>0</v>
      </c>
    </row>
    <row r="75" spans="1:3" x14ac:dyDescent="0.25">
      <c r="A75" s="11">
        <v>7.3000000000000009E-2</v>
      </c>
      <c r="B75" s="12">
        <f>(General_Model!$D$6/General_Model!$D$7)-1/(1+General_Model!$D$26/((1.2+0.2*(General_Model!$D$26/A75)+0.35*SQRT(9.80665*(General_Model!$D$4/1000))/A75)*A75))-(A75^2/(2*9.80665*General_Model!$D$7))*((4*(0.3164/((General_Model!$D$14*A75*(General_Model!$D$4/1000)/General_Model!$D$15)^0.25))*General_Model!$D$7/(General_Model!$D$4/1000)+1)+(4*(0.3164/((General_Model!$D$14*A75*(General_Model!$D$4/1000)/General_Model!$D$15)^0.25))*General_Model!$D$7/(General_Model!$D$4/1000)+2)*(General_Model!$D$26/A75))</f>
        <v>0.13871621140464782</v>
      </c>
      <c r="C75" s="13">
        <f t="shared" si="1"/>
        <v>0</v>
      </c>
    </row>
    <row r="76" spans="1:3" x14ac:dyDescent="0.25">
      <c r="A76" s="11">
        <v>7.3999999999999996E-2</v>
      </c>
      <c r="B76" s="12">
        <f>(General_Model!$D$6/General_Model!$D$7)-1/(1+General_Model!$D$26/((1.2+0.2*(General_Model!$D$26/A76)+0.35*SQRT(9.80665*(General_Model!$D$4/1000))/A76)*A76))-(A76^2/(2*9.80665*General_Model!$D$7))*((4*(0.3164/((General_Model!$D$14*A76*(General_Model!$D$4/1000)/General_Model!$D$15)^0.25))*General_Model!$D$7/(General_Model!$D$4/1000)+1)+(4*(0.3164/((General_Model!$D$14*A76*(General_Model!$D$4/1000)/General_Model!$D$15)^0.25))*General_Model!$D$7/(General_Model!$D$4/1000)+2)*(General_Model!$D$26/A76))</f>
        <v>0.13792532510370456</v>
      </c>
      <c r="C76" s="13">
        <f t="shared" si="1"/>
        <v>0</v>
      </c>
    </row>
    <row r="77" spans="1:3" x14ac:dyDescent="0.25">
      <c r="A77" s="11">
        <v>7.4999999999999997E-2</v>
      </c>
      <c r="B77" s="12">
        <f>(General_Model!$D$6/General_Model!$D$7)-1/(1+General_Model!$D$26/((1.2+0.2*(General_Model!$D$26/A77)+0.35*SQRT(9.80665*(General_Model!$D$4/1000))/A77)*A77))-(A77^2/(2*9.80665*General_Model!$D$7))*((4*(0.3164/((General_Model!$D$14*A77*(General_Model!$D$4/1000)/General_Model!$D$15)^0.25))*General_Model!$D$7/(General_Model!$D$4/1000)+1)+(4*(0.3164/((General_Model!$D$14*A77*(General_Model!$D$4/1000)/General_Model!$D$15)^0.25))*General_Model!$D$7/(General_Model!$D$4/1000)+2)*(General_Model!$D$26/A77))</f>
        <v>0.13713588160024906</v>
      </c>
      <c r="C77" s="13">
        <f t="shared" si="1"/>
        <v>0</v>
      </c>
    </row>
    <row r="78" spans="1:3" x14ac:dyDescent="0.25">
      <c r="A78" s="11">
        <v>7.5999999999999998E-2</v>
      </c>
      <c r="B78" s="12">
        <f>(General_Model!$D$6/General_Model!$D$7)-1/(1+General_Model!$D$26/((1.2+0.2*(General_Model!$D$26/A78)+0.35*SQRT(9.80665*(General_Model!$D$4/1000))/A78)*A78))-(A78^2/(2*9.80665*General_Model!$D$7))*((4*(0.3164/((General_Model!$D$14*A78*(General_Model!$D$4/1000)/General_Model!$D$15)^0.25))*General_Model!$D$7/(General_Model!$D$4/1000)+1)+(4*(0.3164/((General_Model!$D$14*A78*(General_Model!$D$4/1000)/General_Model!$D$15)^0.25))*General_Model!$D$7/(General_Model!$D$4/1000)+2)*(General_Model!$D$26/A78))</f>
        <v>0.13634787277973021</v>
      </c>
      <c r="C78" s="13">
        <f t="shared" si="1"/>
        <v>0</v>
      </c>
    </row>
    <row r="79" spans="1:3" x14ac:dyDescent="0.25">
      <c r="A79" s="11">
        <v>7.6999999999999999E-2</v>
      </c>
      <c r="B79" s="12">
        <f>(General_Model!$D$6/General_Model!$D$7)-1/(1+General_Model!$D$26/((1.2+0.2*(General_Model!$D$26/A79)+0.35*SQRT(9.80665*(General_Model!$D$4/1000))/A79)*A79))-(A79^2/(2*9.80665*General_Model!$D$7))*((4*(0.3164/((General_Model!$D$14*A79*(General_Model!$D$4/1000)/General_Model!$D$15)^0.25))*General_Model!$D$7/(General_Model!$D$4/1000)+1)+(4*(0.3164/((General_Model!$D$14*A79*(General_Model!$D$4/1000)/General_Model!$D$15)^0.25))*General_Model!$D$7/(General_Model!$D$4/1000)+2)*(General_Model!$D$26/A79))</f>
        <v>0.13556129064116923</v>
      </c>
      <c r="C79" s="13">
        <f t="shared" si="1"/>
        <v>0</v>
      </c>
    </row>
    <row r="80" spans="1:3" x14ac:dyDescent="0.25">
      <c r="A80" s="11">
        <v>7.8E-2</v>
      </c>
      <c r="B80" s="12">
        <f>(General_Model!$D$6/General_Model!$D$7)-1/(1+General_Model!$D$26/((1.2+0.2*(General_Model!$D$26/A80)+0.35*SQRT(9.80665*(General_Model!$D$4/1000))/A80)*A80))-(A80^2/(2*9.80665*General_Model!$D$7))*((4*(0.3164/((General_Model!$D$14*A80*(General_Model!$D$4/1000)/General_Model!$D$15)^0.25))*General_Model!$D$7/(General_Model!$D$4/1000)+1)+(4*(0.3164/((General_Model!$D$14*A80*(General_Model!$D$4/1000)/General_Model!$D$15)^0.25))*General_Model!$D$7/(General_Model!$D$4/1000)+2)*(General_Model!$D$26/A80))</f>
        <v>0.13477612729316432</v>
      </c>
      <c r="C80" s="13">
        <f t="shared" si="1"/>
        <v>0</v>
      </c>
    </row>
    <row r="81" spans="1:3" x14ac:dyDescent="0.25">
      <c r="A81" s="11">
        <v>7.9000000000000001E-2</v>
      </c>
      <c r="B81" s="12">
        <f>(General_Model!$D$6/General_Model!$D$7)-1/(1+General_Model!$D$26/((1.2+0.2*(General_Model!$D$26/A81)+0.35*SQRT(9.80665*(General_Model!$D$4/1000))/A81)*A81))-(A81^2/(2*9.80665*General_Model!$D$7))*((4*(0.3164/((General_Model!$D$14*A81*(General_Model!$D$4/1000)/General_Model!$D$15)^0.25))*General_Model!$D$7/(General_Model!$D$4/1000)+1)+(4*(0.3164/((General_Model!$D$14*A81*(General_Model!$D$4/1000)/General_Model!$D$15)^0.25))*General_Model!$D$7/(General_Model!$D$4/1000)+2)*(General_Model!$D$26/A81))</f>
        <v>0.13399237495011054</v>
      </c>
      <c r="C81" s="13">
        <f t="shared" si="1"/>
        <v>0</v>
      </c>
    </row>
    <row r="82" spans="1:3" x14ac:dyDescent="0.25">
      <c r="A82" s="11">
        <v>0.08</v>
      </c>
      <c r="B82" s="12">
        <f>(General_Model!$D$6/General_Model!$D$7)-1/(1+General_Model!$D$26/((1.2+0.2*(General_Model!$D$26/A82)+0.35*SQRT(9.80665*(General_Model!$D$4/1000))/A82)*A82))-(A82^2/(2*9.80665*General_Model!$D$7))*((4*(0.3164/((General_Model!$D$14*A82*(General_Model!$D$4/1000)/General_Model!$D$15)^0.25))*General_Model!$D$7/(General_Model!$D$4/1000)+1)+(4*(0.3164/((General_Model!$D$14*A82*(General_Model!$D$4/1000)/General_Model!$D$15)^0.25))*General_Model!$D$7/(General_Model!$D$4/1000)+2)*(General_Model!$D$26/A82))</f>
        <v>0.13321002592861783</v>
      </c>
      <c r="C82" s="13">
        <f t="shared" si="1"/>
        <v>0</v>
      </c>
    </row>
    <row r="83" spans="1:3" x14ac:dyDescent="0.25">
      <c r="A83" s="11">
        <v>8.1000000000000003E-2</v>
      </c>
      <c r="B83" s="12">
        <f>(General_Model!$D$6/General_Model!$D$7)-1/(1+General_Model!$D$26/((1.2+0.2*(General_Model!$D$26/A83)+0.35*SQRT(9.80665*(General_Model!$D$4/1000))/A83)*A83))-(A83^2/(2*9.80665*General_Model!$D$7))*((4*(0.3164/((General_Model!$D$14*A83*(General_Model!$D$4/1000)/General_Model!$D$15)^0.25))*General_Model!$D$7/(General_Model!$D$4/1000)+1)+(4*(0.3164/((General_Model!$D$14*A83*(General_Model!$D$4/1000)/General_Model!$D$15)^0.25))*General_Model!$D$7/(General_Model!$D$4/1000)+2)*(General_Model!$D$26/A83))</f>
        <v>0.13242907264411713</v>
      </c>
      <c r="C83" s="13">
        <f t="shared" si="1"/>
        <v>0</v>
      </c>
    </row>
    <row r="84" spans="1:3" x14ac:dyDescent="0.25">
      <c r="A84" s="11">
        <v>8.2000000000000003E-2</v>
      </c>
      <c r="B84" s="12">
        <f>(General_Model!$D$6/General_Model!$D$7)-1/(1+General_Model!$D$26/((1.2+0.2*(General_Model!$D$26/A84)+0.35*SQRT(9.80665*(General_Model!$D$4/1000))/A84)*A84))-(A84^2/(2*9.80665*General_Model!$D$7))*((4*(0.3164/((General_Model!$D$14*A84*(General_Model!$D$4/1000)/General_Model!$D$15)^0.25))*General_Model!$D$7/(General_Model!$D$4/1000)+1)+(4*(0.3164/((General_Model!$D$14*A84*(General_Model!$D$4/1000)/General_Model!$D$15)^0.25))*General_Model!$D$7/(General_Model!$D$4/1000)+2)*(General_Model!$D$26/A84))</f>
        <v>0.13164950760764013</v>
      </c>
      <c r="C84" s="13">
        <f t="shared" si="1"/>
        <v>0</v>
      </c>
    </row>
    <row r="85" spans="1:3" x14ac:dyDescent="0.25">
      <c r="A85" s="11">
        <v>8.3000000000000004E-2</v>
      </c>
      <c r="B85" s="12">
        <f>(General_Model!$D$6/General_Model!$D$7)-1/(1+General_Model!$D$26/((1.2+0.2*(General_Model!$D$26/A85)+0.35*SQRT(9.80665*(General_Model!$D$4/1000))/A85)*A85))-(A85^2/(2*9.80665*General_Model!$D$7))*((4*(0.3164/((General_Model!$D$14*A85*(General_Model!$D$4/1000)/General_Model!$D$15)^0.25))*General_Model!$D$7/(General_Model!$D$4/1000)+1)+(4*(0.3164/((General_Model!$D$14*A85*(General_Model!$D$4/1000)/General_Model!$D$15)^0.25))*General_Model!$D$7/(General_Model!$D$4/1000)+2)*(General_Model!$D$26/A85))</f>
        <v>0.13087132342276198</v>
      </c>
      <c r="C85" s="13">
        <f t="shared" si="1"/>
        <v>0</v>
      </c>
    </row>
    <row r="86" spans="1:3" x14ac:dyDescent="0.25">
      <c r="A86" s="11">
        <v>8.4000000000000005E-2</v>
      </c>
      <c r="B86" s="12">
        <f>(General_Model!$D$6/General_Model!$D$7)-1/(1+General_Model!$D$26/((1.2+0.2*(General_Model!$D$26/A86)+0.35*SQRT(9.80665*(General_Model!$D$4/1000))/A86)*A86))-(A86^2/(2*9.80665*General_Model!$D$7))*((4*(0.3164/((General_Model!$D$14*A86*(General_Model!$D$4/1000)/General_Model!$D$15)^0.25))*General_Model!$D$7/(General_Model!$D$4/1000)+1)+(4*(0.3164/((General_Model!$D$14*A86*(General_Model!$D$4/1000)/General_Model!$D$15)^0.25))*General_Model!$D$7/(General_Model!$D$4/1000)+2)*(General_Model!$D$26/A86))</f>
        <v>0.13009451278269796</v>
      </c>
      <c r="C86" s="13">
        <f t="shared" si="1"/>
        <v>0</v>
      </c>
    </row>
    <row r="87" spans="1:3" x14ac:dyDescent="0.25">
      <c r="A87" s="11">
        <v>8.5000000000000006E-2</v>
      </c>
      <c r="B87" s="12">
        <f>(General_Model!$D$6/General_Model!$D$7)-1/(1+General_Model!$D$26/((1.2+0.2*(General_Model!$D$26/A87)+0.35*SQRT(9.80665*(General_Model!$D$4/1000))/A87)*A87))-(A87^2/(2*9.80665*General_Model!$D$7))*((4*(0.3164/((General_Model!$D$14*A87*(General_Model!$D$4/1000)/General_Model!$D$15)^0.25))*General_Model!$D$7/(General_Model!$D$4/1000)+1)+(4*(0.3164/((General_Model!$D$14*A87*(General_Model!$D$4/1000)/General_Model!$D$15)^0.25))*General_Model!$D$7/(General_Model!$D$4/1000)+2)*(General_Model!$D$26/A87))</f>
        <v>0.12931906846754182</v>
      </c>
      <c r="C87" s="13">
        <f t="shared" si="1"/>
        <v>0</v>
      </c>
    </row>
    <row r="88" spans="1:3" x14ac:dyDescent="0.25">
      <c r="A88" s="11">
        <v>8.6000000000000007E-2</v>
      </c>
      <c r="B88" s="12">
        <f>(General_Model!$D$6/General_Model!$D$7)-1/(1+General_Model!$D$26/((1.2+0.2*(General_Model!$D$26/A88)+0.35*SQRT(9.80665*(General_Model!$D$4/1000))/A88)*A88))-(A88^2/(2*9.80665*General_Model!$D$7))*((4*(0.3164/((General_Model!$D$14*A88*(General_Model!$D$4/1000)/General_Model!$D$15)^0.25))*General_Model!$D$7/(General_Model!$D$4/1000)+1)+(4*(0.3164/((General_Model!$D$14*A88*(General_Model!$D$4/1000)/General_Model!$D$15)^0.25))*General_Model!$D$7/(General_Model!$D$4/1000)+2)*(General_Model!$D$26/A88))</f>
        <v>0.12854498334164008</v>
      </c>
      <c r="C88" s="13">
        <f t="shared" si="1"/>
        <v>0</v>
      </c>
    </row>
    <row r="89" spans="1:3" x14ac:dyDescent="0.25">
      <c r="A89" s="11">
        <v>8.7000000000000008E-2</v>
      </c>
      <c r="B89" s="12">
        <f>(General_Model!$D$6/General_Model!$D$7)-1/(1+General_Model!$D$26/((1.2+0.2*(General_Model!$D$26/A89)+0.35*SQRT(9.80665*(General_Model!$D$4/1000))/A89)*A89))-(A89^2/(2*9.80665*General_Model!$D$7))*((4*(0.3164/((General_Model!$D$14*A89*(General_Model!$D$4/1000)/General_Model!$D$15)^0.25))*General_Model!$D$7/(General_Model!$D$4/1000)+1)+(4*(0.3164/((General_Model!$D$14*A89*(General_Model!$D$4/1000)/General_Model!$D$15)^0.25))*General_Model!$D$7/(General_Model!$D$4/1000)+2)*(General_Model!$D$26/A89))</f>
        <v>0.12777225035109138</v>
      </c>
      <c r="C89" s="13">
        <f t="shared" si="1"/>
        <v>0</v>
      </c>
    </row>
    <row r="90" spans="1:3" x14ac:dyDescent="0.25">
      <c r="A90" s="11">
        <v>8.8000000000000009E-2</v>
      </c>
      <c r="B90" s="12">
        <f>(General_Model!$D$6/General_Model!$D$7)-1/(1+General_Model!$D$26/((1.2+0.2*(General_Model!$D$26/A90)+0.35*SQRT(9.80665*(General_Model!$D$4/1000))/A90)*A90))-(A90^2/(2*9.80665*General_Model!$D$7))*((4*(0.3164/((General_Model!$D$14*A90*(General_Model!$D$4/1000)/General_Model!$D$15)^0.25))*General_Model!$D$7/(General_Model!$D$4/1000)+1)+(4*(0.3164/((General_Model!$D$14*A90*(General_Model!$D$4/1000)/General_Model!$D$15)^0.25))*General_Model!$D$7/(General_Model!$D$4/1000)+2)*(General_Model!$D$26/A90))</f>
        <v>0.12700086252136428</v>
      </c>
      <c r="C90" s="13">
        <f t="shared" si="1"/>
        <v>0</v>
      </c>
    </row>
    <row r="91" spans="1:3" x14ac:dyDescent="0.25">
      <c r="A91" s="11">
        <v>8.8999999999999996E-2</v>
      </c>
      <c r="B91" s="12">
        <f>(General_Model!$D$6/General_Model!$D$7)-1/(1+General_Model!$D$26/((1.2+0.2*(General_Model!$D$26/A91)+0.35*SQRT(9.80665*(General_Model!$D$4/1000))/A91)*A91))-(A91^2/(2*9.80665*General_Model!$D$7))*((4*(0.3164/((General_Model!$D$14*A91*(General_Model!$D$4/1000)/General_Model!$D$15)^0.25))*General_Model!$D$7/(General_Model!$D$4/1000)+1)+(4*(0.3164/((General_Model!$D$14*A91*(General_Model!$D$4/1000)/General_Model!$D$15)^0.25))*General_Model!$D$7/(General_Model!$D$4/1000)+2)*(General_Model!$D$26/A91))</f>
        <v>0.12623081295502706</v>
      </c>
      <c r="C91" s="13">
        <f t="shared" si="1"/>
        <v>0</v>
      </c>
    </row>
    <row r="92" spans="1:3" x14ac:dyDescent="0.25">
      <c r="A92" s="11">
        <v>0.09</v>
      </c>
      <c r="B92" s="12">
        <f>(General_Model!$D$6/General_Model!$D$7)-1/(1+General_Model!$D$26/((1.2+0.2*(General_Model!$D$26/A92)+0.35*SQRT(9.80665*(General_Model!$D$4/1000))/A92)*A92))-(A92^2/(2*9.80665*General_Model!$D$7))*((4*(0.3164/((General_Model!$D$14*A92*(General_Model!$D$4/1000)/General_Model!$D$15)^0.25))*General_Model!$D$7/(General_Model!$D$4/1000)+1)+(4*(0.3164/((General_Model!$D$14*A92*(General_Model!$D$4/1000)/General_Model!$D$15)^0.25))*General_Model!$D$7/(General_Model!$D$4/1000)+2)*(General_Model!$D$26/A92))</f>
        <v>0.12546209482958223</v>
      </c>
      <c r="C92" s="13">
        <f t="shared" si="1"/>
        <v>0</v>
      </c>
    </row>
    <row r="93" spans="1:3" x14ac:dyDescent="0.25">
      <c r="A93" s="11">
        <v>9.0999999999999998E-2</v>
      </c>
      <c r="B93" s="12">
        <f>(General_Model!$D$6/General_Model!$D$7)-1/(1+General_Model!$D$26/((1.2+0.2*(General_Model!$D$26/A93)+0.35*SQRT(9.80665*(General_Model!$D$4/1000))/A93)*A93))-(A93^2/(2*9.80665*General_Model!$D$7))*((4*(0.3164/((General_Model!$D$14*A93*(General_Model!$D$4/1000)/General_Model!$D$15)^0.25))*General_Model!$D$7/(General_Model!$D$4/1000)+1)+(4*(0.3164/((General_Model!$D$14*A93*(General_Model!$D$4/1000)/General_Model!$D$15)^0.25))*General_Model!$D$7/(General_Model!$D$4/1000)+2)*(General_Model!$D$26/A93))</f>
        <v>0.12469470139539875</v>
      </c>
      <c r="C93" s="13">
        <f t="shared" si="1"/>
        <v>0</v>
      </c>
    </row>
    <row r="94" spans="1:3" x14ac:dyDescent="0.25">
      <c r="A94" s="11">
        <v>9.1999999999999998E-2</v>
      </c>
      <c r="B94" s="12">
        <f>(General_Model!$D$6/General_Model!$D$7)-1/(1+General_Model!$D$26/((1.2+0.2*(General_Model!$D$26/A94)+0.35*SQRT(9.80665*(General_Model!$D$4/1000))/A94)*A94))-(A94^2/(2*9.80665*General_Model!$D$7))*((4*(0.3164/((General_Model!$D$14*A94*(General_Model!$D$4/1000)/General_Model!$D$15)^0.25))*General_Model!$D$7/(General_Model!$D$4/1000)+1)+(4*(0.3164/((General_Model!$D$14*A94*(General_Model!$D$4/1000)/General_Model!$D$15)^0.25))*General_Model!$D$7/(General_Model!$D$4/1000)+2)*(General_Model!$D$26/A94))</f>
        <v>0.1239286259737387</v>
      </c>
      <c r="C94" s="13">
        <f t="shared" si="1"/>
        <v>0</v>
      </c>
    </row>
    <row r="95" spans="1:3" x14ac:dyDescent="0.25">
      <c r="A95" s="11">
        <v>9.2999999999999999E-2</v>
      </c>
      <c r="B95" s="12">
        <f>(General_Model!$D$6/General_Model!$D$7)-1/(1+General_Model!$D$26/((1.2+0.2*(General_Model!$D$26/A95)+0.35*SQRT(9.80665*(General_Model!$D$4/1000))/A95)*A95))-(A95^2/(2*9.80665*General_Model!$D$7))*((4*(0.3164/((General_Model!$D$14*A95*(General_Model!$D$4/1000)/General_Model!$D$15)^0.25))*General_Model!$D$7/(General_Model!$D$4/1000)+1)+(4*(0.3164/((General_Model!$D$14*A95*(General_Model!$D$4/1000)/General_Model!$D$15)^0.25))*General_Model!$D$7/(General_Model!$D$4/1000)+2)*(General_Model!$D$26/A95))</f>
        <v>0.12316386195487013</v>
      </c>
      <c r="C95" s="13">
        <f t="shared" si="1"/>
        <v>0</v>
      </c>
    </row>
    <row r="96" spans="1:3" x14ac:dyDescent="0.25">
      <c r="A96" s="11">
        <v>9.4E-2</v>
      </c>
      <c r="B96" s="12">
        <f>(General_Model!$D$6/General_Model!$D$7)-1/(1+General_Model!$D$26/((1.2+0.2*(General_Model!$D$26/A96)+0.35*SQRT(9.80665*(General_Model!$D$4/1000))/A96)*A96))-(A96^2/(2*9.80665*General_Model!$D$7))*((4*(0.3164/((General_Model!$D$14*A96*(General_Model!$D$4/1000)/General_Model!$D$15)^0.25))*General_Model!$D$7/(General_Model!$D$4/1000)+1)+(4*(0.3164/((General_Model!$D$14*A96*(General_Model!$D$4/1000)/General_Model!$D$15)^0.25))*General_Model!$D$7/(General_Model!$D$4/1000)+2)*(General_Model!$D$26/A96))</f>
        <v>0.12240040279626371</v>
      </c>
      <c r="C96" s="13">
        <f t="shared" si="1"/>
        <v>0</v>
      </c>
    </row>
    <row r="97" spans="1:3" x14ac:dyDescent="0.25">
      <c r="A97" s="11">
        <v>9.5000000000000001E-2</v>
      </c>
      <c r="B97" s="12">
        <f>(General_Model!$D$6/General_Model!$D$7)-1/(1+General_Model!$D$26/((1.2+0.2*(General_Model!$D$26/A97)+0.35*SQRT(9.80665*(General_Model!$D$4/1000))/A97)*A97))-(A97^2/(2*9.80665*General_Model!$D$7))*((4*(0.3164/((General_Model!$D$14*A97*(General_Model!$D$4/1000)/General_Model!$D$15)^0.25))*General_Model!$D$7/(General_Model!$D$4/1000)+1)+(4*(0.3164/((General_Model!$D$14*A97*(General_Model!$D$4/1000)/General_Model!$D$15)^0.25))*General_Model!$D$7/(General_Model!$D$4/1000)+2)*(General_Model!$D$26/A97))</f>
        <v>0.12163824202086636</v>
      </c>
      <c r="C97" s="13">
        <f t="shared" si="1"/>
        <v>0</v>
      </c>
    </row>
    <row r="98" spans="1:3" x14ac:dyDescent="0.25">
      <c r="A98" s="11">
        <v>9.6000000000000002E-2</v>
      </c>
      <c r="B98" s="12">
        <f>(General_Model!$D$6/General_Model!$D$7)-1/(1+General_Model!$D$26/((1.2+0.2*(General_Model!$D$26/A98)+0.35*SQRT(9.80665*(General_Model!$D$4/1000))/A98)*A98))-(A98^2/(2*9.80665*General_Model!$D$7))*((4*(0.3164/((General_Model!$D$14*A98*(General_Model!$D$4/1000)/General_Model!$D$15)^0.25))*General_Model!$D$7/(General_Model!$D$4/1000)+1)+(4*(0.3164/((General_Model!$D$14*A98*(General_Model!$D$4/1000)/General_Model!$D$15)^0.25))*General_Model!$D$7/(General_Model!$D$4/1000)+2)*(General_Model!$D$26/A98))</f>
        <v>0.12087737321544945</v>
      </c>
      <c r="C98" s="13">
        <f t="shared" si="1"/>
        <v>0</v>
      </c>
    </row>
    <row r="99" spans="1:3" x14ac:dyDescent="0.25">
      <c r="A99" s="11">
        <v>9.7000000000000003E-2</v>
      </c>
      <c r="B99" s="12">
        <f>(General_Model!$D$6/General_Model!$D$7)-1/(1+General_Model!$D$26/((1.2+0.2*(General_Model!$D$26/A99)+0.35*SQRT(9.80665*(General_Model!$D$4/1000))/A99)*A99))-(A99^2/(2*9.80665*General_Model!$D$7))*((4*(0.3164/((General_Model!$D$14*A99*(General_Model!$D$4/1000)/General_Model!$D$15)^0.25))*General_Model!$D$7/(General_Model!$D$4/1000)+1)+(4*(0.3164/((General_Model!$D$14*A99*(General_Model!$D$4/1000)/General_Model!$D$15)^0.25))*General_Model!$D$7/(General_Model!$D$4/1000)+2)*(General_Model!$D$26/A99))</f>
        <v>0.12011779002902673</v>
      </c>
      <c r="C99" s="13">
        <f t="shared" si="1"/>
        <v>0</v>
      </c>
    </row>
    <row r="100" spans="1:3" x14ac:dyDescent="0.25">
      <c r="A100" s="11">
        <v>9.8000000000000004E-2</v>
      </c>
      <c r="B100" s="12">
        <f>(General_Model!$D$6/General_Model!$D$7)-1/(1+General_Model!$D$26/((1.2+0.2*(General_Model!$D$26/A100)+0.35*SQRT(9.80665*(General_Model!$D$4/1000))/A100)*A100))-(A100^2/(2*9.80665*General_Model!$D$7))*((4*(0.3164/((General_Model!$D$14*A100*(General_Model!$D$4/1000)/General_Model!$D$15)^0.25))*General_Model!$D$7/(General_Model!$D$4/1000)+1)+(4*(0.3164/((General_Model!$D$14*A100*(General_Model!$D$4/1000)/General_Model!$D$15)^0.25))*General_Model!$D$7/(General_Model!$D$4/1000)+2)*(General_Model!$D$26/A100))</f>
        <v>0.11935948617133707</v>
      </c>
      <c r="C100" s="13">
        <f t="shared" si="1"/>
        <v>0</v>
      </c>
    </row>
    <row r="101" spans="1:3" x14ac:dyDescent="0.25">
      <c r="A101" s="11">
        <v>9.9000000000000005E-2</v>
      </c>
      <c r="B101" s="12">
        <f>(General_Model!$D$6/General_Model!$D$7)-1/(1+General_Model!$D$26/((1.2+0.2*(General_Model!$D$26/A101)+0.35*SQRT(9.80665*(General_Model!$D$4/1000))/A101)*A101))-(A101^2/(2*9.80665*General_Model!$D$7))*((4*(0.3164/((General_Model!$D$14*A101*(General_Model!$D$4/1000)/General_Model!$D$15)^0.25))*General_Model!$D$7/(General_Model!$D$4/1000)+1)+(4*(0.3164/((General_Model!$D$14*A101*(General_Model!$D$4/1000)/General_Model!$D$15)^0.25))*General_Model!$D$7/(General_Model!$D$4/1000)+2)*(General_Model!$D$26/A101))</f>
        <v>0.11860245541139047</v>
      </c>
      <c r="C101" s="13">
        <f t="shared" si="1"/>
        <v>0</v>
      </c>
    </row>
    <row r="102" spans="1:3" x14ac:dyDescent="0.25">
      <c r="A102" s="11">
        <v>0.1</v>
      </c>
      <c r="B102" s="12">
        <f>(General_Model!$D$6/General_Model!$D$7)-1/(1+General_Model!$D$26/((1.2+0.2*(General_Model!$D$26/A102)+0.35*SQRT(9.80665*(General_Model!$D$4/1000))/A102)*A102))-(A102^2/(2*9.80665*General_Model!$D$7))*((4*(0.3164/((General_Model!$D$14*A102*(General_Model!$D$4/1000)/General_Model!$D$15)^0.25))*General_Model!$D$7/(General_Model!$D$4/1000)+1)+(4*(0.3164/((General_Model!$D$14*A102*(General_Model!$D$4/1000)/General_Model!$D$15)^0.25))*General_Model!$D$7/(General_Model!$D$4/1000)+2)*(General_Model!$D$26/A102))</f>
        <v>0.11784669157607371</v>
      </c>
      <c r="C102" s="13">
        <f t="shared" si="1"/>
        <v>0</v>
      </c>
    </row>
    <row r="103" spans="1:3" x14ac:dyDescent="0.25">
      <c r="A103" s="11">
        <v>0.10100000000000001</v>
      </c>
      <c r="B103" s="12">
        <f>(General_Model!$D$6/General_Model!$D$7)-1/(1+General_Model!$D$26/((1.2+0.2*(General_Model!$D$26/A103)+0.35*SQRT(9.80665*(General_Model!$D$4/1000))/A103)*A103))-(A103^2/(2*9.80665*General_Model!$D$7))*((4*(0.3164/((General_Model!$D$14*A103*(General_Model!$D$4/1000)/General_Model!$D$15)^0.25))*General_Model!$D$7/(General_Model!$D$4/1000)+1)+(4*(0.3164/((General_Model!$D$14*A103*(General_Model!$D$4/1000)/General_Model!$D$15)^0.25))*General_Model!$D$7/(General_Model!$D$4/1000)+2)*(General_Model!$D$26/A103))</f>
        <v>0.11709218854880978</v>
      </c>
      <c r="C103" s="13">
        <f t="shared" si="1"/>
        <v>0</v>
      </c>
    </row>
    <row r="104" spans="1:3" x14ac:dyDescent="0.25">
      <c r="A104" s="11">
        <v>0.10199999999999999</v>
      </c>
      <c r="B104" s="12">
        <f>(General_Model!$D$6/General_Model!$D$7)-1/(1+General_Model!$D$26/((1.2+0.2*(General_Model!$D$26/A104)+0.35*SQRT(9.80665*(General_Model!$D$4/1000))/A104)*A104))-(A104^2/(2*9.80665*General_Model!$D$7))*((4*(0.3164/((General_Model!$D$14*A104*(General_Model!$D$4/1000)/General_Model!$D$15)^0.25))*General_Model!$D$7/(General_Model!$D$4/1000)+1)+(4*(0.3164/((General_Model!$D$14*A104*(General_Model!$D$4/1000)/General_Model!$D$15)^0.25))*General_Model!$D$7/(General_Model!$D$4/1000)+2)*(General_Model!$D$26/A104))</f>
        <v>0.1163389402682731</v>
      </c>
      <c r="C104" s="13">
        <f t="shared" si="1"/>
        <v>0</v>
      </c>
    </row>
    <row r="105" spans="1:3" x14ac:dyDescent="0.25">
      <c r="A105" s="11">
        <v>0.10299999999999999</v>
      </c>
      <c r="B105" s="12">
        <f>(General_Model!$D$6/General_Model!$D$7)-1/(1+General_Model!$D$26/((1.2+0.2*(General_Model!$D$26/A105)+0.35*SQRT(9.80665*(General_Model!$D$4/1000))/A105)*A105))-(A105^2/(2*9.80665*General_Model!$D$7))*((4*(0.3164/((General_Model!$D$14*A105*(General_Model!$D$4/1000)/General_Model!$D$15)^0.25))*General_Model!$D$7/(General_Model!$D$4/1000)+1)+(4*(0.3164/((General_Model!$D$14*A105*(General_Model!$D$4/1000)/General_Model!$D$15)^0.25))*General_Model!$D$7/(General_Model!$D$4/1000)+2)*(General_Model!$D$26/A105))</f>
        <v>0.11558694072715292</v>
      </c>
      <c r="C105" s="13">
        <f t="shared" si="1"/>
        <v>0</v>
      </c>
    </row>
    <row r="106" spans="1:3" x14ac:dyDescent="0.25">
      <c r="A106" s="11">
        <v>0.104</v>
      </c>
      <c r="B106" s="12">
        <f>(General_Model!$D$6/General_Model!$D$7)-1/(1+General_Model!$D$26/((1.2+0.2*(General_Model!$D$26/A106)+0.35*SQRT(9.80665*(General_Model!$D$4/1000))/A106)*A106))-(A106^2/(2*9.80665*General_Model!$D$7))*((4*(0.3164/((General_Model!$D$14*A106*(General_Model!$D$4/1000)/General_Model!$D$15)^0.25))*General_Model!$D$7/(General_Model!$D$4/1000)+1)+(4*(0.3164/((General_Model!$D$14*A106*(General_Model!$D$4/1000)/General_Model!$D$15)^0.25))*General_Model!$D$7/(General_Model!$D$4/1000)+2)*(General_Model!$D$26/A106))</f>
        <v>0.11483618397096566</v>
      </c>
      <c r="C106" s="13">
        <f t="shared" si="1"/>
        <v>0</v>
      </c>
    </row>
    <row r="107" spans="1:3" x14ac:dyDescent="0.25">
      <c r="A107" s="11">
        <v>0.105</v>
      </c>
      <c r="B107" s="12">
        <f>(General_Model!$D$6/General_Model!$D$7)-1/(1+General_Model!$D$26/((1.2+0.2*(General_Model!$D$26/A107)+0.35*SQRT(9.80665*(General_Model!$D$4/1000))/A107)*A107))-(A107^2/(2*9.80665*General_Model!$D$7))*((4*(0.3164/((General_Model!$D$14*A107*(General_Model!$D$4/1000)/General_Model!$D$15)^0.25))*General_Model!$D$7/(General_Model!$D$4/1000)+1)+(4*(0.3164/((General_Model!$D$14*A107*(General_Model!$D$4/1000)/General_Model!$D$15)^0.25))*General_Model!$D$7/(General_Model!$D$4/1000)+2)*(General_Model!$D$26/A107))</f>
        <v>0.1140866640969118</v>
      </c>
      <c r="C107" s="13">
        <f t="shared" si="1"/>
        <v>0</v>
      </c>
    </row>
    <row r="108" spans="1:3" x14ac:dyDescent="0.25">
      <c r="A108" s="11">
        <v>0.106</v>
      </c>
      <c r="B108" s="12">
        <f>(General_Model!$D$6/General_Model!$D$7)-1/(1+General_Model!$D$26/((1.2+0.2*(General_Model!$D$26/A108)+0.35*SQRT(9.80665*(General_Model!$D$4/1000))/A108)*A108))-(A108^2/(2*9.80665*General_Model!$D$7))*((4*(0.3164/((General_Model!$D$14*A108*(General_Model!$D$4/1000)/General_Model!$D$15)^0.25))*General_Model!$D$7/(General_Model!$D$4/1000)+1)+(4*(0.3164/((General_Model!$D$14*A108*(General_Model!$D$4/1000)/General_Model!$D$15)^0.25))*General_Model!$D$7/(General_Model!$D$4/1000)+2)*(General_Model!$D$26/A108))</f>
        <v>0.11333837525277672</v>
      </c>
      <c r="C108" s="13">
        <f t="shared" si="1"/>
        <v>0</v>
      </c>
    </row>
    <row r="109" spans="1:3" x14ac:dyDescent="0.25">
      <c r="A109" s="11">
        <v>0.107</v>
      </c>
      <c r="B109" s="12">
        <f>(General_Model!$D$6/General_Model!$D$7)-1/(1+General_Model!$D$26/((1.2+0.2*(General_Model!$D$26/A109)+0.35*SQRT(9.80665*(General_Model!$D$4/1000))/A109)*A109))-(A109^2/(2*9.80665*General_Model!$D$7))*((4*(0.3164/((General_Model!$D$14*A109*(General_Model!$D$4/1000)/General_Model!$D$15)^0.25))*General_Model!$D$7/(General_Model!$D$4/1000)+1)+(4*(0.3164/((General_Model!$D$14*A109*(General_Model!$D$4/1000)/General_Model!$D$15)^0.25))*General_Model!$D$7/(General_Model!$D$4/1000)+2)*(General_Model!$D$26/A109))</f>
        <v>0.11259131163587172</v>
      </c>
      <c r="C109" s="13">
        <f t="shared" si="1"/>
        <v>0</v>
      </c>
    </row>
    <row r="110" spans="1:3" x14ac:dyDescent="0.25">
      <c r="A110" s="11">
        <v>0.108</v>
      </c>
      <c r="B110" s="12">
        <f>(General_Model!$D$6/General_Model!$D$7)-1/(1+General_Model!$D$26/((1.2+0.2*(General_Model!$D$26/A110)+0.35*SQRT(9.80665*(General_Model!$D$4/1000))/A110)*A110))-(A110^2/(2*9.80665*General_Model!$D$7))*((4*(0.3164/((General_Model!$D$14*A110*(General_Model!$D$4/1000)/General_Model!$D$15)^0.25))*General_Model!$D$7/(General_Model!$D$4/1000)+1)+(4*(0.3164/((General_Model!$D$14*A110*(General_Model!$D$4/1000)/General_Model!$D$15)^0.25))*General_Model!$D$7/(General_Model!$D$4/1000)+2)*(General_Model!$D$26/A110))</f>
        <v>0.11184546749201442</v>
      </c>
      <c r="C110" s="13">
        <f t="shared" si="1"/>
        <v>0</v>
      </c>
    </row>
    <row r="111" spans="1:3" x14ac:dyDescent="0.25">
      <c r="A111" s="11">
        <v>0.109</v>
      </c>
      <c r="B111" s="12">
        <f>(General_Model!$D$6/General_Model!$D$7)-1/(1+General_Model!$D$26/((1.2+0.2*(General_Model!$D$26/A111)+0.35*SQRT(9.80665*(General_Model!$D$4/1000))/A111)*A111))-(A111^2/(2*9.80665*General_Model!$D$7))*((4*(0.3164/((General_Model!$D$14*A111*(General_Model!$D$4/1000)/General_Model!$D$15)^0.25))*General_Model!$D$7/(General_Model!$D$4/1000)+1)+(4*(0.3164/((General_Model!$D$14*A111*(General_Model!$D$4/1000)/General_Model!$D$15)^0.25))*General_Model!$D$7/(General_Model!$D$4/1000)+2)*(General_Model!$D$26/A111))</f>
        <v>0.11110083711454617</v>
      </c>
      <c r="C111" s="13">
        <f t="shared" si="1"/>
        <v>0</v>
      </c>
    </row>
    <row r="112" spans="1:3" x14ac:dyDescent="0.25">
      <c r="A112" s="11">
        <v>0.11</v>
      </c>
      <c r="B112" s="12">
        <f>(General_Model!$D$6/General_Model!$D$7)-1/(1+General_Model!$D$26/((1.2+0.2*(General_Model!$D$26/A112)+0.35*SQRT(9.80665*(General_Model!$D$4/1000))/A112)*A112))-(A112^2/(2*9.80665*General_Model!$D$7))*((4*(0.3164/((General_Model!$D$14*A112*(General_Model!$D$4/1000)/General_Model!$D$15)^0.25))*General_Model!$D$7/(General_Model!$D$4/1000)+1)+(4*(0.3164/((General_Model!$D$14*A112*(General_Model!$D$4/1000)/General_Model!$D$15)^0.25))*General_Model!$D$7/(General_Model!$D$4/1000)+2)*(General_Model!$D$26/A112))</f>
        <v>0.11035741484338465</v>
      </c>
      <c r="C112" s="13">
        <f t="shared" si="1"/>
        <v>0</v>
      </c>
    </row>
    <row r="113" spans="1:3" x14ac:dyDescent="0.25">
      <c r="A113" s="11">
        <v>0.111</v>
      </c>
      <c r="B113" s="12">
        <f>(General_Model!$D$6/General_Model!$D$7)-1/(1+General_Model!$D$26/((1.2+0.2*(General_Model!$D$26/A113)+0.35*SQRT(9.80665*(General_Model!$D$4/1000))/A113)*A113))-(A113^2/(2*9.80665*General_Model!$D$7))*((4*(0.3164/((General_Model!$D$14*A113*(General_Model!$D$4/1000)/General_Model!$D$15)^0.25))*General_Model!$D$7/(General_Model!$D$4/1000)+1)+(4*(0.3164/((General_Model!$D$14*A113*(General_Model!$D$4/1000)/General_Model!$D$15)^0.25))*General_Model!$D$7/(General_Model!$D$4/1000)+2)*(General_Model!$D$26/A113))</f>
        <v>0.10961519506410974</v>
      </c>
      <c r="C113" s="13">
        <f t="shared" si="1"/>
        <v>0</v>
      </c>
    </row>
    <row r="114" spans="1:3" x14ac:dyDescent="0.25">
      <c r="A114" s="11">
        <v>0.112</v>
      </c>
      <c r="B114" s="12">
        <f>(General_Model!$D$6/General_Model!$D$7)-1/(1+General_Model!$D$26/((1.2+0.2*(General_Model!$D$26/A114)+0.35*SQRT(9.80665*(General_Model!$D$4/1000))/A114)*A114))-(A114^2/(2*9.80665*General_Model!$D$7))*((4*(0.3164/((General_Model!$D$14*A114*(General_Model!$D$4/1000)/General_Model!$D$15)^0.25))*General_Model!$D$7/(General_Model!$D$4/1000)+1)+(4*(0.3164/((General_Model!$D$14*A114*(General_Model!$D$4/1000)/General_Model!$D$15)^0.25))*General_Model!$D$7/(General_Model!$D$4/1000)+2)*(General_Model!$D$26/A114))</f>
        <v>0.10887417220708272</v>
      </c>
      <c r="C114" s="13">
        <f t="shared" si="1"/>
        <v>0</v>
      </c>
    </row>
    <row r="115" spans="1:3" x14ac:dyDescent="0.25">
      <c r="A115" s="11">
        <v>0.113</v>
      </c>
      <c r="B115" s="12">
        <f>(General_Model!$D$6/General_Model!$D$7)-1/(1+General_Model!$D$26/((1.2+0.2*(General_Model!$D$26/A115)+0.35*SQRT(9.80665*(General_Model!$D$4/1000))/A115)*A115))-(A115^2/(2*9.80665*General_Model!$D$7))*((4*(0.3164/((General_Model!$D$14*A115*(General_Model!$D$4/1000)/General_Model!$D$15)^0.25))*General_Model!$D$7/(General_Model!$D$4/1000)+1)+(4*(0.3164/((General_Model!$D$14*A115*(General_Model!$D$4/1000)/General_Model!$D$15)^0.25))*General_Model!$D$7/(General_Model!$D$4/1000)+2)*(General_Model!$D$26/A115))</f>
        <v>0.10813434074659432</v>
      </c>
      <c r="C115" s="13">
        <f t="shared" si="1"/>
        <v>0</v>
      </c>
    </row>
    <row r="116" spans="1:3" x14ac:dyDescent="0.25">
      <c r="A116" s="11">
        <v>0.114</v>
      </c>
      <c r="B116" s="12">
        <f>(General_Model!$D$6/General_Model!$D$7)-1/(1+General_Model!$D$26/((1.2+0.2*(General_Model!$D$26/A116)+0.35*SQRT(9.80665*(General_Model!$D$4/1000))/A116)*A116))-(A116^2/(2*9.80665*General_Model!$D$7))*((4*(0.3164/((General_Model!$D$14*A116*(General_Model!$D$4/1000)/General_Model!$D$15)^0.25))*General_Model!$D$7/(General_Model!$D$4/1000)+1)+(4*(0.3164/((General_Model!$D$14*A116*(General_Model!$D$4/1000)/General_Model!$D$15)^0.25))*General_Model!$D$7/(General_Model!$D$4/1000)+2)*(General_Model!$D$26/A116))</f>
        <v>0.10739569520004273</v>
      </c>
      <c r="C116" s="13">
        <f t="shared" si="1"/>
        <v>0</v>
      </c>
    </row>
    <row r="117" spans="1:3" x14ac:dyDescent="0.25">
      <c r="A117" s="11">
        <v>0.115</v>
      </c>
      <c r="B117" s="12">
        <f>(General_Model!$D$6/General_Model!$D$7)-1/(1+General_Model!$D$26/((1.2+0.2*(General_Model!$D$26/A117)+0.35*SQRT(9.80665*(General_Model!$D$4/1000))/A117)*A117))-(A117^2/(2*9.80665*General_Model!$D$7))*((4*(0.3164/((General_Model!$D$14*A117*(General_Model!$D$4/1000)/General_Model!$D$15)^0.25))*General_Model!$D$7/(General_Model!$D$4/1000)+1)+(4*(0.3164/((General_Model!$D$14*A117*(General_Model!$D$4/1000)/General_Model!$D$15)^0.25))*General_Model!$D$7/(General_Model!$D$4/1000)+2)*(General_Model!$D$26/A117))</f>
        <v>0.10665823012713985</v>
      </c>
      <c r="C117" s="13">
        <f t="shared" si="1"/>
        <v>0</v>
      </c>
    </row>
    <row r="118" spans="1:3" x14ac:dyDescent="0.25">
      <c r="A118" s="11">
        <v>0.11600000000000001</v>
      </c>
      <c r="B118" s="12">
        <f>(General_Model!$D$6/General_Model!$D$7)-1/(1+General_Model!$D$26/((1.2+0.2*(General_Model!$D$26/A118)+0.35*SQRT(9.80665*(General_Model!$D$4/1000))/A118)*A118))-(A118^2/(2*9.80665*General_Model!$D$7))*((4*(0.3164/((General_Model!$D$14*A118*(General_Model!$D$4/1000)/General_Model!$D$15)^0.25))*General_Model!$D$7/(General_Model!$D$4/1000)+1)+(4*(0.3164/((General_Model!$D$14*A118*(General_Model!$D$4/1000)/General_Model!$D$15)^0.25))*General_Model!$D$7/(General_Model!$D$4/1000)+2)*(General_Model!$D$26/A118))</f>
        <v>0.10592194012914281</v>
      </c>
      <c r="C118" s="13">
        <f t="shared" si="1"/>
        <v>0</v>
      </c>
    </row>
    <row r="119" spans="1:3" x14ac:dyDescent="0.25">
      <c r="A119" s="11">
        <v>0.11700000000000001</v>
      </c>
      <c r="B119" s="12">
        <f>(General_Model!$D$6/General_Model!$D$7)-1/(1+General_Model!$D$26/((1.2+0.2*(General_Model!$D$26/A119)+0.35*SQRT(9.80665*(General_Model!$D$4/1000))/A119)*A119))-(A119^2/(2*9.80665*General_Model!$D$7))*((4*(0.3164/((General_Model!$D$14*A119*(General_Model!$D$4/1000)/General_Model!$D$15)^0.25))*General_Model!$D$7/(General_Model!$D$4/1000)+1)+(4*(0.3164/((General_Model!$D$14*A119*(General_Model!$D$4/1000)/General_Model!$D$15)^0.25))*General_Model!$D$7/(General_Model!$D$4/1000)+2)*(General_Model!$D$26/A119))</f>
        <v>0.10518681984811243</v>
      </c>
      <c r="C119" s="13">
        <f t="shared" si="1"/>
        <v>0</v>
      </c>
    </row>
    <row r="120" spans="1:3" x14ac:dyDescent="0.25">
      <c r="A120" s="11">
        <v>0.11799999999999999</v>
      </c>
      <c r="B120" s="12">
        <f>(General_Model!$D$6/General_Model!$D$7)-1/(1+General_Model!$D$26/((1.2+0.2*(General_Model!$D$26/A120)+0.35*SQRT(9.80665*(General_Model!$D$4/1000))/A120)*A120))-(A120^2/(2*9.80665*General_Model!$D$7))*((4*(0.3164/((General_Model!$D$14*A120*(General_Model!$D$4/1000)/General_Model!$D$15)^0.25))*General_Model!$D$7/(General_Model!$D$4/1000)+1)+(4*(0.3164/((General_Model!$D$14*A120*(General_Model!$D$4/1000)/General_Model!$D$15)^0.25))*General_Model!$D$7/(General_Model!$D$4/1000)+2)*(General_Model!$D$26/A120))</f>
        <v>0.10445286396619456</v>
      </c>
      <c r="C120" s="13">
        <f t="shared" si="1"/>
        <v>0</v>
      </c>
    </row>
    <row r="121" spans="1:3" x14ac:dyDescent="0.25">
      <c r="A121" s="11">
        <v>0.11899999999999999</v>
      </c>
      <c r="B121" s="12">
        <f>(General_Model!$D$6/General_Model!$D$7)-1/(1+General_Model!$D$26/((1.2+0.2*(General_Model!$D$26/A121)+0.35*SQRT(9.80665*(General_Model!$D$4/1000))/A121)*A121))-(A121^2/(2*9.80665*General_Model!$D$7))*((4*(0.3164/((General_Model!$D$14*A121*(General_Model!$D$4/1000)/General_Model!$D$15)^0.25))*General_Model!$D$7/(General_Model!$D$4/1000)+1)+(4*(0.3164/((General_Model!$D$14*A121*(General_Model!$D$4/1000)/General_Model!$D$15)^0.25))*General_Model!$D$7/(General_Model!$D$4/1000)+2)*(General_Model!$D$26/A121))</f>
        <v>0.10372006720492521</v>
      </c>
      <c r="C121" s="13">
        <f t="shared" si="1"/>
        <v>0</v>
      </c>
    </row>
    <row r="122" spans="1:3" x14ac:dyDescent="0.25">
      <c r="A122" s="11">
        <v>0.12</v>
      </c>
      <c r="B122" s="12">
        <f>(General_Model!$D$6/General_Model!$D$7)-1/(1+General_Model!$D$26/((1.2+0.2*(General_Model!$D$26/A122)+0.35*SQRT(9.80665*(General_Model!$D$4/1000))/A122)*A122))-(A122^2/(2*9.80665*General_Model!$D$7))*((4*(0.3164/((General_Model!$D$14*A122*(General_Model!$D$4/1000)/General_Model!$D$15)^0.25))*General_Model!$D$7/(General_Model!$D$4/1000)+1)+(4*(0.3164/((General_Model!$D$14*A122*(General_Model!$D$4/1000)/General_Model!$D$15)^0.25))*General_Model!$D$7/(General_Model!$D$4/1000)+2)*(General_Model!$D$26/A122))</f>
        <v>0.10298842432455776</v>
      </c>
      <c r="C122" s="13">
        <f t="shared" si="1"/>
        <v>0</v>
      </c>
    </row>
    <row r="123" spans="1:3" x14ac:dyDescent="0.25">
      <c r="A123" s="11">
        <v>0.121</v>
      </c>
      <c r="B123" s="12">
        <f>(General_Model!$D$6/General_Model!$D$7)-1/(1+General_Model!$D$26/((1.2+0.2*(General_Model!$D$26/A123)+0.35*SQRT(9.80665*(General_Model!$D$4/1000))/A123)*A123))-(A123^2/(2*9.80665*General_Model!$D$7))*((4*(0.3164/((General_Model!$D$14*A123*(General_Model!$D$4/1000)/General_Model!$D$15)^0.25))*General_Model!$D$7/(General_Model!$D$4/1000)+1)+(4*(0.3164/((General_Model!$D$14*A123*(General_Model!$D$4/1000)/General_Model!$D$15)^0.25))*General_Model!$D$7/(General_Model!$D$4/1000)+2)*(General_Model!$D$26/A123))</f>
        <v>0.10225793012341119</v>
      </c>
      <c r="C123" s="13">
        <f t="shared" si="1"/>
        <v>0</v>
      </c>
    </row>
    <row r="124" spans="1:3" x14ac:dyDescent="0.25">
      <c r="A124" s="11">
        <v>0.122</v>
      </c>
      <c r="B124" s="12">
        <f>(General_Model!$D$6/General_Model!$D$7)-1/(1+General_Model!$D$26/((1.2+0.2*(General_Model!$D$26/A124)+0.35*SQRT(9.80665*(General_Model!$D$4/1000))/A124)*A124))-(A124^2/(2*9.80665*General_Model!$D$7))*((4*(0.3164/((General_Model!$D$14*A124*(General_Model!$D$4/1000)/General_Model!$D$15)^0.25))*General_Model!$D$7/(General_Model!$D$4/1000)+1)+(4*(0.3164/((General_Model!$D$14*A124*(General_Model!$D$4/1000)/General_Model!$D$15)^0.25))*General_Model!$D$7/(General_Model!$D$4/1000)+2)*(General_Model!$D$26/A124))</f>
        <v>0.10152857943723892</v>
      </c>
      <c r="C124" s="13">
        <f t="shared" si="1"/>
        <v>0</v>
      </c>
    </row>
    <row r="125" spans="1:3" x14ac:dyDescent="0.25">
      <c r="A125" s="11">
        <v>0.123</v>
      </c>
      <c r="B125" s="12">
        <f>(General_Model!$D$6/General_Model!$D$7)-1/(1+General_Model!$D$26/((1.2+0.2*(General_Model!$D$26/A125)+0.35*SQRT(9.80665*(General_Model!$D$4/1000))/A125)*A125))-(A125^2/(2*9.80665*General_Model!$D$7))*((4*(0.3164/((General_Model!$D$14*A125*(General_Model!$D$4/1000)/General_Model!$D$15)^0.25))*General_Model!$D$7/(General_Model!$D$4/1000)+1)+(4*(0.3164/((General_Model!$D$14*A125*(General_Model!$D$4/1000)/General_Model!$D$15)^0.25))*General_Model!$D$7/(General_Model!$D$4/1000)+2)*(General_Model!$D$26/A125))</f>
        <v>0.1008003671386169</v>
      </c>
      <c r="C125" s="13">
        <f t="shared" si="1"/>
        <v>0</v>
      </c>
    </row>
    <row r="126" spans="1:3" x14ac:dyDescent="0.25">
      <c r="A126" s="11">
        <v>0.124</v>
      </c>
      <c r="B126" s="12">
        <f>(General_Model!$D$6/General_Model!$D$7)-1/(1+General_Model!$D$26/((1.2+0.2*(General_Model!$D$26/A126)+0.35*SQRT(9.80665*(General_Model!$D$4/1000))/A126)*A126))-(A126^2/(2*9.80665*General_Model!$D$7))*((4*(0.3164/((General_Model!$D$14*A126*(General_Model!$D$4/1000)/General_Model!$D$15)^0.25))*General_Model!$D$7/(General_Model!$D$4/1000)+1)+(4*(0.3164/((General_Model!$D$14*A126*(General_Model!$D$4/1000)/General_Model!$D$15)^0.25))*General_Model!$D$7/(General_Model!$D$4/1000)+2)*(General_Model!$D$26/A126))</f>
        <v>0.10007328813634946</v>
      </c>
      <c r="C126" s="13">
        <f t="shared" si="1"/>
        <v>0</v>
      </c>
    </row>
    <row r="127" spans="1:3" x14ac:dyDescent="0.25">
      <c r="A127" s="11">
        <v>0.125</v>
      </c>
      <c r="B127" s="12">
        <f>(General_Model!$D$6/General_Model!$D$7)-1/(1+General_Model!$D$26/((1.2+0.2*(General_Model!$D$26/A127)+0.35*SQRT(9.80665*(General_Model!$D$4/1000))/A127)*A127))-(A127^2/(2*9.80665*General_Model!$D$7))*((4*(0.3164/((General_Model!$D$14*A127*(General_Model!$D$4/1000)/General_Model!$D$15)^0.25))*General_Model!$D$7/(General_Model!$D$4/1000)+1)+(4*(0.3164/((General_Model!$D$14*A127*(General_Model!$D$4/1000)/General_Model!$D$15)^0.25))*General_Model!$D$7/(General_Model!$D$4/1000)+2)*(General_Model!$D$26/A127))</f>
        <v>9.9347337374895303E-2</v>
      </c>
      <c r="C127" s="13">
        <f t="shared" si="1"/>
        <v>0</v>
      </c>
    </row>
    <row r="128" spans="1:3" x14ac:dyDescent="0.25">
      <c r="A128" s="11">
        <v>0.126</v>
      </c>
      <c r="B128" s="12">
        <f>(General_Model!$D$6/General_Model!$D$7)-1/(1+General_Model!$D$26/((1.2+0.2*(General_Model!$D$26/A128)+0.35*SQRT(9.80665*(General_Model!$D$4/1000))/A128)*A128))-(A128^2/(2*9.80665*General_Model!$D$7))*((4*(0.3164/((General_Model!$D$14*A128*(General_Model!$D$4/1000)/General_Model!$D$15)^0.25))*General_Model!$D$7/(General_Model!$D$4/1000)+1)+(4*(0.3164/((General_Model!$D$14*A128*(General_Model!$D$4/1000)/General_Model!$D$15)^0.25))*General_Model!$D$7/(General_Model!$D$4/1000)+2)*(General_Model!$D$26/A128))</f>
        <v>9.8622509833807381E-2</v>
      </c>
      <c r="C128" s="13">
        <f t="shared" si="1"/>
        <v>0</v>
      </c>
    </row>
    <row r="129" spans="1:3" x14ac:dyDescent="0.25">
      <c r="A129" s="11">
        <v>0.127</v>
      </c>
      <c r="B129" s="12">
        <f>(General_Model!$D$6/General_Model!$D$7)-1/(1+General_Model!$D$26/((1.2+0.2*(General_Model!$D$26/A129)+0.35*SQRT(9.80665*(General_Model!$D$4/1000))/A129)*A129))-(A129^2/(2*9.80665*General_Model!$D$7))*((4*(0.3164/((General_Model!$D$14*A129*(General_Model!$D$4/1000)/General_Model!$D$15)^0.25))*General_Model!$D$7/(General_Model!$D$4/1000)+1)+(4*(0.3164/((General_Model!$D$14*A129*(General_Model!$D$4/1000)/General_Model!$D$15)^0.25))*General_Model!$D$7/(General_Model!$D$4/1000)+2)*(General_Model!$D$26/A129))</f>
        <v>9.7898800527192159E-2</v>
      </c>
      <c r="C129" s="13">
        <f t="shared" si="1"/>
        <v>0</v>
      </c>
    </row>
    <row r="130" spans="1:3" x14ac:dyDescent="0.25">
      <c r="A130" s="11">
        <v>0.128</v>
      </c>
      <c r="B130" s="12">
        <f>(General_Model!$D$6/General_Model!$D$7)-1/(1+General_Model!$D$26/((1.2+0.2*(General_Model!$D$26/A130)+0.35*SQRT(9.80665*(General_Model!$D$4/1000))/A130)*A130))-(A130^2/(2*9.80665*General_Model!$D$7))*((4*(0.3164/((General_Model!$D$14*A130*(General_Model!$D$4/1000)/General_Model!$D$15)^0.25))*General_Model!$D$7/(General_Model!$D$4/1000)+1)+(4*(0.3164/((General_Model!$D$14*A130*(General_Model!$D$4/1000)/General_Model!$D$15)^0.25))*General_Model!$D$7/(General_Model!$D$4/1000)+2)*(General_Model!$D$26/A130))</f>
        <v>9.7176204503182595E-2</v>
      </c>
      <c r="C130" s="13">
        <f t="shared" si="1"/>
        <v>0</v>
      </c>
    </row>
    <row r="131" spans="1:3" x14ac:dyDescent="0.25">
      <c r="A131" s="11">
        <v>0.129</v>
      </c>
      <c r="B131" s="12">
        <f>(General_Model!$D$6/General_Model!$D$7)-1/(1+General_Model!$D$26/((1.2+0.2*(General_Model!$D$26/A131)+0.35*SQRT(9.80665*(General_Model!$D$4/1000))/A131)*A131))-(A131^2/(2*9.80665*General_Model!$D$7))*((4*(0.3164/((General_Model!$D$14*A131*(General_Model!$D$4/1000)/General_Model!$D$15)^0.25))*General_Model!$D$7/(General_Model!$D$4/1000)+1)+(4*(0.3164/((General_Model!$D$14*A131*(General_Model!$D$4/1000)/General_Model!$D$15)^0.25))*General_Model!$D$7/(General_Model!$D$4/1000)+2)*(General_Model!$D$26/A131))</f>
        <v>9.6454716843427171E-2</v>
      </c>
      <c r="C131" s="13">
        <f t="shared" ref="C131:C194" si="2">IF(B131*B132&lt;=0,1,0)</f>
        <v>0</v>
      </c>
    </row>
    <row r="132" spans="1:3" x14ac:dyDescent="0.25">
      <c r="A132" s="11">
        <v>0.13</v>
      </c>
      <c r="B132" s="12">
        <f>(General_Model!$D$6/General_Model!$D$7)-1/(1+General_Model!$D$26/((1.2+0.2*(General_Model!$D$26/A132)+0.35*SQRT(9.80665*(General_Model!$D$4/1000))/A132)*A132))-(A132^2/(2*9.80665*General_Model!$D$7))*((4*(0.3164/((General_Model!$D$14*A132*(General_Model!$D$4/1000)/General_Model!$D$15)^0.25))*General_Model!$D$7/(General_Model!$D$4/1000)+1)+(4*(0.3164/((General_Model!$D$14*A132*(General_Model!$D$4/1000)/General_Model!$D$15)^0.25))*General_Model!$D$7/(General_Model!$D$4/1000)+2)*(General_Model!$D$26/A132))</f>
        <v>9.5734332662593236E-2</v>
      </c>
      <c r="C132" s="13">
        <f t="shared" si="2"/>
        <v>0</v>
      </c>
    </row>
    <row r="133" spans="1:3" x14ac:dyDescent="0.25">
      <c r="A133" s="11">
        <v>0.13100000000000001</v>
      </c>
      <c r="B133" s="12">
        <f>(General_Model!$D$6/General_Model!$D$7)-1/(1+General_Model!$D$26/((1.2+0.2*(General_Model!$D$26/A133)+0.35*SQRT(9.80665*(General_Model!$D$4/1000))/A133)*A133))-(A133^2/(2*9.80665*General_Model!$D$7))*((4*(0.3164/((General_Model!$D$14*A133*(General_Model!$D$4/1000)/General_Model!$D$15)^0.25))*General_Model!$D$7/(General_Model!$D$4/1000)+1)+(4*(0.3164/((General_Model!$D$14*A133*(General_Model!$D$4/1000)/General_Model!$D$15)^0.25))*General_Model!$D$7/(General_Model!$D$4/1000)+2)*(General_Model!$D$26/A133))</f>
        <v>9.5015047107883804E-2</v>
      </c>
      <c r="C133" s="13">
        <f t="shared" si="2"/>
        <v>0</v>
      </c>
    </row>
    <row r="134" spans="1:3" x14ac:dyDescent="0.25">
      <c r="A134" s="11">
        <v>0.13200000000000001</v>
      </c>
      <c r="B134" s="12">
        <f>(General_Model!$D$6/General_Model!$D$7)-1/(1+General_Model!$D$26/((1.2+0.2*(General_Model!$D$26/A134)+0.35*SQRT(9.80665*(General_Model!$D$4/1000))/A134)*A134))-(A134^2/(2*9.80665*General_Model!$D$7))*((4*(0.3164/((General_Model!$D$14*A134*(General_Model!$D$4/1000)/General_Model!$D$15)^0.25))*General_Model!$D$7/(General_Model!$D$4/1000)+1)+(4*(0.3164/((General_Model!$D$14*A134*(General_Model!$D$4/1000)/General_Model!$D$15)^0.25))*General_Model!$D$7/(General_Model!$D$4/1000)+2)*(General_Model!$D$26/A134))</f>
        <v>9.4296855358568632E-2</v>
      </c>
      <c r="C134" s="13">
        <f t="shared" si="2"/>
        <v>0</v>
      </c>
    </row>
    <row r="135" spans="1:3" x14ac:dyDescent="0.25">
      <c r="A135" s="11">
        <v>0.13300000000000001</v>
      </c>
      <c r="B135" s="12">
        <f>(General_Model!$D$6/General_Model!$D$7)-1/(1+General_Model!$D$26/((1.2+0.2*(General_Model!$D$26/A135)+0.35*SQRT(9.80665*(General_Model!$D$4/1000))/A135)*A135))-(A135^2/(2*9.80665*General_Model!$D$7))*((4*(0.3164/((General_Model!$D$14*A135*(General_Model!$D$4/1000)/General_Model!$D$15)^0.25))*General_Model!$D$7/(General_Model!$D$4/1000)+1)+(4*(0.3164/((General_Model!$D$14*A135*(General_Model!$D$4/1000)/General_Model!$D$15)^0.25))*General_Model!$D$7/(General_Model!$D$4/1000)+2)*(General_Model!$D$26/A135))</f>
        <v>9.3579752625527063E-2</v>
      </c>
      <c r="C135" s="13">
        <f t="shared" si="2"/>
        <v>0</v>
      </c>
    </row>
    <row r="136" spans="1:3" x14ac:dyDescent="0.25">
      <c r="A136" s="11">
        <v>0.13400000000000001</v>
      </c>
      <c r="B136" s="12">
        <f>(General_Model!$D$6/General_Model!$D$7)-1/(1+General_Model!$D$26/((1.2+0.2*(General_Model!$D$26/A136)+0.35*SQRT(9.80665*(General_Model!$D$4/1000))/A136)*A136))-(A136^2/(2*9.80665*General_Model!$D$7))*((4*(0.3164/((General_Model!$D$14*A136*(General_Model!$D$4/1000)/General_Model!$D$15)^0.25))*General_Model!$D$7/(General_Model!$D$4/1000)+1)+(4*(0.3164/((General_Model!$D$14*A136*(General_Model!$D$4/1000)/General_Model!$D$15)^0.25))*General_Model!$D$7/(General_Model!$D$4/1000)+2)*(General_Model!$D$26/A136))</f>
        <v>9.2863734150804664E-2</v>
      </c>
      <c r="C136" s="13">
        <f t="shared" si="2"/>
        <v>0</v>
      </c>
    </row>
    <row r="137" spans="1:3" x14ac:dyDescent="0.25">
      <c r="A137" s="11">
        <v>0.13500000000000001</v>
      </c>
      <c r="B137" s="12">
        <f>(General_Model!$D$6/General_Model!$D$7)-1/(1+General_Model!$D$26/((1.2+0.2*(General_Model!$D$26/A137)+0.35*SQRT(9.80665*(General_Model!$D$4/1000))/A137)*A137))-(A137^2/(2*9.80665*General_Model!$D$7))*((4*(0.3164/((General_Model!$D$14*A137*(General_Model!$D$4/1000)/General_Model!$D$15)^0.25))*General_Model!$D$7/(General_Model!$D$4/1000)+1)+(4*(0.3164/((General_Model!$D$14*A137*(General_Model!$D$4/1000)/General_Model!$D$15)^0.25))*General_Model!$D$7/(General_Model!$D$4/1000)+2)*(General_Model!$D$26/A137))</f>
        <v>9.2148795207179932E-2</v>
      </c>
      <c r="C137" s="13">
        <f t="shared" si="2"/>
        <v>0</v>
      </c>
    </row>
    <row r="138" spans="1:3" x14ac:dyDescent="0.25">
      <c r="A138" s="11">
        <v>0.13600000000000001</v>
      </c>
      <c r="B138" s="12">
        <f>(General_Model!$D$6/General_Model!$D$7)-1/(1+General_Model!$D$26/((1.2+0.2*(General_Model!$D$26/A138)+0.35*SQRT(9.80665*(General_Model!$D$4/1000))/A138)*A138))-(A138^2/(2*9.80665*General_Model!$D$7))*((4*(0.3164/((General_Model!$D$14*A138*(General_Model!$D$4/1000)/General_Model!$D$15)^0.25))*General_Model!$D$7/(General_Model!$D$4/1000)+1)+(4*(0.3164/((General_Model!$D$14*A138*(General_Model!$D$4/1000)/General_Model!$D$15)^0.25))*General_Model!$D$7/(General_Model!$D$4/1000)+2)*(General_Model!$D$26/A138))</f>
        <v>9.1434931097743741E-2</v>
      </c>
      <c r="C138" s="13">
        <f t="shared" si="2"/>
        <v>0</v>
      </c>
    </row>
    <row r="139" spans="1:3" x14ac:dyDescent="0.25">
      <c r="A139" s="11">
        <v>0.13700000000000001</v>
      </c>
      <c r="B139" s="12">
        <f>(General_Model!$D$6/General_Model!$D$7)-1/(1+General_Model!$D$26/((1.2+0.2*(General_Model!$D$26/A139)+0.35*SQRT(9.80665*(General_Model!$D$4/1000))/A139)*A139))-(A139^2/(2*9.80665*General_Model!$D$7))*((4*(0.3164/((General_Model!$D$14*A139*(General_Model!$D$4/1000)/General_Model!$D$15)^0.25))*General_Model!$D$7/(General_Model!$D$4/1000)+1)+(4*(0.3164/((General_Model!$D$14*A139*(General_Model!$D$4/1000)/General_Model!$D$15)^0.25))*General_Model!$D$7/(General_Model!$D$4/1000)+2)*(General_Model!$D$26/A139))</f>
        <v>9.072213715548999E-2</v>
      </c>
      <c r="C139" s="13">
        <f t="shared" si="2"/>
        <v>0</v>
      </c>
    </row>
    <row r="140" spans="1:3" x14ac:dyDescent="0.25">
      <c r="A140" s="11">
        <v>0.13800000000000001</v>
      </c>
      <c r="B140" s="12">
        <f>(General_Model!$D$6/General_Model!$D$7)-1/(1+General_Model!$D$26/((1.2+0.2*(General_Model!$D$26/A140)+0.35*SQRT(9.80665*(General_Model!$D$4/1000))/A140)*A140))-(A140^2/(2*9.80665*General_Model!$D$7))*((4*(0.3164/((General_Model!$D$14*A140*(General_Model!$D$4/1000)/General_Model!$D$15)^0.25))*General_Model!$D$7/(General_Model!$D$4/1000)+1)+(4*(0.3164/((General_Model!$D$14*A140*(General_Model!$D$4/1000)/General_Model!$D$15)^0.25))*General_Model!$D$7/(General_Model!$D$4/1000)+2)*(General_Model!$D$26/A140))</f>
        <v>9.0010408742915216E-2</v>
      </c>
      <c r="C140" s="13">
        <f t="shared" si="2"/>
        <v>0</v>
      </c>
    </row>
    <row r="141" spans="1:3" x14ac:dyDescent="0.25">
      <c r="A141" s="11">
        <v>0.13900000000000001</v>
      </c>
      <c r="B141" s="12">
        <f>(General_Model!$D$6/General_Model!$D$7)-1/(1+General_Model!$D$26/((1.2+0.2*(General_Model!$D$26/A141)+0.35*SQRT(9.80665*(General_Model!$D$4/1000))/A141)*A141))-(A141^2/(2*9.80665*General_Model!$D$7))*((4*(0.3164/((General_Model!$D$14*A141*(General_Model!$D$4/1000)/General_Model!$D$15)^0.25))*General_Model!$D$7/(General_Model!$D$4/1000)+1)+(4*(0.3164/((General_Model!$D$14*A141*(General_Model!$D$4/1000)/General_Model!$D$15)^0.25))*General_Model!$D$7/(General_Model!$D$4/1000)+2)*(General_Model!$D$26/A141))</f>
        <v>8.9299741251630621E-2</v>
      </c>
      <c r="C141" s="13">
        <f t="shared" si="2"/>
        <v>0</v>
      </c>
    </row>
    <row r="142" spans="1:3" x14ac:dyDescent="0.25">
      <c r="A142" s="11">
        <v>0.14000000000000001</v>
      </c>
      <c r="B142" s="12">
        <f>(General_Model!$D$6/General_Model!$D$7)-1/(1+General_Model!$D$26/((1.2+0.2*(General_Model!$D$26/A142)+0.35*SQRT(9.80665*(General_Model!$D$4/1000))/A142)*A142))-(A142^2/(2*9.80665*General_Model!$D$7))*((4*(0.3164/((General_Model!$D$14*A142*(General_Model!$D$4/1000)/General_Model!$D$15)^0.25))*General_Model!$D$7/(General_Model!$D$4/1000)+1)+(4*(0.3164/((General_Model!$D$14*A142*(General_Model!$D$4/1000)/General_Model!$D$15)^0.25))*General_Model!$D$7/(General_Model!$D$4/1000)+2)*(General_Model!$D$26/A142))</f>
        <v>8.8590130101982426E-2</v>
      </c>
      <c r="C142" s="13">
        <f t="shared" si="2"/>
        <v>0</v>
      </c>
    </row>
    <row r="143" spans="1:3" x14ac:dyDescent="0.25">
      <c r="A143" s="11">
        <v>0.14099999999999999</v>
      </c>
      <c r="B143" s="12">
        <f>(General_Model!$D$6/General_Model!$D$7)-1/(1+General_Model!$D$26/((1.2+0.2*(General_Model!$D$26/A143)+0.35*SQRT(9.80665*(General_Model!$D$4/1000))/A143)*A143))-(A143^2/(2*9.80665*General_Model!$D$7))*((4*(0.3164/((General_Model!$D$14*A143*(General_Model!$D$4/1000)/General_Model!$D$15)^0.25))*General_Model!$D$7/(General_Model!$D$4/1000)+1)+(4*(0.3164/((General_Model!$D$14*A143*(General_Model!$D$4/1000)/General_Model!$D$15)^0.25))*General_Model!$D$7/(General_Model!$D$4/1000)+2)*(General_Model!$D$26/A143))</f>
        <v>8.7881570742681631E-2</v>
      </c>
      <c r="C143" s="13">
        <f t="shared" si="2"/>
        <v>0</v>
      </c>
    </row>
    <row r="144" spans="1:3" x14ac:dyDescent="0.25">
      <c r="A144" s="11">
        <v>0.14199999999999999</v>
      </c>
      <c r="B144" s="12">
        <f>(General_Model!$D$6/General_Model!$D$7)-1/(1+General_Model!$D$26/((1.2+0.2*(General_Model!$D$26/A144)+0.35*SQRT(9.80665*(General_Model!$D$4/1000))/A144)*A144))-(A144^2/(2*9.80665*General_Model!$D$7))*((4*(0.3164/((General_Model!$D$14*A144*(General_Model!$D$4/1000)/General_Model!$D$15)^0.25))*General_Model!$D$7/(General_Model!$D$4/1000)+1)+(4*(0.3164/((General_Model!$D$14*A144*(General_Model!$D$4/1000)/General_Model!$D$15)^0.25))*General_Model!$D$7/(General_Model!$D$4/1000)+2)*(General_Model!$D$26/A144))</f>
        <v>8.7174058650443878E-2</v>
      </c>
      <c r="C144" s="13">
        <f t="shared" si="2"/>
        <v>0</v>
      </c>
    </row>
    <row r="145" spans="1:3" x14ac:dyDescent="0.25">
      <c r="A145" s="11">
        <v>0.14299999999999999</v>
      </c>
      <c r="B145" s="12">
        <f>(General_Model!$D$6/General_Model!$D$7)-1/(1+General_Model!$D$26/((1.2+0.2*(General_Model!$D$26/A145)+0.35*SQRT(9.80665*(General_Model!$D$4/1000))/A145)*A145))-(A145^2/(2*9.80665*General_Model!$D$7))*((4*(0.3164/((General_Model!$D$14*A145*(General_Model!$D$4/1000)/General_Model!$D$15)^0.25))*General_Model!$D$7/(General_Model!$D$4/1000)+1)+(4*(0.3164/((General_Model!$D$14*A145*(General_Model!$D$4/1000)/General_Model!$D$15)^0.25))*General_Model!$D$7/(General_Model!$D$4/1000)+2)*(General_Model!$D$26/A145))</f>
        <v>8.6467589329637773E-2</v>
      </c>
      <c r="C145" s="13">
        <f t="shared" si="2"/>
        <v>0</v>
      </c>
    </row>
    <row r="146" spans="1:3" x14ac:dyDescent="0.25">
      <c r="A146" s="11">
        <v>0.14399999999999999</v>
      </c>
      <c r="B146" s="12">
        <f>(General_Model!$D$6/General_Model!$D$7)-1/(1+General_Model!$D$26/((1.2+0.2*(General_Model!$D$26/A146)+0.35*SQRT(9.80665*(General_Model!$D$4/1000))/A146)*A146))-(A146^2/(2*9.80665*General_Model!$D$7))*((4*(0.3164/((General_Model!$D$14*A146*(General_Model!$D$4/1000)/General_Model!$D$15)^0.25))*General_Model!$D$7/(General_Model!$D$4/1000)+1)+(4*(0.3164/((General_Model!$D$14*A146*(General_Model!$D$4/1000)/General_Model!$D$15)^0.25))*General_Model!$D$7/(General_Model!$D$4/1000)+2)*(General_Model!$D$26/A146))</f>
        <v>8.5762158311941256E-2</v>
      </c>
      <c r="C146" s="13">
        <f t="shared" si="2"/>
        <v>0</v>
      </c>
    </row>
    <row r="147" spans="1:3" x14ac:dyDescent="0.25">
      <c r="A147" s="11">
        <v>0.14499999999999999</v>
      </c>
      <c r="B147" s="12">
        <f>(General_Model!$D$6/General_Model!$D$7)-1/(1+General_Model!$D$26/((1.2+0.2*(General_Model!$D$26/A147)+0.35*SQRT(9.80665*(General_Model!$D$4/1000))/A147)*A147))-(A147^2/(2*9.80665*General_Model!$D$7))*((4*(0.3164/((General_Model!$D$14*A147*(General_Model!$D$4/1000)/General_Model!$D$15)^0.25))*General_Model!$D$7/(General_Model!$D$4/1000)+1)+(4*(0.3164/((General_Model!$D$14*A147*(General_Model!$D$4/1000)/General_Model!$D$15)^0.25))*General_Model!$D$7/(General_Model!$D$4/1000)+2)*(General_Model!$D$26/A147))</f>
        <v>8.5057761156006384E-2</v>
      </c>
      <c r="C147" s="13">
        <f t="shared" si="2"/>
        <v>0</v>
      </c>
    </row>
    <row r="148" spans="1:3" x14ac:dyDescent="0.25">
      <c r="A148" s="11">
        <v>0.14599999999999999</v>
      </c>
      <c r="B148" s="12">
        <f>(General_Model!$D$6/General_Model!$D$7)-1/(1+General_Model!$D$26/((1.2+0.2*(General_Model!$D$26/A148)+0.35*SQRT(9.80665*(General_Model!$D$4/1000))/A148)*A148))-(A148^2/(2*9.80665*General_Model!$D$7))*((4*(0.3164/((General_Model!$D$14*A148*(General_Model!$D$4/1000)/General_Model!$D$15)^0.25))*General_Model!$D$7/(General_Model!$D$4/1000)+1)+(4*(0.3164/((General_Model!$D$14*A148*(General_Model!$D$4/1000)/General_Model!$D$15)^0.25))*General_Model!$D$7/(General_Model!$D$4/1000)+2)*(General_Model!$D$26/A148))</f>
        <v>8.4354393447132567E-2</v>
      </c>
      <c r="C148" s="13">
        <f t="shared" si="2"/>
        <v>0</v>
      </c>
    </row>
    <row r="149" spans="1:3" x14ac:dyDescent="0.25">
      <c r="A149" s="11">
        <v>0.14699999999999999</v>
      </c>
      <c r="B149" s="12">
        <f>(General_Model!$D$6/General_Model!$D$7)-1/(1+General_Model!$D$26/((1.2+0.2*(General_Model!$D$26/A149)+0.35*SQRT(9.80665*(General_Model!$D$4/1000))/A149)*A149))-(A149^2/(2*9.80665*General_Model!$D$7))*((4*(0.3164/((General_Model!$D$14*A149*(General_Model!$D$4/1000)/General_Model!$D$15)^0.25))*General_Model!$D$7/(General_Model!$D$4/1000)+1)+(4*(0.3164/((General_Model!$D$14*A149*(General_Model!$D$4/1000)/General_Model!$D$15)^0.25))*General_Model!$D$7/(General_Model!$D$4/1000)+2)*(General_Model!$D$26/A149))</f>
        <v>8.3652050796946875E-2</v>
      </c>
      <c r="C149" s="13">
        <f t="shared" si="2"/>
        <v>0</v>
      </c>
    </row>
    <row r="150" spans="1:3" x14ac:dyDescent="0.25">
      <c r="A150" s="11">
        <v>0.14799999999999999</v>
      </c>
      <c r="B150" s="12">
        <f>(General_Model!$D$6/General_Model!$D$7)-1/(1+General_Model!$D$26/((1.2+0.2*(General_Model!$D$26/A150)+0.35*SQRT(9.80665*(General_Model!$D$4/1000))/A150)*A150))-(A150^2/(2*9.80665*General_Model!$D$7))*((4*(0.3164/((General_Model!$D$14*A150*(General_Model!$D$4/1000)/General_Model!$D$15)^0.25))*General_Model!$D$7/(General_Model!$D$4/1000)+1)+(4*(0.3164/((General_Model!$D$14*A150*(General_Model!$D$4/1000)/General_Model!$D$15)^0.25))*General_Model!$D$7/(General_Model!$D$4/1000)+2)*(General_Model!$D$26/A150))</f>
        <v>8.2950728843091348E-2</v>
      </c>
      <c r="C150" s="13">
        <f t="shared" si="2"/>
        <v>0</v>
      </c>
    </row>
    <row r="151" spans="1:3" x14ac:dyDescent="0.25">
      <c r="A151" s="11">
        <v>0.14899999999999999</v>
      </c>
      <c r="B151" s="12">
        <f>(General_Model!$D$6/General_Model!$D$7)-1/(1+General_Model!$D$26/((1.2+0.2*(General_Model!$D$26/A151)+0.35*SQRT(9.80665*(General_Model!$D$4/1000))/A151)*A151))-(A151^2/(2*9.80665*General_Model!$D$7))*((4*(0.3164/((General_Model!$D$14*A151*(General_Model!$D$4/1000)/General_Model!$D$15)^0.25))*General_Model!$D$7/(General_Model!$D$4/1000)+1)+(4*(0.3164/((General_Model!$D$14*A151*(General_Model!$D$4/1000)/General_Model!$D$15)^0.25))*General_Model!$D$7/(General_Model!$D$4/1000)+2)*(General_Model!$D$26/A151))</f>
        <v>8.2250423248918986E-2</v>
      </c>
      <c r="C151" s="13">
        <f t="shared" si="2"/>
        <v>0</v>
      </c>
    </row>
    <row r="152" spans="1:3" x14ac:dyDescent="0.25">
      <c r="A152" s="11">
        <v>0.15</v>
      </c>
      <c r="B152" s="12">
        <f>(General_Model!$D$6/General_Model!$D$7)-1/(1+General_Model!$D$26/((1.2+0.2*(General_Model!$D$26/A152)+0.35*SQRT(9.80665*(General_Model!$D$4/1000))/A152)*A152))-(A152^2/(2*9.80665*General_Model!$D$7))*((4*(0.3164/((General_Model!$D$14*A152*(General_Model!$D$4/1000)/General_Model!$D$15)^0.25))*General_Model!$D$7/(General_Model!$D$4/1000)+1)+(4*(0.3164/((General_Model!$D$14*A152*(General_Model!$D$4/1000)/General_Model!$D$15)^0.25))*General_Model!$D$7/(General_Model!$D$4/1000)+2)*(General_Model!$D$26/A152))</f>
        <v>8.1551129703194822E-2</v>
      </c>
      <c r="C152" s="13">
        <f t="shared" si="2"/>
        <v>0</v>
      </c>
    </row>
    <row r="153" spans="1:3" x14ac:dyDescent="0.25">
      <c r="A153" s="11">
        <v>0.151</v>
      </c>
      <c r="B153" s="12">
        <f>(General_Model!$D$6/General_Model!$D$7)-1/(1+General_Model!$D$26/((1.2+0.2*(General_Model!$D$26/A153)+0.35*SQRT(9.80665*(General_Model!$D$4/1000))/A153)*A153))-(A153^2/(2*9.80665*General_Model!$D$7))*((4*(0.3164/((General_Model!$D$14*A153*(General_Model!$D$4/1000)/General_Model!$D$15)^0.25))*General_Model!$D$7/(General_Model!$D$4/1000)+1)+(4*(0.3164/((General_Model!$D$14*A153*(General_Model!$D$4/1000)/General_Model!$D$15)^0.25))*General_Model!$D$7/(General_Model!$D$4/1000)+2)*(General_Model!$D$26/A153))</f>
        <v>8.0852843919804254E-2</v>
      </c>
      <c r="C153" s="13">
        <f t="shared" si="2"/>
        <v>0</v>
      </c>
    </row>
    <row r="154" spans="1:3" x14ac:dyDescent="0.25">
      <c r="A154" s="11">
        <v>0.152</v>
      </c>
      <c r="B154" s="12">
        <f>(General_Model!$D$6/General_Model!$D$7)-1/(1+General_Model!$D$26/((1.2+0.2*(General_Model!$D$26/A154)+0.35*SQRT(9.80665*(General_Model!$D$4/1000))/A154)*A154))-(A154^2/(2*9.80665*General_Model!$D$7))*((4*(0.3164/((General_Model!$D$14*A154*(General_Model!$D$4/1000)/General_Model!$D$15)^0.25))*General_Model!$D$7/(General_Model!$D$4/1000)+1)+(4*(0.3164/((General_Model!$D$14*A154*(General_Model!$D$4/1000)/General_Model!$D$15)^0.25))*General_Model!$D$7/(General_Model!$D$4/1000)+2)*(General_Model!$D$26/A154))</f>
        <v>8.0155561637469522E-2</v>
      </c>
      <c r="C154" s="13">
        <f t="shared" si="2"/>
        <v>0</v>
      </c>
    </row>
    <row r="155" spans="1:3" x14ac:dyDescent="0.25">
      <c r="A155" s="11">
        <v>0.153</v>
      </c>
      <c r="B155" s="12">
        <f>(General_Model!$D$6/General_Model!$D$7)-1/(1+General_Model!$D$26/((1.2+0.2*(General_Model!$D$26/A155)+0.35*SQRT(9.80665*(General_Model!$D$4/1000))/A155)*A155))-(A155^2/(2*9.80665*General_Model!$D$7))*((4*(0.3164/((General_Model!$D$14*A155*(General_Model!$D$4/1000)/General_Model!$D$15)^0.25))*General_Model!$D$7/(General_Model!$D$4/1000)+1)+(4*(0.3164/((General_Model!$D$14*A155*(General_Model!$D$4/1000)/General_Model!$D$15)^0.25))*General_Model!$D$7/(General_Model!$D$4/1000)+2)*(General_Model!$D$26/A155))</f>
        <v>7.9459278619468637E-2</v>
      </c>
      <c r="C155" s="13">
        <f t="shared" si="2"/>
        <v>0</v>
      </c>
    </row>
    <row r="156" spans="1:3" x14ac:dyDescent="0.25">
      <c r="A156" s="11">
        <v>0.154</v>
      </c>
      <c r="B156" s="12">
        <f>(General_Model!$D$6/General_Model!$D$7)-1/(1+General_Model!$D$26/((1.2+0.2*(General_Model!$D$26/A156)+0.35*SQRT(9.80665*(General_Model!$D$4/1000))/A156)*A156))-(A156^2/(2*9.80665*General_Model!$D$7))*((4*(0.3164/((General_Model!$D$14*A156*(General_Model!$D$4/1000)/General_Model!$D$15)^0.25))*General_Model!$D$7/(General_Model!$D$4/1000)+1)+(4*(0.3164/((General_Model!$D$14*A156*(General_Model!$D$4/1000)/General_Model!$D$15)^0.25))*General_Model!$D$7/(General_Model!$D$4/1000)+2)*(General_Model!$D$26/A156))</f>
        <v>7.8763990653364771E-2</v>
      </c>
      <c r="C156" s="13">
        <f t="shared" si="2"/>
        <v>0</v>
      </c>
    </row>
    <row r="157" spans="1:3" x14ac:dyDescent="0.25">
      <c r="A157" s="11">
        <v>0.155</v>
      </c>
      <c r="B157" s="12">
        <f>(General_Model!$D$6/General_Model!$D$7)-1/(1+General_Model!$D$26/((1.2+0.2*(General_Model!$D$26/A157)+0.35*SQRT(9.80665*(General_Model!$D$4/1000))/A157)*A157))-(A157^2/(2*9.80665*General_Model!$D$7))*((4*(0.3164/((General_Model!$D$14*A157*(General_Model!$D$4/1000)/General_Model!$D$15)^0.25))*General_Model!$D$7/(General_Model!$D$4/1000)+1)+(4*(0.3164/((General_Model!$D$14*A157*(General_Model!$D$4/1000)/General_Model!$D$15)^0.25))*General_Model!$D$7/(General_Model!$D$4/1000)+2)*(General_Model!$D$26/A157))</f>
        <v>7.8069693550737923E-2</v>
      </c>
      <c r="C157" s="13">
        <f t="shared" si="2"/>
        <v>0</v>
      </c>
    </row>
    <row r="158" spans="1:3" x14ac:dyDescent="0.25">
      <c r="A158" s="11">
        <v>0.156</v>
      </c>
      <c r="B158" s="12">
        <f>(General_Model!$D$6/General_Model!$D$7)-1/(1+General_Model!$D$26/((1.2+0.2*(General_Model!$D$26/A158)+0.35*SQRT(9.80665*(General_Model!$D$4/1000))/A158)*A158))-(A158^2/(2*9.80665*General_Model!$D$7))*((4*(0.3164/((General_Model!$D$14*A158*(General_Model!$D$4/1000)/General_Model!$D$15)^0.25))*General_Model!$D$7/(General_Model!$D$4/1000)+1)+(4*(0.3164/((General_Model!$D$14*A158*(General_Model!$D$4/1000)/General_Model!$D$15)^0.25))*General_Model!$D$7/(General_Model!$D$4/1000)+2)*(General_Model!$D$26/A158))</f>
        <v>7.7376383146924396E-2</v>
      </c>
      <c r="C158" s="13">
        <f t="shared" si="2"/>
        <v>0</v>
      </c>
    </row>
    <row r="159" spans="1:3" x14ac:dyDescent="0.25">
      <c r="A159" s="11">
        <v>0.157</v>
      </c>
      <c r="B159" s="12">
        <f>(General_Model!$D$6/General_Model!$D$7)-1/(1+General_Model!$D$26/((1.2+0.2*(General_Model!$D$26/A159)+0.35*SQRT(9.80665*(General_Model!$D$4/1000))/A159)*A159))-(A159^2/(2*9.80665*General_Model!$D$7))*((4*(0.3164/((General_Model!$D$14*A159*(General_Model!$D$4/1000)/General_Model!$D$15)^0.25))*General_Model!$D$7/(General_Model!$D$4/1000)+1)+(4*(0.3164/((General_Model!$D$14*A159*(General_Model!$D$4/1000)/General_Model!$D$15)^0.25))*General_Model!$D$7/(General_Model!$D$4/1000)+2)*(General_Model!$D$26/A159))</f>
        <v>7.6684055300760751E-2</v>
      </c>
      <c r="C159" s="13">
        <f t="shared" si="2"/>
        <v>0</v>
      </c>
    </row>
    <row r="160" spans="1:3" x14ac:dyDescent="0.25">
      <c r="A160" s="11">
        <v>0.158</v>
      </c>
      <c r="B160" s="12">
        <f>(General_Model!$D$6/General_Model!$D$7)-1/(1+General_Model!$D$26/((1.2+0.2*(General_Model!$D$26/A160)+0.35*SQRT(9.80665*(General_Model!$D$4/1000))/A160)*A160))-(A160^2/(2*9.80665*General_Model!$D$7))*((4*(0.3164/((General_Model!$D$14*A160*(General_Model!$D$4/1000)/General_Model!$D$15)^0.25))*General_Model!$D$7/(General_Model!$D$4/1000)+1)+(4*(0.3164/((General_Model!$D$14*A160*(General_Model!$D$4/1000)/General_Model!$D$15)^0.25))*General_Model!$D$7/(General_Model!$D$4/1000)+2)*(General_Model!$D$26/A160))</f>
        <v>7.5992705894333087E-2</v>
      </c>
      <c r="C160" s="13">
        <f t="shared" si="2"/>
        <v>0</v>
      </c>
    </row>
    <row r="161" spans="1:3" x14ac:dyDescent="0.25">
      <c r="A161" s="11">
        <v>0.159</v>
      </c>
      <c r="B161" s="12">
        <f>(General_Model!$D$6/General_Model!$D$7)-1/(1+General_Model!$D$26/((1.2+0.2*(General_Model!$D$26/A161)+0.35*SQRT(9.80665*(General_Model!$D$4/1000))/A161)*A161))-(A161^2/(2*9.80665*General_Model!$D$7))*((4*(0.3164/((General_Model!$D$14*A161*(General_Model!$D$4/1000)/General_Model!$D$15)^0.25))*General_Model!$D$7/(General_Model!$D$4/1000)+1)+(4*(0.3164/((General_Model!$D$14*A161*(General_Model!$D$4/1000)/General_Model!$D$15)^0.25))*General_Model!$D$7/(General_Model!$D$4/1000)+2)*(General_Model!$D$26/A161))</f>
        <v>7.5302330832732106E-2</v>
      </c>
      <c r="C161" s="13">
        <f t="shared" si="2"/>
        <v>0</v>
      </c>
    </row>
    <row r="162" spans="1:3" x14ac:dyDescent="0.25">
      <c r="A162" s="11">
        <v>0.16</v>
      </c>
      <c r="B162" s="12">
        <f>(General_Model!$D$6/General_Model!$D$7)-1/(1+General_Model!$D$26/((1.2+0.2*(General_Model!$D$26/A162)+0.35*SQRT(9.80665*(General_Model!$D$4/1000))/A162)*A162))-(A162^2/(2*9.80665*General_Model!$D$7))*((4*(0.3164/((General_Model!$D$14*A162*(General_Model!$D$4/1000)/General_Model!$D$15)^0.25))*General_Model!$D$7/(General_Model!$D$4/1000)+1)+(4*(0.3164/((General_Model!$D$14*A162*(General_Model!$D$4/1000)/General_Model!$D$15)^0.25))*General_Model!$D$7/(General_Model!$D$4/1000)+2)*(General_Model!$D$26/A162))</f>
        <v>7.4612926043812283E-2</v>
      </c>
      <c r="C162" s="13">
        <f t="shared" si="2"/>
        <v>0</v>
      </c>
    </row>
    <row r="163" spans="1:3" x14ac:dyDescent="0.25">
      <c r="A163" s="11">
        <v>0.161</v>
      </c>
      <c r="B163" s="12">
        <f>(General_Model!$D$6/General_Model!$D$7)-1/(1+General_Model!$D$26/((1.2+0.2*(General_Model!$D$26/A163)+0.35*SQRT(9.80665*(General_Model!$D$4/1000))/A163)*A163))-(A163^2/(2*9.80665*General_Model!$D$7))*((4*(0.3164/((General_Model!$D$14*A163*(General_Model!$D$4/1000)/General_Model!$D$15)^0.25))*General_Model!$D$7/(General_Model!$D$4/1000)+1)+(4*(0.3164/((General_Model!$D$14*A163*(General_Model!$D$4/1000)/General_Model!$D$15)^0.25))*General_Model!$D$7/(General_Model!$D$4/1000)+2)*(General_Model!$D$26/A163))</f>
        <v>7.392448747795699E-2</v>
      </c>
      <c r="C163" s="13">
        <f t="shared" si="2"/>
        <v>0</v>
      </c>
    </row>
    <row r="164" spans="1:3" x14ac:dyDescent="0.25">
      <c r="A164" s="11">
        <v>0.16200000000000001</v>
      </c>
      <c r="B164" s="12">
        <f>(General_Model!$D$6/General_Model!$D$7)-1/(1+General_Model!$D$26/((1.2+0.2*(General_Model!$D$26/A164)+0.35*SQRT(9.80665*(General_Model!$D$4/1000))/A164)*A164))-(A164^2/(2*9.80665*General_Model!$D$7))*((4*(0.3164/((General_Model!$D$14*A164*(General_Model!$D$4/1000)/General_Model!$D$15)^0.25))*General_Model!$D$7/(General_Model!$D$4/1000)+1)+(4*(0.3164/((General_Model!$D$14*A164*(General_Model!$D$4/1000)/General_Model!$D$15)^0.25))*General_Model!$D$7/(General_Model!$D$4/1000)+2)*(General_Model!$D$26/A164))</f>
        <v>7.3237011107846778E-2</v>
      </c>
      <c r="C164" s="13">
        <f t="shared" si="2"/>
        <v>0</v>
      </c>
    </row>
    <row r="165" spans="1:3" x14ac:dyDescent="0.25">
      <c r="A165" s="11">
        <v>0.16300000000000001</v>
      </c>
      <c r="B165" s="12">
        <f>(General_Model!$D$6/General_Model!$D$7)-1/(1+General_Model!$D$26/((1.2+0.2*(General_Model!$D$26/A165)+0.35*SQRT(9.80665*(General_Model!$D$4/1000))/A165)*A165))-(A165^2/(2*9.80665*General_Model!$D$7))*((4*(0.3164/((General_Model!$D$14*A165*(General_Model!$D$4/1000)/General_Model!$D$15)^0.25))*General_Model!$D$7/(General_Model!$D$4/1000)+1)+(4*(0.3164/((General_Model!$D$14*A165*(General_Model!$D$4/1000)/General_Model!$D$15)^0.25))*General_Model!$D$7/(General_Model!$D$4/1000)+2)*(General_Model!$D$26/A165))</f>
        <v>7.2550492928233346E-2</v>
      </c>
      <c r="C165" s="13">
        <f t="shared" si="2"/>
        <v>0</v>
      </c>
    </row>
    <row r="166" spans="1:3" x14ac:dyDescent="0.25">
      <c r="A166" s="11">
        <v>0.16400000000000001</v>
      </c>
      <c r="B166" s="12">
        <f>(General_Model!$D$6/General_Model!$D$7)-1/(1+General_Model!$D$26/((1.2+0.2*(General_Model!$D$26/A166)+0.35*SQRT(9.80665*(General_Model!$D$4/1000))/A166)*A166))-(A166^2/(2*9.80665*General_Model!$D$7))*((4*(0.3164/((General_Model!$D$14*A166*(General_Model!$D$4/1000)/General_Model!$D$15)^0.25))*General_Model!$D$7/(General_Model!$D$4/1000)+1)+(4*(0.3164/((General_Model!$D$14*A166*(General_Model!$D$4/1000)/General_Model!$D$15)^0.25))*General_Model!$D$7/(General_Model!$D$4/1000)+2)*(General_Model!$D$26/A166))</f>
        <v>7.1864928955717985E-2</v>
      </c>
      <c r="C166" s="13">
        <f t="shared" si="2"/>
        <v>0</v>
      </c>
    </row>
    <row r="167" spans="1:3" x14ac:dyDescent="0.25">
      <c r="A167" s="11">
        <v>0.16500000000000001</v>
      </c>
      <c r="B167" s="12">
        <f>(General_Model!$D$6/General_Model!$D$7)-1/(1+General_Model!$D$26/((1.2+0.2*(General_Model!$D$26/A167)+0.35*SQRT(9.80665*(General_Model!$D$4/1000))/A167)*A167))-(A167^2/(2*9.80665*General_Model!$D$7))*((4*(0.3164/((General_Model!$D$14*A167*(General_Model!$D$4/1000)/General_Model!$D$15)^0.25))*General_Model!$D$7/(General_Model!$D$4/1000)+1)+(4*(0.3164/((General_Model!$D$14*A167*(General_Model!$D$4/1000)/General_Model!$D$15)^0.25))*General_Model!$D$7/(General_Model!$D$4/1000)+2)*(General_Model!$D$26/A167))</f>
        <v>7.1180315228533159E-2</v>
      </c>
      <c r="C167" s="13">
        <f t="shared" si="2"/>
        <v>0</v>
      </c>
    </row>
    <row r="168" spans="1:3" x14ac:dyDescent="0.25">
      <c r="A168" s="11">
        <v>0.16600000000000001</v>
      </c>
      <c r="B168" s="12">
        <f>(General_Model!$D$6/General_Model!$D$7)-1/(1+General_Model!$D$26/((1.2+0.2*(General_Model!$D$26/A168)+0.35*SQRT(9.80665*(General_Model!$D$4/1000))/A168)*A168))-(A168^2/(2*9.80665*General_Model!$D$7))*((4*(0.3164/((General_Model!$D$14*A168*(General_Model!$D$4/1000)/General_Model!$D$15)^0.25))*General_Model!$D$7/(General_Model!$D$4/1000)+1)+(4*(0.3164/((General_Model!$D$14*A168*(General_Model!$D$4/1000)/General_Model!$D$15)^0.25))*General_Model!$D$7/(General_Model!$D$4/1000)+2)*(General_Model!$D$26/A168))</f>
        <v>7.0496647806329596E-2</v>
      </c>
      <c r="C168" s="13">
        <f t="shared" si="2"/>
        <v>0</v>
      </c>
    </row>
    <row r="169" spans="1:3" x14ac:dyDescent="0.25">
      <c r="A169" s="11">
        <v>0.16700000000000001</v>
      </c>
      <c r="B169" s="12">
        <f>(General_Model!$D$6/General_Model!$D$7)-1/(1+General_Model!$D$26/((1.2+0.2*(General_Model!$D$26/A169)+0.35*SQRT(9.80665*(General_Model!$D$4/1000))/A169)*A169))-(A169^2/(2*9.80665*General_Model!$D$7))*((4*(0.3164/((General_Model!$D$14*A169*(General_Model!$D$4/1000)/General_Model!$D$15)^0.25))*General_Model!$D$7/(General_Model!$D$4/1000)+1)+(4*(0.3164/((General_Model!$D$14*A169*(General_Model!$D$4/1000)/General_Model!$D$15)^0.25))*General_Model!$D$7/(General_Model!$D$4/1000)+2)*(General_Model!$D$26/A169))</f>
        <v>6.9813922769966383E-2</v>
      </c>
      <c r="C169" s="13">
        <f t="shared" si="2"/>
        <v>0</v>
      </c>
    </row>
    <row r="170" spans="1:3" x14ac:dyDescent="0.25">
      <c r="A170" s="11">
        <v>0.16800000000000001</v>
      </c>
      <c r="B170" s="12">
        <f>(General_Model!$D$6/General_Model!$D$7)-1/(1+General_Model!$D$26/((1.2+0.2*(General_Model!$D$26/A170)+0.35*SQRT(9.80665*(General_Model!$D$4/1000))/A170)*A170))-(A170^2/(2*9.80665*General_Model!$D$7))*((4*(0.3164/((General_Model!$D$14*A170*(General_Model!$D$4/1000)/General_Model!$D$15)^0.25))*General_Model!$D$7/(General_Model!$D$4/1000)+1)+(4*(0.3164/((General_Model!$D$14*A170*(General_Model!$D$4/1000)/General_Model!$D$15)^0.25))*General_Model!$D$7/(General_Model!$D$4/1000)+2)*(General_Model!$D$26/A170))</f>
        <v>6.9132136221305401E-2</v>
      </c>
      <c r="C170" s="13">
        <f t="shared" si="2"/>
        <v>0</v>
      </c>
    </row>
    <row r="171" spans="1:3" x14ac:dyDescent="0.25">
      <c r="A171" s="11">
        <v>0.16900000000000001</v>
      </c>
      <c r="B171" s="12">
        <f>(General_Model!$D$6/General_Model!$D$7)-1/(1+General_Model!$D$26/((1.2+0.2*(General_Model!$D$26/A171)+0.35*SQRT(9.80665*(General_Model!$D$4/1000))/A171)*A171))-(A171^2/(2*9.80665*General_Model!$D$7))*((4*(0.3164/((General_Model!$D$14*A171*(General_Model!$D$4/1000)/General_Model!$D$15)^0.25))*General_Model!$D$7/(General_Model!$D$4/1000)+1)+(4*(0.3164/((General_Model!$D$14*A171*(General_Model!$D$4/1000)/General_Model!$D$15)^0.25))*General_Model!$D$7/(General_Model!$D$4/1000)+2)*(General_Model!$D$26/A171))</f>
        <v>6.8451284283009853E-2</v>
      </c>
      <c r="C171" s="13">
        <f t="shared" si="2"/>
        <v>0</v>
      </c>
    </row>
    <row r="172" spans="1:3" x14ac:dyDescent="0.25">
      <c r="A172" s="11">
        <v>0.17</v>
      </c>
      <c r="B172" s="12">
        <f>(General_Model!$D$6/General_Model!$D$7)-1/(1+General_Model!$D$26/((1.2+0.2*(General_Model!$D$26/A172)+0.35*SQRT(9.80665*(General_Model!$D$4/1000))/A172)*A172))-(A172^2/(2*9.80665*General_Model!$D$7))*((4*(0.3164/((General_Model!$D$14*A172*(General_Model!$D$4/1000)/General_Model!$D$15)^0.25))*General_Model!$D$7/(General_Model!$D$4/1000)+1)+(4*(0.3164/((General_Model!$D$14*A172*(General_Model!$D$4/1000)/General_Model!$D$15)^0.25))*General_Model!$D$7/(General_Model!$D$4/1000)+2)*(General_Model!$D$26/A172))</f>
        <v>6.7771363098345375E-2</v>
      </c>
      <c r="C172" s="13">
        <f t="shared" si="2"/>
        <v>0</v>
      </c>
    </row>
    <row r="173" spans="1:3" x14ac:dyDescent="0.25">
      <c r="A173" s="11">
        <v>0.17100000000000001</v>
      </c>
      <c r="B173" s="12">
        <f>(General_Model!$D$6/General_Model!$D$7)-1/(1+General_Model!$D$26/((1.2+0.2*(General_Model!$D$26/A173)+0.35*SQRT(9.80665*(General_Model!$D$4/1000))/A173)*A173))-(A173^2/(2*9.80665*General_Model!$D$7))*((4*(0.3164/((General_Model!$D$14*A173*(General_Model!$D$4/1000)/General_Model!$D$15)^0.25))*General_Model!$D$7/(General_Model!$D$4/1000)+1)+(4*(0.3164/((General_Model!$D$14*A173*(General_Model!$D$4/1000)/General_Model!$D$15)^0.25))*General_Model!$D$7/(General_Model!$D$4/1000)+2)*(General_Model!$D$26/A173))</f>
        <v>6.7092368830986349E-2</v>
      </c>
      <c r="C173" s="13">
        <f t="shared" si="2"/>
        <v>0</v>
      </c>
    </row>
    <row r="174" spans="1:3" x14ac:dyDescent="0.25">
      <c r="A174" s="11">
        <v>0.17199999999999999</v>
      </c>
      <c r="B174" s="12">
        <f>(General_Model!$D$6/General_Model!$D$7)-1/(1+General_Model!$D$26/((1.2+0.2*(General_Model!$D$26/A174)+0.35*SQRT(9.80665*(General_Model!$D$4/1000))/A174)*A174))-(A174^2/(2*9.80665*General_Model!$D$7))*((4*(0.3164/((General_Model!$D$14*A174*(General_Model!$D$4/1000)/General_Model!$D$15)^0.25))*General_Model!$D$7/(General_Model!$D$4/1000)+1)+(4*(0.3164/((General_Model!$D$14*A174*(General_Model!$D$4/1000)/General_Model!$D$15)^0.25))*General_Model!$D$7/(General_Model!$D$4/1000)+2)*(General_Model!$D$26/A174))</f>
        <v>6.6414297664824165E-2</v>
      </c>
      <c r="C174" s="13">
        <f t="shared" si="2"/>
        <v>0</v>
      </c>
    </row>
    <row r="175" spans="1:3" x14ac:dyDescent="0.25">
      <c r="A175" s="11">
        <v>0.17299999999999999</v>
      </c>
      <c r="B175" s="12">
        <f>(General_Model!$D$6/General_Model!$D$7)-1/(1+General_Model!$D$26/((1.2+0.2*(General_Model!$D$26/A175)+0.35*SQRT(9.80665*(General_Model!$D$4/1000))/A175)*A175))-(A175^2/(2*9.80665*General_Model!$D$7))*((4*(0.3164/((General_Model!$D$14*A175*(General_Model!$D$4/1000)/General_Model!$D$15)^0.25))*General_Model!$D$7/(General_Model!$D$4/1000)+1)+(4*(0.3164/((General_Model!$D$14*A175*(General_Model!$D$4/1000)/General_Model!$D$15)^0.25))*General_Model!$D$7/(General_Model!$D$4/1000)+2)*(General_Model!$D$26/A175))</f>
        <v>6.5737145803780053E-2</v>
      </c>
      <c r="C175" s="13">
        <f t="shared" si="2"/>
        <v>0</v>
      </c>
    </row>
    <row r="176" spans="1:3" x14ac:dyDescent="0.25">
      <c r="A176" s="11">
        <v>0.17399999999999999</v>
      </c>
      <c r="B176" s="12">
        <f>(General_Model!$D$6/General_Model!$D$7)-1/(1+General_Model!$D$26/((1.2+0.2*(General_Model!$D$26/A176)+0.35*SQRT(9.80665*(General_Model!$D$4/1000))/A176)*A176))-(A176^2/(2*9.80665*General_Model!$D$7))*((4*(0.3164/((General_Model!$D$14*A176*(General_Model!$D$4/1000)/General_Model!$D$15)^0.25))*General_Model!$D$7/(General_Model!$D$4/1000)+1)+(4*(0.3164/((General_Model!$D$14*A176*(General_Model!$D$4/1000)/General_Model!$D$15)^0.25))*General_Model!$D$7/(General_Model!$D$4/1000)+2)*(General_Model!$D$26/A176))</f>
        <v>6.5060909471619785E-2</v>
      </c>
      <c r="C176" s="13">
        <f t="shared" si="2"/>
        <v>0</v>
      </c>
    </row>
    <row r="177" spans="1:3" x14ac:dyDescent="0.25">
      <c r="A177" s="11">
        <v>0.17499999999999999</v>
      </c>
      <c r="B177" s="12">
        <f>(General_Model!$D$6/General_Model!$D$7)-1/(1+General_Model!$D$26/((1.2+0.2*(General_Model!$D$26/A177)+0.35*SQRT(9.80665*(General_Model!$D$4/1000))/A177)*A177))-(A177^2/(2*9.80665*General_Model!$D$7))*((4*(0.3164/((General_Model!$D$14*A177*(General_Model!$D$4/1000)/General_Model!$D$15)^0.25))*General_Model!$D$7/(General_Model!$D$4/1000)+1)+(4*(0.3164/((General_Model!$D$14*A177*(General_Model!$D$4/1000)/General_Model!$D$15)^0.25))*General_Model!$D$7/(General_Model!$D$4/1000)+2)*(General_Model!$D$26/A177))</f>
        <v>6.4385584911773583E-2</v>
      </c>
      <c r="C177" s="13">
        <f t="shared" si="2"/>
        <v>0</v>
      </c>
    </row>
    <row r="178" spans="1:3" x14ac:dyDescent="0.25">
      <c r="A178" s="11">
        <v>0.17599999999999999</v>
      </c>
      <c r="B178" s="12">
        <f>(General_Model!$D$6/General_Model!$D$7)-1/(1+General_Model!$D$26/((1.2+0.2*(General_Model!$D$26/A178)+0.35*SQRT(9.80665*(General_Model!$D$4/1000))/A178)*A178))-(A178^2/(2*9.80665*General_Model!$D$7))*((4*(0.3164/((General_Model!$D$14*A178*(General_Model!$D$4/1000)/General_Model!$D$15)^0.25))*General_Model!$D$7/(General_Model!$D$4/1000)+1)+(4*(0.3164/((General_Model!$D$14*A178*(General_Model!$D$4/1000)/General_Model!$D$15)^0.25))*General_Model!$D$7/(General_Model!$D$4/1000)+2)*(General_Model!$D$26/A178))</f>
        <v>6.3711168387157388E-2</v>
      </c>
      <c r="C178" s="13">
        <f t="shared" si="2"/>
        <v>0</v>
      </c>
    </row>
    <row r="179" spans="1:3" x14ac:dyDescent="0.25">
      <c r="A179" s="11">
        <v>0.17699999999999999</v>
      </c>
      <c r="B179" s="12">
        <f>(General_Model!$D$6/General_Model!$D$7)-1/(1+General_Model!$D$26/((1.2+0.2*(General_Model!$D$26/A179)+0.35*SQRT(9.80665*(General_Model!$D$4/1000))/A179)*A179))-(A179^2/(2*9.80665*General_Model!$D$7))*((4*(0.3164/((General_Model!$D$14*A179*(General_Model!$D$4/1000)/General_Model!$D$15)^0.25))*General_Model!$D$7/(General_Model!$D$4/1000)+1)+(4*(0.3164/((General_Model!$D$14*A179*(General_Model!$D$4/1000)/General_Model!$D$15)^0.25))*General_Model!$D$7/(General_Model!$D$4/1000)+2)*(General_Model!$D$26/A179))</f>
        <v>6.3037656179997709E-2</v>
      </c>
      <c r="C179" s="13">
        <f t="shared" si="2"/>
        <v>0</v>
      </c>
    </row>
    <row r="180" spans="1:3" x14ac:dyDescent="0.25">
      <c r="A180" s="11">
        <v>0.17799999999999999</v>
      </c>
      <c r="B180" s="12">
        <f>(General_Model!$D$6/General_Model!$D$7)-1/(1+General_Model!$D$26/((1.2+0.2*(General_Model!$D$26/A180)+0.35*SQRT(9.80665*(General_Model!$D$4/1000))/A180)*A180))-(A180^2/(2*9.80665*General_Model!$D$7))*((4*(0.3164/((General_Model!$D$14*A180*(General_Model!$D$4/1000)/General_Model!$D$15)^0.25))*General_Model!$D$7/(General_Model!$D$4/1000)+1)+(4*(0.3164/((General_Model!$D$14*A180*(General_Model!$D$4/1000)/General_Model!$D$15)^0.25))*General_Model!$D$7/(General_Model!$D$4/1000)+2)*(General_Model!$D$26/A180))</f>
        <v>6.2365044591660007E-2</v>
      </c>
      <c r="C180" s="13">
        <f t="shared" si="2"/>
        <v>0</v>
      </c>
    </row>
    <row r="181" spans="1:3" x14ac:dyDescent="0.25">
      <c r="A181" s="11">
        <v>0.17899999999999999</v>
      </c>
      <c r="B181" s="12">
        <f>(General_Model!$D$6/General_Model!$D$7)-1/(1+General_Model!$D$26/((1.2+0.2*(General_Model!$D$26/A181)+0.35*SQRT(9.80665*(General_Model!$D$4/1000))/A181)*A181))-(A181^2/(2*9.80665*General_Model!$D$7))*((4*(0.3164/((General_Model!$D$14*A181*(General_Model!$D$4/1000)/General_Model!$D$15)^0.25))*General_Model!$D$7/(General_Model!$D$4/1000)+1)+(4*(0.3164/((General_Model!$D$14*A181*(General_Model!$D$4/1000)/General_Model!$D$15)^0.25))*General_Model!$D$7/(General_Model!$D$4/1000)+2)*(General_Model!$D$26/A181))</f>
        <v>6.1693329942478989E-2</v>
      </c>
      <c r="C181" s="13">
        <f t="shared" si="2"/>
        <v>0</v>
      </c>
    </row>
    <row r="182" spans="1:3" x14ac:dyDescent="0.25">
      <c r="A182" s="11">
        <v>0.18</v>
      </c>
      <c r="B182" s="12">
        <f>(General_Model!$D$6/General_Model!$D$7)-1/(1+General_Model!$D$26/((1.2+0.2*(General_Model!$D$26/A182)+0.35*SQRT(9.80665*(General_Model!$D$4/1000))/A182)*A182))-(A182^2/(2*9.80665*General_Model!$D$7))*((4*(0.3164/((General_Model!$D$14*A182*(General_Model!$D$4/1000)/General_Model!$D$15)^0.25))*General_Model!$D$7/(General_Model!$D$4/1000)+1)+(4*(0.3164/((General_Model!$D$14*A182*(General_Model!$D$4/1000)/General_Model!$D$15)^0.25))*General_Model!$D$7/(General_Model!$D$4/1000)+2)*(General_Model!$D$26/A182))</f>
        <v>6.1022508571592179E-2</v>
      </c>
      <c r="C182" s="13">
        <f t="shared" si="2"/>
        <v>0</v>
      </c>
    </row>
    <row r="183" spans="1:3" x14ac:dyDescent="0.25">
      <c r="A183" s="11">
        <v>0.18099999999999999</v>
      </c>
      <c r="B183" s="12">
        <f>(General_Model!$D$6/General_Model!$D$7)-1/(1+General_Model!$D$26/((1.2+0.2*(General_Model!$D$26/A183)+0.35*SQRT(9.80665*(General_Model!$D$4/1000))/A183)*A183))-(A183^2/(2*9.80665*General_Model!$D$7))*((4*(0.3164/((General_Model!$D$14*A183*(General_Model!$D$4/1000)/General_Model!$D$15)^0.25))*General_Model!$D$7/(General_Model!$D$4/1000)+1)+(4*(0.3164/((General_Model!$D$14*A183*(General_Model!$D$4/1000)/General_Model!$D$15)^0.25))*General_Model!$D$7/(General_Model!$D$4/1000)+2)*(General_Model!$D$26/A183))</f>
        <v>6.0352576836776417E-2</v>
      </c>
      <c r="C183" s="13">
        <f t="shared" si="2"/>
        <v>0</v>
      </c>
    </row>
    <row r="184" spans="1:3" x14ac:dyDescent="0.25">
      <c r="A184" s="11">
        <v>0.182</v>
      </c>
      <c r="B184" s="12">
        <f>(General_Model!$D$6/General_Model!$D$7)-1/(1+General_Model!$D$26/((1.2+0.2*(General_Model!$D$26/A184)+0.35*SQRT(9.80665*(General_Model!$D$4/1000))/A184)*A184))-(A184^2/(2*9.80665*General_Model!$D$7))*((4*(0.3164/((General_Model!$D$14*A184*(General_Model!$D$4/1000)/General_Model!$D$15)^0.25))*General_Model!$D$7/(General_Model!$D$4/1000)+1)+(4*(0.3164/((General_Model!$D$14*A184*(General_Model!$D$4/1000)/General_Model!$D$15)^0.25))*General_Model!$D$7/(General_Model!$D$4/1000)+2)*(General_Model!$D$26/A184))</f>
        <v>5.9683531114286717E-2</v>
      </c>
      <c r="C184" s="13">
        <f t="shared" si="2"/>
        <v>0</v>
      </c>
    </row>
    <row r="185" spans="1:3" x14ac:dyDescent="0.25">
      <c r="A185" s="11">
        <v>0.183</v>
      </c>
      <c r="B185" s="12">
        <f>(General_Model!$D$6/General_Model!$D$7)-1/(1+General_Model!$D$26/((1.2+0.2*(General_Model!$D$26/A185)+0.35*SQRT(9.80665*(General_Model!$D$4/1000))/A185)*A185))-(A185^2/(2*9.80665*General_Model!$D$7))*((4*(0.3164/((General_Model!$D$14*A185*(General_Model!$D$4/1000)/General_Model!$D$15)^0.25))*General_Model!$D$7/(General_Model!$D$4/1000)+1)+(4*(0.3164/((General_Model!$D$14*A185*(General_Model!$D$4/1000)/General_Model!$D$15)^0.25))*General_Model!$D$7/(General_Model!$D$4/1000)+2)*(General_Model!$D$26/A185))</f>
        <v>5.9015367798697586E-2</v>
      </c>
      <c r="C185" s="13">
        <f t="shared" si="2"/>
        <v>0</v>
      </c>
    </row>
    <row r="186" spans="1:3" x14ac:dyDescent="0.25">
      <c r="A186" s="11">
        <v>0.184</v>
      </c>
      <c r="B186" s="12">
        <f>(General_Model!$D$6/General_Model!$D$7)-1/(1+General_Model!$D$26/((1.2+0.2*(General_Model!$D$26/A186)+0.35*SQRT(9.80665*(General_Model!$D$4/1000))/A186)*A186))-(A186^2/(2*9.80665*General_Model!$D$7))*((4*(0.3164/((General_Model!$D$14*A186*(General_Model!$D$4/1000)/General_Model!$D$15)^0.25))*General_Model!$D$7/(General_Model!$D$4/1000)+1)+(4*(0.3164/((General_Model!$D$14*A186*(General_Model!$D$4/1000)/General_Model!$D$15)^0.25))*General_Model!$D$7/(General_Model!$D$4/1000)+2)*(General_Model!$D$26/A186))</f>
        <v>5.8348083302747412E-2</v>
      </c>
      <c r="C186" s="13">
        <f t="shared" si="2"/>
        <v>0</v>
      </c>
    </row>
    <row r="187" spans="1:3" x14ac:dyDescent="0.25">
      <c r="A187" s="11">
        <v>0.185</v>
      </c>
      <c r="B187" s="12">
        <f>(General_Model!$D$6/General_Model!$D$7)-1/(1+General_Model!$D$26/((1.2+0.2*(General_Model!$D$26/A187)+0.35*SQRT(9.80665*(General_Model!$D$4/1000))/A187)*A187))-(A187^2/(2*9.80665*General_Model!$D$7))*((4*(0.3164/((General_Model!$D$14*A187*(General_Model!$D$4/1000)/General_Model!$D$15)^0.25))*General_Model!$D$7/(General_Model!$D$4/1000)+1)+(4*(0.3164/((General_Model!$D$14*A187*(General_Model!$D$4/1000)/General_Model!$D$15)^0.25))*General_Model!$D$7/(General_Model!$D$4/1000)+2)*(General_Model!$D$26/A187))</f>
        <v>5.7681674057184426E-2</v>
      </c>
      <c r="C187" s="13">
        <f t="shared" si="2"/>
        <v>0</v>
      </c>
    </row>
    <row r="188" spans="1:3" x14ac:dyDescent="0.25">
      <c r="A188" s="11">
        <v>0.186</v>
      </c>
      <c r="B188" s="12">
        <f>(General_Model!$D$6/General_Model!$D$7)-1/(1+General_Model!$D$26/((1.2+0.2*(General_Model!$D$26/A188)+0.35*SQRT(9.80665*(General_Model!$D$4/1000))/A188)*A188))-(A188^2/(2*9.80665*General_Model!$D$7))*((4*(0.3164/((General_Model!$D$14*A188*(General_Model!$D$4/1000)/General_Model!$D$15)^0.25))*General_Model!$D$7/(General_Model!$D$4/1000)+1)+(4*(0.3164/((General_Model!$D$14*A188*(General_Model!$D$4/1000)/General_Model!$D$15)^0.25))*General_Model!$D$7/(General_Model!$D$4/1000)+2)*(General_Model!$D$26/A188))</f>
        <v>5.7016136510615829E-2</v>
      </c>
      <c r="C188" s="13">
        <f t="shared" si="2"/>
        <v>0</v>
      </c>
    </row>
    <row r="189" spans="1:3" x14ac:dyDescent="0.25">
      <c r="A189" s="11">
        <v>0.187</v>
      </c>
      <c r="B189" s="12">
        <f>(General_Model!$D$6/General_Model!$D$7)-1/(1+General_Model!$D$26/((1.2+0.2*(General_Model!$D$26/A189)+0.35*SQRT(9.80665*(General_Model!$D$4/1000))/A189)*A189))-(A189^2/(2*9.80665*General_Model!$D$7))*((4*(0.3164/((General_Model!$D$14*A189*(General_Model!$D$4/1000)/General_Model!$D$15)^0.25))*General_Model!$D$7/(General_Model!$D$4/1000)+1)+(4*(0.3164/((General_Model!$D$14*A189*(General_Model!$D$4/1000)/General_Model!$D$15)^0.25))*General_Model!$D$7/(General_Model!$D$4/1000)+2)*(General_Model!$D$26/A189))</f>
        <v>5.6351467129359206E-2</v>
      </c>
      <c r="C189" s="13">
        <f t="shared" si="2"/>
        <v>0</v>
      </c>
    </row>
    <row r="190" spans="1:3" x14ac:dyDescent="0.25">
      <c r="A190" s="11">
        <v>0.188</v>
      </c>
      <c r="B190" s="12">
        <f>(General_Model!$D$6/General_Model!$D$7)-1/(1+General_Model!$D$26/((1.2+0.2*(General_Model!$D$26/A190)+0.35*SQRT(9.80665*(General_Model!$D$4/1000))/A190)*A190))-(A190^2/(2*9.80665*General_Model!$D$7))*((4*(0.3164/((General_Model!$D$14*A190*(General_Model!$D$4/1000)/General_Model!$D$15)^0.25))*General_Model!$D$7/(General_Model!$D$4/1000)+1)+(4*(0.3164/((General_Model!$D$14*A190*(General_Model!$D$4/1000)/General_Model!$D$15)^0.25))*General_Model!$D$7/(General_Model!$D$4/1000)+2)*(General_Model!$D$26/A190))</f>
        <v>5.5687662397295709E-2</v>
      </c>
      <c r="C190" s="13">
        <f t="shared" si="2"/>
        <v>0</v>
      </c>
    </row>
    <row r="191" spans="1:3" x14ac:dyDescent="0.25">
      <c r="A191" s="11">
        <v>0.189</v>
      </c>
      <c r="B191" s="12">
        <f>(General_Model!$D$6/General_Model!$D$7)-1/(1+General_Model!$D$26/((1.2+0.2*(General_Model!$D$26/A191)+0.35*SQRT(9.80665*(General_Model!$D$4/1000))/A191)*A191))-(A191^2/(2*9.80665*General_Model!$D$7))*((4*(0.3164/((General_Model!$D$14*A191*(General_Model!$D$4/1000)/General_Model!$D$15)^0.25))*General_Model!$D$7/(General_Model!$D$4/1000)+1)+(4*(0.3164/((General_Model!$D$14*A191*(General_Model!$D$4/1000)/General_Model!$D$15)^0.25))*General_Model!$D$7/(General_Model!$D$4/1000)+2)*(General_Model!$D$26/A191))</f>
        <v>5.5024718815725772E-2</v>
      </c>
      <c r="C191" s="13">
        <f t="shared" si="2"/>
        <v>0</v>
      </c>
    </row>
    <row r="192" spans="1:3" x14ac:dyDescent="0.25">
      <c r="A192" s="11">
        <v>0.19</v>
      </c>
      <c r="B192" s="12">
        <f>(General_Model!$D$6/General_Model!$D$7)-1/(1+General_Model!$D$26/((1.2+0.2*(General_Model!$D$26/A192)+0.35*SQRT(9.80665*(General_Model!$D$4/1000))/A192)*A192))-(A192^2/(2*9.80665*General_Model!$D$7))*((4*(0.3164/((General_Model!$D$14*A192*(General_Model!$D$4/1000)/General_Model!$D$15)^0.25))*General_Model!$D$7/(General_Model!$D$4/1000)+1)+(4*(0.3164/((General_Model!$D$14*A192*(General_Model!$D$4/1000)/General_Model!$D$15)^0.25))*General_Model!$D$7/(General_Model!$D$4/1000)+2)*(General_Model!$D$26/A192))</f>
        <v>5.4362632903226821E-2</v>
      </c>
      <c r="C192" s="13">
        <f t="shared" si="2"/>
        <v>0</v>
      </c>
    </row>
    <row r="193" spans="1:3" x14ac:dyDescent="0.25">
      <c r="A193" s="11">
        <v>0.191</v>
      </c>
      <c r="B193" s="12">
        <f>(General_Model!$D$6/General_Model!$D$7)-1/(1+General_Model!$D$26/((1.2+0.2*(General_Model!$D$26/A193)+0.35*SQRT(9.80665*(General_Model!$D$4/1000))/A193)*A193))-(A193^2/(2*9.80665*General_Model!$D$7))*((4*(0.3164/((General_Model!$D$14*A193*(General_Model!$D$4/1000)/General_Model!$D$15)^0.25))*General_Model!$D$7/(General_Model!$D$4/1000)+1)+(4*(0.3164/((General_Model!$D$14*A193*(General_Model!$D$4/1000)/General_Model!$D$15)^0.25))*General_Model!$D$7/(General_Model!$D$4/1000)+2)*(General_Model!$D$26/A193))</f>
        <v>5.3701401195514004E-2</v>
      </c>
      <c r="C193" s="13">
        <f t="shared" si="2"/>
        <v>0</v>
      </c>
    </row>
    <row r="194" spans="1:3" x14ac:dyDescent="0.25">
      <c r="A194" s="11">
        <v>0.192</v>
      </c>
      <c r="B194" s="12">
        <f>(General_Model!$D$6/General_Model!$D$7)-1/(1+General_Model!$D$26/((1.2+0.2*(General_Model!$D$26/A194)+0.35*SQRT(9.80665*(General_Model!$D$4/1000))/A194)*A194))-(A194^2/(2*9.80665*General_Model!$D$7))*((4*(0.3164/((General_Model!$D$14*A194*(General_Model!$D$4/1000)/General_Model!$D$15)^0.25))*General_Model!$D$7/(General_Model!$D$4/1000)+1)+(4*(0.3164/((General_Model!$D$14*A194*(General_Model!$D$4/1000)/General_Model!$D$15)^0.25))*General_Model!$D$7/(General_Model!$D$4/1000)+2)*(General_Model!$D$26/A194))</f>
        <v>5.3041020245301149E-2</v>
      </c>
      <c r="C194" s="13">
        <f t="shared" si="2"/>
        <v>0</v>
      </c>
    </row>
    <row r="195" spans="1:3" x14ac:dyDescent="0.25">
      <c r="A195" s="11">
        <v>0.193</v>
      </c>
      <c r="B195" s="12">
        <f>(General_Model!$D$6/General_Model!$D$7)-1/(1+General_Model!$D$26/((1.2+0.2*(General_Model!$D$26/A195)+0.35*SQRT(9.80665*(General_Model!$D$4/1000))/A195)*A195))-(A195^2/(2*9.80665*General_Model!$D$7))*((4*(0.3164/((General_Model!$D$14*A195*(General_Model!$D$4/1000)/General_Model!$D$15)^0.25))*General_Model!$D$7/(General_Model!$D$4/1000)+1)+(4*(0.3164/((General_Model!$D$14*A195*(General_Model!$D$4/1000)/General_Model!$D$15)^0.25))*General_Model!$D$7/(General_Model!$D$4/1000)+2)*(General_Model!$D$26/A195))</f>
        <v>5.2381486622165338E-2</v>
      </c>
      <c r="C195" s="13">
        <f t="shared" ref="C195:C258" si="3">IF(B195*B196&lt;=0,1,0)</f>
        <v>0</v>
      </c>
    </row>
    <row r="196" spans="1:3" x14ac:dyDescent="0.25">
      <c r="A196" s="11">
        <v>0.19400000000000001</v>
      </c>
      <c r="B196" s="12">
        <f>(General_Model!$D$6/General_Model!$D$7)-1/(1+General_Model!$D$26/((1.2+0.2*(General_Model!$D$26/A196)+0.35*SQRT(9.80665*(General_Model!$D$4/1000))/A196)*A196))-(A196^2/(2*9.80665*General_Model!$D$7))*((4*(0.3164/((General_Model!$D$14*A196*(General_Model!$D$4/1000)/General_Model!$D$15)^0.25))*General_Model!$D$7/(General_Model!$D$4/1000)+1)+(4*(0.3164/((General_Model!$D$14*A196*(General_Model!$D$4/1000)/General_Model!$D$15)^0.25))*General_Model!$D$7/(General_Model!$D$4/1000)+2)*(General_Model!$D$26/A196))</f>
        <v>5.1722796912413202E-2</v>
      </c>
      <c r="C196" s="13">
        <f t="shared" si="3"/>
        <v>0</v>
      </c>
    </row>
    <row r="197" spans="1:3" x14ac:dyDescent="0.25">
      <c r="A197" s="11">
        <v>0.19500000000000001</v>
      </c>
      <c r="B197" s="12">
        <f>(General_Model!$D$6/General_Model!$D$7)-1/(1+General_Model!$D$26/((1.2+0.2*(General_Model!$D$26/A197)+0.35*SQRT(9.80665*(General_Model!$D$4/1000))/A197)*A197))-(A197^2/(2*9.80665*General_Model!$D$7))*((4*(0.3164/((General_Model!$D$14*A197*(General_Model!$D$4/1000)/General_Model!$D$15)^0.25))*General_Model!$D$7/(General_Model!$D$4/1000)+1)+(4*(0.3164/((General_Model!$D$14*A197*(General_Model!$D$4/1000)/General_Model!$D$15)^0.25))*General_Model!$D$7/(General_Model!$D$4/1000)+2)*(General_Model!$D$26/A197))</f>
        <v>5.10649477189484E-2</v>
      </c>
      <c r="C197" s="13">
        <f t="shared" si="3"/>
        <v>0</v>
      </c>
    </row>
    <row r="198" spans="1:3" x14ac:dyDescent="0.25">
      <c r="A198" s="11">
        <v>0.19600000000000001</v>
      </c>
      <c r="B198" s="12">
        <f>(General_Model!$D$6/General_Model!$D$7)-1/(1+General_Model!$D$26/((1.2+0.2*(General_Model!$D$26/A198)+0.35*SQRT(9.80665*(General_Model!$D$4/1000))/A198)*A198))-(A198^2/(2*9.80665*General_Model!$D$7))*((4*(0.3164/((General_Model!$D$14*A198*(General_Model!$D$4/1000)/General_Model!$D$15)^0.25))*General_Model!$D$7/(General_Model!$D$4/1000)+1)+(4*(0.3164/((General_Model!$D$14*A198*(General_Model!$D$4/1000)/General_Model!$D$15)^0.25))*General_Model!$D$7/(General_Model!$D$4/1000)+2)*(General_Model!$D$26/A198))</f>
        <v>5.0407935661141448E-2</v>
      </c>
      <c r="C198" s="13">
        <f t="shared" si="3"/>
        <v>0</v>
      </c>
    </row>
    <row r="199" spans="1:3" x14ac:dyDescent="0.25">
      <c r="A199" s="11">
        <v>0.19700000000000001</v>
      </c>
      <c r="B199" s="12">
        <f>(General_Model!$D$6/General_Model!$D$7)-1/(1+General_Model!$D$26/((1.2+0.2*(General_Model!$D$26/A199)+0.35*SQRT(9.80665*(General_Model!$D$4/1000))/A199)*A199))-(A199^2/(2*9.80665*General_Model!$D$7))*((4*(0.3164/((General_Model!$D$14*A199*(General_Model!$D$4/1000)/General_Model!$D$15)^0.25))*General_Model!$D$7/(General_Model!$D$4/1000)+1)+(4*(0.3164/((General_Model!$D$14*A199*(General_Model!$D$4/1000)/General_Model!$D$15)^0.25))*General_Model!$D$7/(General_Model!$D$4/1000)+2)*(General_Model!$D$26/A199))</f>
        <v>4.9751757374701867E-2</v>
      </c>
      <c r="C199" s="13">
        <f t="shared" si="3"/>
        <v>0</v>
      </c>
    </row>
    <row r="200" spans="1:3" x14ac:dyDescent="0.25">
      <c r="A200" s="11">
        <v>0.19800000000000001</v>
      </c>
      <c r="B200" s="12">
        <f>(General_Model!$D$6/General_Model!$D$7)-1/(1+General_Model!$D$26/((1.2+0.2*(General_Model!$D$26/A200)+0.35*SQRT(9.80665*(General_Model!$D$4/1000))/A200)*A200))-(A200^2/(2*9.80665*General_Model!$D$7))*((4*(0.3164/((General_Model!$D$14*A200*(General_Model!$D$4/1000)/General_Model!$D$15)^0.25))*General_Model!$D$7/(General_Model!$D$4/1000)+1)+(4*(0.3164/((General_Model!$D$14*A200*(General_Model!$D$4/1000)/General_Model!$D$15)^0.25))*General_Model!$D$7/(General_Model!$D$4/1000)+2)*(General_Model!$D$26/A200))</f>
        <v>4.9096409511550754E-2</v>
      </c>
      <c r="C200" s="13">
        <f t="shared" si="3"/>
        <v>0</v>
      </c>
    </row>
    <row r="201" spans="1:3" x14ac:dyDescent="0.25">
      <c r="A201" s="11">
        <v>0.19900000000000001</v>
      </c>
      <c r="B201" s="12">
        <f>(General_Model!$D$6/General_Model!$D$7)-1/(1+General_Model!$D$26/((1.2+0.2*(General_Model!$D$26/A201)+0.35*SQRT(9.80665*(General_Model!$D$4/1000))/A201)*A201))-(A201^2/(2*9.80665*General_Model!$D$7))*((4*(0.3164/((General_Model!$D$14*A201*(General_Model!$D$4/1000)/General_Model!$D$15)^0.25))*General_Model!$D$7/(General_Model!$D$4/1000)+1)+(4*(0.3164/((General_Model!$D$14*A201*(General_Model!$D$4/1000)/General_Model!$D$15)^0.25))*General_Model!$D$7/(General_Model!$D$4/1000)+2)*(General_Model!$D$26/A201))</f>
        <v>4.844188873969673E-2</v>
      </c>
      <c r="C201" s="13">
        <f t="shared" si="3"/>
        <v>0</v>
      </c>
    </row>
    <row r="202" spans="1:3" x14ac:dyDescent="0.25">
      <c r="A202" s="11">
        <v>0.2</v>
      </c>
      <c r="B202" s="12">
        <f>(General_Model!$D$6/General_Model!$D$7)-1/(1+General_Model!$D$26/((1.2+0.2*(General_Model!$D$26/A202)+0.35*SQRT(9.80665*(General_Model!$D$4/1000))/A202)*A202))-(A202^2/(2*9.80665*General_Model!$D$7))*((4*(0.3164/((General_Model!$D$14*A202*(General_Model!$D$4/1000)/General_Model!$D$15)^0.25))*General_Model!$D$7/(General_Model!$D$4/1000)+1)+(4*(0.3164/((General_Model!$D$14*A202*(General_Model!$D$4/1000)/General_Model!$D$15)^0.25))*General_Model!$D$7/(General_Model!$D$4/1000)+2)*(General_Model!$D$26/A202))</f>
        <v>4.7788191743112725E-2</v>
      </c>
      <c r="C202" s="13">
        <f t="shared" si="3"/>
        <v>0</v>
      </c>
    </row>
    <row r="203" spans="1:3" x14ac:dyDescent="0.25">
      <c r="A203" s="11">
        <v>0.20100000000000001</v>
      </c>
      <c r="B203" s="12">
        <f>(General_Model!$D$6/General_Model!$D$7)-1/(1+General_Model!$D$26/((1.2+0.2*(General_Model!$D$26/A203)+0.35*SQRT(9.80665*(General_Model!$D$4/1000))/A203)*A203))-(A203^2/(2*9.80665*General_Model!$D$7))*((4*(0.3164/((General_Model!$D$14*A203*(General_Model!$D$4/1000)/General_Model!$D$15)^0.25))*General_Model!$D$7/(General_Model!$D$4/1000)+1)+(4*(0.3164/((General_Model!$D$14*A203*(General_Model!$D$4/1000)/General_Model!$D$15)^0.25))*General_Model!$D$7/(General_Model!$D$4/1000)+2)*(General_Model!$D$26/A203))</f>
        <v>4.7135315221614016E-2</v>
      </c>
      <c r="C203" s="13">
        <f t="shared" si="3"/>
        <v>0</v>
      </c>
    </row>
    <row r="204" spans="1:3" x14ac:dyDescent="0.25">
      <c r="A204" s="11">
        <v>0.20200000000000001</v>
      </c>
      <c r="B204" s="12">
        <f>(General_Model!$D$6/General_Model!$D$7)-1/(1+General_Model!$D$26/((1.2+0.2*(General_Model!$D$26/A204)+0.35*SQRT(9.80665*(General_Model!$D$4/1000))/A204)*A204))-(A204^2/(2*9.80665*General_Model!$D$7))*((4*(0.3164/((General_Model!$D$14*A204*(General_Model!$D$4/1000)/General_Model!$D$15)^0.25))*General_Model!$D$7/(General_Model!$D$4/1000)+1)+(4*(0.3164/((General_Model!$D$14*A204*(General_Model!$D$4/1000)/General_Model!$D$15)^0.25))*General_Model!$D$7/(General_Model!$D$4/1000)+2)*(General_Model!$D$26/A204))</f>
        <v>4.6483255890739074E-2</v>
      </c>
      <c r="C204" s="13">
        <f t="shared" si="3"/>
        <v>0</v>
      </c>
    </row>
    <row r="205" spans="1:3" x14ac:dyDescent="0.25">
      <c r="A205" s="11">
        <v>0.20300000000000001</v>
      </c>
      <c r="B205" s="12">
        <f>(General_Model!$D$6/General_Model!$D$7)-1/(1+General_Model!$D$26/((1.2+0.2*(General_Model!$D$26/A205)+0.35*SQRT(9.80665*(General_Model!$D$4/1000))/A205)*A205))-(A205^2/(2*9.80665*General_Model!$D$7))*((4*(0.3164/((General_Model!$D$14*A205*(General_Model!$D$4/1000)/General_Model!$D$15)^0.25))*General_Model!$D$7/(General_Model!$D$4/1000)+1)+(4*(0.3164/((General_Model!$D$14*A205*(General_Model!$D$4/1000)/General_Model!$D$15)^0.25))*General_Model!$D$7/(General_Model!$D$4/1000)+2)*(General_Model!$D$26/A205))</f>
        <v>4.5832010481630936E-2</v>
      </c>
      <c r="C205" s="13">
        <f t="shared" si="3"/>
        <v>0</v>
      </c>
    </row>
    <row r="206" spans="1:3" x14ac:dyDescent="0.25">
      <c r="A206" s="11">
        <v>0.20399999999999999</v>
      </c>
      <c r="B206" s="12">
        <f>(General_Model!$D$6/General_Model!$D$7)-1/(1+General_Model!$D$26/((1.2+0.2*(General_Model!$D$26/A206)+0.35*SQRT(9.80665*(General_Model!$D$4/1000))/A206)*A206))-(A206^2/(2*9.80665*General_Model!$D$7))*((4*(0.3164/((General_Model!$D$14*A206*(General_Model!$D$4/1000)/General_Model!$D$15)^0.25))*General_Model!$D$7/(General_Model!$D$4/1000)+1)+(4*(0.3164/((General_Model!$D$14*A206*(General_Model!$D$4/1000)/General_Model!$D$15)^0.25))*General_Model!$D$7/(General_Model!$D$4/1000)+2)*(General_Model!$D$26/A206))</f>
        <v>4.5181575740921048E-2</v>
      </c>
      <c r="C206" s="13">
        <f t="shared" si="3"/>
        <v>0</v>
      </c>
    </row>
    <row r="207" spans="1:3" x14ac:dyDescent="0.25">
      <c r="A207" s="11">
        <v>0.20499999999999999</v>
      </c>
      <c r="B207" s="12">
        <f>(General_Model!$D$6/General_Model!$D$7)-1/(1+General_Model!$D$26/((1.2+0.2*(General_Model!$D$26/A207)+0.35*SQRT(9.80665*(General_Model!$D$4/1000))/A207)*A207))-(A207^2/(2*9.80665*General_Model!$D$7))*((4*(0.3164/((General_Model!$D$14*A207*(General_Model!$D$4/1000)/General_Model!$D$15)^0.25))*General_Model!$D$7/(General_Model!$D$4/1000)+1)+(4*(0.3164/((General_Model!$D$14*A207*(General_Model!$D$4/1000)/General_Model!$D$15)^0.25))*General_Model!$D$7/(General_Model!$D$4/1000)+2)*(General_Model!$D$26/A207))</f>
        <v>4.4531948430613394E-2</v>
      </c>
      <c r="C207" s="13">
        <f t="shared" si="3"/>
        <v>0</v>
      </c>
    </row>
    <row r="208" spans="1:3" x14ac:dyDescent="0.25">
      <c r="A208" s="11">
        <v>0.20599999999999999</v>
      </c>
      <c r="B208" s="12">
        <f>(General_Model!$D$6/General_Model!$D$7)-1/(1+General_Model!$D$26/((1.2+0.2*(General_Model!$D$26/A208)+0.35*SQRT(9.80665*(General_Model!$D$4/1000))/A208)*A208))-(A208^2/(2*9.80665*General_Model!$D$7))*((4*(0.3164/((General_Model!$D$14*A208*(General_Model!$D$4/1000)/General_Model!$D$15)^0.25))*General_Model!$D$7/(General_Model!$D$4/1000)+1)+(4*(0.3164/((General_Model!$D$14*A208*(General_Model!$D$4/1000)/General_Model!$D$15)^0.25))*General_Model!$D$7/(General_Model!$D$4/1000)+2)*(General_Model!$D$26/A208))</f>
        <v>4.3883125327971589E-2</v>
      </c>
      <c r="C208" s="13">
        <f t="shared" si="3"/>
        <v>0</v>
      </c>
    </row>
    <row r="209" spans="1:3" x14ac:dyDescent="0.25">
      <c r="A209" s="11">
        <v>0.20699999999999999</v>
      </c>
      <c r="B209" s="12">
        <f>(General_Model!$D$6/General_Model!$D$7)-1/(1+General_Model!$D$26/((1.2+0.2*(General_Model!$D$26/A209)+0.35*SQRT(9.80665*(General_Model!$D$4/1000))/A209)*A209))-(A209^2/(2*9.80665*General_Model!$D$7))*((4*(0.3164/((General_Model!$D$14*A209*(General_Model!$D$4/1000)/General_Model!$D$15)^0.25))*General_Model!$D$7/(General_Model!$D$4/1000)+1)+(4*(0.3164/((General_Model!$D$14*A209*(General_Model!$D$4/1000)/General_Model!$D$15)^0.25))*General_Model!$D$7/(General_Model!$D$4/1000)+2)*(General_Model!$D$26/A209))</f>
        <v>4.3235103225406864E-2</v>
      </c>
      <c r="C209" s="13">
        <f t="shared" si="3"/>
        <v>0</v>
      </c>
    </row>
    <row r="210" spans="1:3" x14ac:dyDescent="0.25">
      <c r="A210" s="11">
        <v>0.20799999999999999</v>
      </c>
      <c r="B210" s="12">
        <f>(General_Model!$D$6/General_Model!$D$7)-1/(1+General_Model!$D$26/((1.2+0.2*(General_Model!$D$26/A210)+0.35*SQRT(9.80665*(General_Model!$D$4/1000))/A210)*A210))-(A210^2/(2*9.80665*General_Model!$D$7))*((4*(0.3164/((General_Model!$D$14*A210*(General_Model!$D$4/1000)/General_Model!$D$15)^0.25))*General_Model!$D$7/(General_Model!$D$4/1000)+1)+(4*(0.3164/((General_Model!$D$14*A210*(General_Model!$D$4/1000)/General_Model!$D$15)^0.25))*General_Model!$D$7/(General_Model!$D$4/1000)+2)*(General_Model!$D$26/A210))</f>
        <v>4.2587878930366432E-2</v>
      </c>
      <c r="C210" s="13">
        <f t="shared" si="3"/>
        <v>0</v>
      </c>
    </row>
    <row r="211" spans="1:3" x14ac:dyDescent="0.25">
      <c r="A211" s="11">
        <v>0.20899999999999999</v>
      </c>
      <c r="B211" s="12">
        <f>(General_Model!$D$6/General_Model!$D$7)-1/(1+General_Model!$D$26/((1.2+0.2*(General_Model!$D$26/A211)+0.35*SQRT(9.80665*(General_Model!$D$4/1000))/A211)*A211))-(A211^2/(2*9.80665*General_Model!$D$7))*((4*(0.3164/((General_Model!$D$14*A211*(General_Model!$D$4/1000)/General_Model!$D$15)^0.25))*General_Model!$D$7/(General_Model!$D$4/1000)+1)+(4*(0.3164/((General_Model!$D$14*A211*(General_Model!$D$4/1000)/General_Model!$D$15)^0.25))*General_Model!$D$7/(General_Model!$D$4/1000)+2)*(General_Model!$D$26/A211))</f>
        <v>4.1941449265225139E-2</v>
      </c>
      <c r="C211" s="13">
        <f t="shared" si="3"/>
        <v>0</v>
      </c>
    </row>
    <row r="212" spans="1:3" x14ac:dyDescent="0.25">
      <c r="A212" s="11">
        <v>0.21</v>
      </c>
      <c r="B212" s="12">
        <f>(General_Model!$D$6/General_Model!$D$7)-1/(1+General_Model!$D$26/((1.2+0.2*(General_Model!$D$26/A212)+0.35*SQRT(9.80665*(General_Model!$D$4/1000))/A212)*A212))-(A212^2/(2*9.80665*General_Model!$D$7))*((4*(0.3164/((General_Model!$D$14*A212*(General_Model!$D$4/1000)/General_Model!$D$15)^0.25))*General_Model!$D$7/(General_Model!$D$4/1000)+1)+(4*(0.3164/((General_Model!$D$14*A212*(General_Model!$D$4/1000)/General_Model!$D$15)^0.25))*General_Model!$D$7/(General_Model!$D$4/1000)+2)*(General_Model!$D$26/A212))</f>
        <v>4.1295811067177245E-2</v>
      </c>
      <c r="C212" s="13">
        <f t="shared" si="3"/>
        <v>0</v>
      </c>
    </row>
    <row r="213" spans="1:3" x14ac:dyDescent="0.25">
      <c r="A213" s="11">
        <v>0.21099999999999999</v>
      </c>
      <c r="B213" s="12">
        <f>(General_Model!$D$6/General_Model!$D$7)-1/(1+General_Model!$D$26/((1.2+0.2*(General_Model!$D$26/A213)+0.35*SQRT(9.80665*(General_Model!$D$4/1000))/A213)*A213))-(A213^2/(2*9.80665*General_Model!$D$7))*((4*(0.3164/((General_Model!$D$14*A213*(General_Model!$D$4/1000)/General_Model!$D$15)^0.25))*General_Model!$D$7/(General_Model!$D$4/1000)+1)+(4*(0.3164/((General_Model!$D$14*A213*(General_Model!$D$4/1000)/General_Model!$D$15)^0.25))*General_Model!$D$7/(General_Model!$D$4/1000)+2)*(General_Model!$D$26/A213))</f>
        <v>4.0650961188129942E-2</v>
      </c>
      <c r="C213" s="13">
        <f t="shared" si="3"/>
        <v>0</v>
      </c>
    </row>
    <row r="214" spans="1:3" x14ac:dyDescent="0.25">
      <c r="A214" s="11">
        <v>0.21199999999999999</v>
      </c>
      <c r="B214" s="12">
        <f>(General_Model!$D$6/General_Model!$D$7)-1/(1+General_Model!$D$26/((1.2+0.2*(General_Model!$D$26/A214)+0.35*SQRT(9.80665*(General_Model!$D$4/1000))/A214)*A214))-(A214^2/(2*9.80665*General_Model!$D$7))*((4*(0.3164/((General_Model!$D$14*A214*(General_Model!$D$4/1000)/General_Model!$D$15)^0.25))*General_Model!$D$7/(General_Model!$D$4/1000)+1)+(4*(0.3164/((General_Model!$D$14*A214*(General_Model!$D$4/1000)/General_Model!$D$15)^0.25))*General_Model!$D$7/(General_Model!$D$4/1000)+2)*(General_Model!$D$26/A214))</f>
        <v>4.0006896494597662E-2</v>
      </c>
      <c r="C214" s="13">
        <f t="shared" si="3"/>
        <v>0</v>
      </c>
    </row>
    <row r="215" spans="1:3" x14ac:dyDescent="0.25">
      <c r="A215" s="11">
        <v>0.21299999999999999</v>
      </c>
      <c r="B215" s="12">
        <f>(General_Model!$D$6/General_Model!$D$7)-1/(1+General_Model!$D$26/((1.2+0.2*(General_Model!$D$26/A215)+0.35*SQRT(9.80665*(General_Model!$D$4/1000))/A215)*A215))-(A215^2/(2*9.80665*General_Model!$D$7))*((4*(0.3164/((General_Model!$D$14*A215*(General_Model!$D$4/1000)/General_Model!$D$15)^0.25))*General_Model!$D$7/(General_Model!$D$4/1000)+1)+(4*(0.3164/((General_Model!$D$14*A215*(General_Model!$D$4/1000)/General_Model!$D$15)^0.25))*General_Model!$D$7/(General_Model!$D$4/1000)+2)*(General_Model!$D$26/A215))</f>
        <v>3.9363613867598783E-2</v>
      </c>
      <c r="C215" s="13">
        <f t="shared" si="3"/>
        <v>0</v>
      </c>
    </row>
    <row r="216" spans="1:3" x14ac:dyDescent="0.25">
      <c r="A216" s="11">
        <v>0.214</v>
      </c>
      <c r="B216" s="12">
        <f>(General_Model!$D$6/General_Model!$D$7)-1/(1+General_Model!$D$26/((1.2+0.2*(General_Model!$D$26/A216)+0.35*SQRT(9.80665*(General_Model!$D$4/1000))/A216)*A216))-(A216^2/(2*9.80665*General_Model!$D$7))*((4*(0.3164/((General_Model!$D$14*A216*(General_Model!$D$4/1000)/General_Model!$D$15)^0.25))*General_Model!$D$7/(General_Model!$D$4/1000)+1)+(4*(0.3164/((General_Model!$D$14*A216*(General_Model!$D$4/1000)/General_Model!$D$15)^0.25))*General_Model!$D$7/(General_Model!$D$4/1000)+2)*(General_Model!$D$26/A216))</f>
        <v>3.8721110202552617E-2</v>
      </c>
      <c r="C216" s="13">
        <f t="shared" si="3"/>
        <v>0</v>
      </c>
    </row>
    <row r="217" spans="1:3" x14ac:dyDescent="0.25">
      <c r="A217" s="11">
        <v>0.215</v>
      </c>
      <c r="B217" s="12">
        <f>(General_Model!$D$6/General_Model!$D$7)-1/(1+General_Model!$D$26/((1.2+0.2*(General_Model!$D$26/A217)+0.35*SQRT(9.80665*(General_Model!$D$4/1000))/A217)*A217))-(A217^2/(2*9.80665*General_Model!$D$7))*((4*(0.3164/((General_Model!$D$14*A217*(General_Model!$D$4/1000)/General_Model!$D$15)^0.25))*General_Model!$D$7/(General_Model!$D$4/1000)+1)+(4*(0.3164/((General_Model!$D$14*A217*(General_Model!$D$4/1000)/General_Model!$D$15)^0.25))*General_Model!$D$7/(General_Model!$D$4/1000)+2)*(General_Model!$D$26/A217))</f>
        <v>3.8079382409177777E-2</v>
      </c>
      <c r="C217" s="13">
        <f t="shared" si="3"/>
        <v>0</v>
      </c>
    </row>
    <row r="218" spans="1:3" x14ac:dyDescent="0.25">
      <c r="A218" s="11">
        <v>0.216</v>
      </c>
      <c r="B218" s="12">
        <f>(General_Model!$D$6/General_Model!$D$7)-1/(1+General_Model!$D$26/((1.2+0.2*(General_Model!$D$26/A218)+0.35*SQRT(9.80665*(General_Model!$D$4/1000))/A218)*A218))-(A218^2/(2*9.80665*General_Model!$D$7))*((4*(0.3164/((General_Model!$D$14*A218*(General_Model!$D$4/1000)/General_Model!$D$15)^0.25))*General_Model!$D$7/(General_Model!$D$4/1000)+1)+(4*(0.3164/((General_Model!$D$14*A218*(General_Model!$D$4/1000)/General_Model!$D$15)^0.25))*General_Model!$D$7/(General_Model!$D$4/1000)+2)*(General_Model!$D$26/A218))</f>
        <v>3.7438427411392611E-2</v>
      </c>
      <c r="C218" s="13">
        <f t="shared" si="3"/>
        <v>0</v>
      </c>
    </row>
    <row r="219" spans="1:3" x14ac:dyDescent="0.25">
      <c r="A219" s="11">
        <v>0.217</v>
      </c>
      <c r="B219" s="12">
        <f>(General_Model!$D$6/General_Model!$D$7)-1/(1+General_Model!$D$26/((1.2+0.2*(General_Model!$D$26/A219)+0.35*SQRT(9.80665*(General_Model!$D$4/1000))/A219)*A219))-(A219^2/(2*9.80665*General_Model!$D$7))*((4*(0.3164/((General_Model!$D$14*A219*(General_Model!$D$4/1000)/General_Model!$D$15)^0.25))*General_Model!$D$7/(General_Model!$D$4/1000)+1)+(4*(0.3164/((General_Model!$D$14*A219*(General_Model!$D$4/1000)/General_Model!$D$15)^0.25))*General_Model!$D$7/(General_Model!$D$4/1000)+2)*(General_Model!$D$26/A219))</f>
        <v>3.679824214721554E-2</v>
      </c>
      <c r="C219" s="13">
        <f t="shared" si="3"/>
        <v>0</v>
      </c>
    </row>
    <row r="220" spans="1:3" x14ac:dyDescent="0.25">
      <c r="A220" s="11">
        <v>0.218</v>
      </c>
      <c r="B220" s="12">
        <f>(General_Model!$D$6/General_Model!$D$7)-1/(1+General_Model!$D$26/((1.2+0.2*(General_Model!$D$26/A220)+0.35*SQRT(9.80665*(General_Model!$D$4/1000))/A220)*A220))-(A220^2/(2*9.80665*General_Model!$D$7))*((4*(0.3164/((General_Model!$D$14*A220*(General_Model!$D$4/1000)/General_Model!$D$15)^0.25))*General_Model!$D$7/(General_Model!$D$4/1000)+1)+(4*(0.3164/((General_Model!$D$14*A220*(General_Model!$D$4/1000)/General_Model!$D$15)^0.25))*General_Model!$D$7/(General_Model!$D$4/1000)+2)*(General_Model!$D$26/A220))</f>
        <v>3.6158823568667439E-2</v>
      </c>
      <c r="C220" s="13">
        <f t="shared" si="3"/>
        <v>0</v>
      </c>
    </row>
    <row r="221" spans="1:3" x14ac:dyDescent="0.25">
      <c r="A221" s="11">
        <v>0.219</v>
      </c>
      <c r="B221" s="12">
        <f>(General_Model!$D$6/General_Model!$D$7)-1/(1+General_Model!$D$26/((1.2+0.2*(General_Model!$D$26/A221)+0.35*SQRT(9.80665*(General_Model!$D$4/1000))/A221)*A221))-(A221^2/(2*9.80665*General_Model!$D$7))*((4*(0.3164/((General_Model!$D$14*A221*(General_Model!$D$4/1000)/General_Model!$D$15)^0.25))*General_Model!$D$7/(General_Model!$D$4/1000)+1)+(4*(0.3164/((General_Model!$D$14*A221*(General_Model!$D$4/1000)/General_Model!$D$15)^0.25))*General_Model!$D$7/(General_Model!$D$4/1000)+2)*(General_Model!$D$26/A221))</f>
        <v>3.5520168641674815E-2</v>
      </c>
      <c r="C221" s="13">
        <f t="shared" si="3"/>
        <v>0</v>
      </c>
    </row>
    <row r="222" spans="1:3" x14ac:dyDescent="0.25">
      <c r="A222" s="11">
        <v>0.22</v>
      </c>
      <c r="B222" s="12">
        <f>(General_Model!$D$6/General_Model!$D$7)-1/(1+General_Model!$D$26/((1.2+0.2*(General_Model!$D$26/A222)+0.35*SQRT(9.80665*(General_Model!$D$4/1000))/A222)*A222))-(A222^2/(2*9.80665*General_Model!$D$7))*((4*(0.3164/((General_Model!$D$14*A222*(General_Model!$D$4/1000)/General_Model!$D$15)^0.25))*General_Model!$D$7/(General_Model!$D$4/1000)+1)+(4*(0.3164/((General_Model!$D$14*A222*(General_Model!$D$4/1000)/General_Model!$D$15)^0.25))*General_Model!$D$7/(General_Model!$D$4/1000)+2)*(General_Model!$D$26/A222))</f>
        <v>3.4882274345974795E-2</v>
      </c>
      <c r="C222" s="13">
        <f t="shared" si="3"/>
        <v>0</v>
      </c>
    </row>
    <row r="223" spans="1:3" x14ac:dyDescent="0.25">
      <c r="A223" s="11">
        <v>0.221</v>
      </c>
      <c r="B223" s="12">
        <f>(General_Model!$D$6/General_Model!$D$7)-1/(1+General_Model!$D$26/((1.2+0.2*(General_Model!$D$26/A223)+0.35*SQRT(9.80665*(General_Model!$D$4/1000))/A223)*A223))-(A223^2/(2*9.80665*General_Model!$D$7))*((4*(0.3164/((General_Model!$D$14*A223*(General_Model!$D$4/1000)/General_Model!$D$15)^0.25))*General_Model!$D$7/(General_Model!$D$4/1000)+1)+(4*(0.3164/((General_Model!$D$14*A223*(General_Model!$D$4/1000)/General_Model!$D$15)^0.25))*General_Model!$D$7/(General_Model!$D$4/1000)+2)*(General_Model!$D$26/A223))</f>
        <v>3.4245137675019792E-2</v>
      </c>
      <c r="C223" s="13">
        <f t="shared" si="3"/>
        <v>0</v>
      </c>
    </row>
    <row r="224" spans="1:3" x14ac:dyDescent="0.25">
      <c r="A224" s="11">
        <v>0.222</v>
      </c>
      <c r="B224" s="12">
        <f>(General_Model!$D$6/General_Model!$D$7)-1/(1+General_Model!$D$26/((1.2+0.2*(General_Model!$D$26/A224)+0.35*SQRT(9.80665*(General_Model!$D$4/1000))/A224)*A224))-(A224^2/(2*9.80665*General_Model!$D$7))*((4*(0.3164/((General_Model!$D$14*A224*(General_Model!$D$4/1000)/General_Model!$D$15)^0.25))*General_Model!$D$7/(General_Model!$D$4/1000)+1)+(4*(0.3164/((General_Model!$D$14*A224*(General_Model!$D$4/1000)/General_Model!$D$15)^0.25))*General_Model!$D$7/(General_Model!$D$4/1000)+2)*(General_Model!$D$26/A224))</f>
        <v>3.3608755635884793E-2</v>
      </c>
      <c r="C224" s="13">
        <f t="shared" si="3"/>
        <v>0</v>
      </c>
    </row>
    <row r="225" spans="1:3" x14ac:dyDescent="0.25">
      <c r="A225" s="11">
        <v>0.223</v>
      </c>
      <c r="B225" s="12">
        <f>(General_Model!$D$6/General_Model!$D$7)-1/(1+General_Model!$D$26/((1.2+0.2*(General_Model!$D$26/A225)+0.35*SQRT(9.80665*(General_Model!$D$4/1000))/A225)*A225))-(A225^2/(2*9.80665*General_Model!$D$7))*((4*(0.3164/((General_Model!$D$14*A225*(General_Model!$D$4/1000)/General_Model!$D$15)^0.25))*General_Model!$D$7/(General_Model!$D$4/1000)+1)+(4*(0.3164/((General_Model!$D$14*A225*(General_Model!$D$4/1000)/General_Model!$D$15)^0.25))*General_Model!$D$7/(General_Model!$D$4/1000)+2)*(General_Model!$D$26/A225))</f>
        <v>3.2973125249174624E-2</v>
      </c>
      <c r="C225" s="13">
        <f t="shared" si="3"/>
        <v>0</v>
      </c>
    </row>
    <row r="226" spans="1:3" x14ac:dyDescent="0.25">
      <c r="A226" s="11">
        <v>0.224</v>
      </c>
      <c r="B226" s="12">
        <f>(General_Model!$D$6/General_Model!$D$7)-1/(1+General_Model!$D$26/((1.2+0.2*(General_Model!$D$26/A226)+0.35*SQRT(9.80665*(General_Model!$D$4/1000))/A226)*A226))-(A226^2/(2*9.80665*General_Model!$D$7))*((4*(0.3164/((General_Model!$D$14*A226*(General_Model!$D$4/1000)/General_Model!$D$15)^0.25))*General_Model!$D$7/(General_Model!$D$4/1000)+1)+(4*(0.3164/((General_Model!$D$14*A226*(General_Model!$D$4/1000)/General_Model!$D$15)^0.25))*General_Model!$D$7/(General_Model!$D$4/1000)+2)*(General_Model!$D$26/A226))</f>
        <v>3.2338243548932832E-2</v>
      </c>
      <c r="C226" s="13">
        <f t="shared" si="3"/>
        <v>0</v>
      </c>
    </row>
    <row r="227" spans="1:3" x14ac:dyDescent="0.25">
      <c r="A227" s="11">
        <v>0.22500000000000001</v>
      </c>
      <c r="B227" s="12">
        <f>(General_Model!$D$6/General_Model!$D$7)-1/(1+General_Model!$D$26/((1.2+0.2*(General_Model!$D$26/A227)+0.35*SQRT(9.80665*(General_Model!$D$4/1000))/A227)*A227))-(A227^2/(2*9.80665*General_Model!$D$7))*((4*(0.3164/((General_Model!$D$14*A227*(General_Model!$D$4/1000)/General_Model!$D$15)^0.25))*General_Model!$D$7/(General_Model!$D$4/1000)+1)+(4*(0.3164/((General_Model!$D$14*A227*(General_Model!$D$4/1000)/General_Model!$D$15)^0.25))*General_Model!$D$7/(General_Model!$D$4/1000)+2)*(General_Model!$D$26/A227))</f>
        <v>3.1704107582551856E-2</v>
      </c>
      <c r="C227" s="13">
        <f t="shared" si="3"/>
        <v>0</v>
      </c>
    </row>
    <row r="228" spans="1:3" x14ac:dyDescent="0.25">
      <c r="A228" s="11">
        <v>0.22600000000000001</v>
      </c>
      <c r="B228" s="12">
        <f>(General_Model!$D$6/General_Model!$D$7)-1/(1+General_Model!$D$26/((1.2+0.2*(General_Model!$D$26/A228)+0.35*SQRT(9.80665*(General_Model!$D$4/1000))/A228)*A228))-(A228^2/(2*9.80665*General_Model!$D$7))*((4*(0.3164/((General_Model!$D$14*A228*(General_Model!$D$4/1000)/General_Model!$D$15)^0.25))*General_Model!$D$7/(General_Model!$D$4/1000)+1)+(4*(0.3164/((General_Model!$D$14*A228*(General_Model!$D$4/1000)/General_Model!$D$15)^0.25))*General_Model!$D$7/(General_Model!$D$4/1000)+2)*(General_Model!$D$26/A228))</f>
        <v>3.107071441068282E-2</v>
      </c>
      <c r="C228" s="13">
        <f t="shared" si="3"/>
        <v>0</v>
      </c>
    </row>
    <row r="229" spans="1:3" x14ac:dyDescent="0.25">
      <c r="A229" s="11">
        <v>0.22700000000000001</v>
      </c>
      <c r="B229" s="12">
        <f>(General_Model!$D$6/General_Model!$D$7)-1/(1+General_Model!$D$26/((1.2+0.2*(General_Model!$D$26/A229)+0.35*SQRT(9.80665*(General_Model!$D$4/1000))/A229)*A229))-(A229^2/(2*9.80665*General_Model!$D$7))*((4*(0.3164/((General_Model!$D$14*A229*(General_Model!$D$4/1000)/General_Model!$D$15)^0.25))*General_Model!$D$7/(General_Model!$D$4/1000)+1)+(4*(0.3164/((General_Model!$D$14*A229*(General_Model!$D$4/1000)/General_Model!$D$15)^0.25))*General_Model!$D$7/(General_Model!$D$4/1000)+2)*(General_Model!$D$26/A229))</f>
        <v>3.0438061107148112E-2</v>
      </c>
      <c r="C229" s="13">
        <f t="shared" si="3"/>
        <v>0</v>
      </c>
    </row>
    <row r="230" spans="1:3" x14ac:dyDescent="0.25">
      <c r="A230" s="11">
        <v>0.22800000000000001</v>
      </c>
      <c r="B230" s="12">
        <f>(General_Model!$D$6/General_Model!$D$7)-1/(1+General_Model!$D$26/((1.2+0.2*(General_Model!$D$26/A230)+0.35*SQRT(9.80665*(General_Model!$D$4/1000))/A230)*A230))-(A230^2/(2*9.80665*General_Model!$D$7))*((4*(0.3164/((General_Model!$D$14*A230*(General_Model!$D$4/1000)/General_Model!$D$15)^0.25))*General_Model!$D$7/(General_Model!$D$4/1000)+1)+(4*(0.3164/((General_Model!$D$14*A230*(General_Model!$D$4/1000)/General_Model!$D$15)^0.25))*General_Model!$D$7/(General_Model!$D$4/1000)+2)*(General_Model!$D$26/A230))</f>
        <v>2.9806144758853702E-2</v>
      </c>
      <c r="C230" s="13">
        <f t="shared" si="3"/>
        <v>0</v>
      </c>
    </row>
    <row r="231" spans="1:3" x14ac:dyDescent="0.25">
      <c r="A231" s="11">
        <v>0.22900000000000001</v>
      </c>
      <c r="B231" s="12">
        <f>(General_Model!$D$6/General_Model!$D$7)-1/(1+General_Model!$D$26/((1.2+0.2*(General_Model!$D$26/A231)+0.35*SQRT(9.80665*(General_Model!$D$4/1000))/A231)*A231))-(A231^2/(2*9.80665*General_Model!$D$7))*((4*(0.3164/((General_Model!$D$14*A231*(General_Model!$D$4/1000)/General_Model!$D$15)^0.25))*General_Model!$D$7/(General_Model!$D$4/1000)+1)+(4*(0.3164/((General_Model!$D$14*A231*(General_Model!$D$4/1000)/General_Model!$D$15)^0.25))*General_Model!$D$7/(General_Model!$D$4/1000)+2)*(General_Model!$D$26/A231))</f>
        <v>2.9174962465703128E-2</v>
      </c>
      <c r="C231" s="13">
        <f t="shared" si="3"/>
        <v>0</v>
      </c>
    </row>
    <row r="232" spans="1:3" x14ac:dyDescent="0.25">
      <c r="A232" s="11">
        <v>0.23</v>
      </c>
      <c r="B232" s="12">
        <f>(General_Model!$D$6/General_Model!$D$7)-1/(1+General_Model!$D$26/((1.2+0.2*(General_Model!$D$26/A232)+0.35*SQRT(9.80665*(General_Model!$D$4/1000))/A232)*A232))-(A232^2/(2*9.80665*General_Model!$D$7))*((4*(0.3164/((General_Model!$D$14*A232*(General_Model!$D$4/1000)/General_Model!$D$15)^0.25))*General_Model!$D$7/(General_Model!$D$4/1000)+1)+(4*(0.3164/((General_Model!$D$14*A232*(General_Model!$D$4/1000)/General_Model!$D$15)^0.25))*General_Model!$D$7/(General_Model!$D$4/1000)+2)*(General_Model!$D$26/A232))</f>
        <v>2.8544511340511537E-2</v>
      </c>
      <c r="C232" s="13">
        <f t="shared" si="3"/>
        <v>0</v>
      </c>
    </row>
    <row r="233" spans="1:3" x14ac:dyDescent="0.25">
      <c r="A233" s="11">
        <v>0.23100000000000001</v>
      </c>
      <c r="B233" s="12">
        <f>(General_Model!$D$6/General_Model!$D$7)-1/(1+General_Model!$D$26/((1.2+0.2*(General_Model!$D$26/A233)+0.35*SQRT(9.80665*(General_Model!$D$4/1000))/A233)*A233))-(A233^2/(2*9.80665*General_Model!$D$7))*((4*(0.3164/((General_Model!$D$14*A233*(General_Model!$D$4/1000)/General_Model!$D$15)^0.25))*General_Model!$D$7/(General_Model!$D$4/1000)+1)+(4*(0.3164/((General_Model!$D$14*A233*(General_Model!$D$4/1000)/General_Model!$D$15)^0.25))*General_Model!$D$7/(General_Model!$D$4/1000)+2)*(General_Model!$D$26/A233))</f>
        <v>2.7914788508921817E-2</v>
      </c>
      <c r="C233" s="13">
        <f t="shared" si="3"/>
        <v>0</v>
      </c>
    </row>
    <row r="234" spans="1:3" x14ac:dyDescent="0.25">
      <c r="A234" s="11">
        <v>0.23200000000000001</v>
      </c>
      <c r="B234" s="12">
        <f>(General_Model!$D$6/General_Model!$D$7)-1/(1+General_Model!$D$26/((1.2+0.2*(General_Model!$D$26/A234)+0.35*SQRT(9.80665*(General_Model!$D$4/1000))/A234)*A234))-(A234^2/(2*9.80665*General_Model!$D$7))*((4*(0.3164/((General_Model!$D$14*A234*(General_Model!$D$4/1000)/General_Model!$D$15)^0.25))*General_Model!$D$7/(General_Model!$D$4/1000)+1)+(4*(0.3164/((General_Model!$D$14*A234*(General_Model!$D$4/1000)/General_Model!$D$15)^0.25))*General_Model!$D$7/(General_Model!$D$4/1000)+2)*(General_Model!$D$26/A234))</f>
        <v>2.7285791109320563E-2</v>
      </c>
      <c r="C234" s="13">
        <f t="shared" si="3"/>
        <v>0</v>
      </c>
    </row>
    <row r="235" spans="1:3" x14ac:dyDescent="0.25">
      <c r="A235" s="11">
        <v>0.23300000000000001</v>
      </c>
      <c r="B235" s="12">
        <f>(General_Model!$D$6/General_Model!$D$7)-1/(1+General_Model!$D$26/((1.2+0.2*(General_Model!$D$26/A235)+0.35*SQRT(9.80665*(General_Model!$D$4/1000))/A235)*A235))-(A235^2/(2*9.80665*General_Model!$D$7))*((4*(0.3164/((General_Model!$D$14*A235*(General_Model!$D$4/1000)/General_Model!$D$15)^0.25))*General_Model!$D$7/(General_Model!$D$4/1000)+1)+(4*(0.3164/((General_Model!$D$14*A235*(General_Model!$D$4/1000)/General_Model!$D$15)^0.25))*General_Model!$D$7/(General_Model!$D$4/1000)+2)*(General_Model!$D$26/A235))</f>
        <v>2.6657516292755569E-2</v>
      </c>
      <c r="C235" s="13">
        <f t="shared" si="3"/>
        <v>0</v>
      </c>
    </row>
    <row r="236" spans="1:3" x14ac:dyDescent="0.25">
      <c r="A236" s="11">
        <v>0.23400000000000001</v>
      </c>
      <c r="B236" s="12">
        <f>(General_Model!$D$6/General_Model!$D$7)-1/(1+General_Model!$D$26/((1.2+0.2*(General_Model!$D$26/A236)+0.35*SQRT(9.80665*(General_Model!$D$4/1000))/A236)*A236))-(A236^2/(2*9.80665*General_Model!$D$7))*((4*(0.3164/((General_Model!$D$14*A236*(General_Model!$D$4/1000)/General_Model!$D$15)^0.25))*General_Model!$D$7/(General_Model!$D$4/1000)+1)+(4*(0.3164/((General_Model!$D$14*A236*(General_Model!$D$4/1000)/General_Model!$D$15)^0.25))*General_Model!$D$7/(General_Model!$D$4/1000)+2)*(General_Model!$D$26/A236))</f>
        <v>2.6029961222854038E-2</v>
      </c>
      <c r="C236" s="13">
        <f t="shared" si="3"/>
        <v>0</v>
      </c>
    </row>
    <row r="237" spans="1:3" x14ac:dyDescent="0.25">
      <c r="A237" s="11">
        <v>0.23499999999999999</v>
      </c>
      <c r="B237" s="12">
        <f>(General_Model!$D$6/General_Model!$D$7)-1/(1+General_Model!$D$26/((1.2+0.2*(General_Model!$D$26/A237)+0.35*SQRT(9.80665*(General_Model!$D$4/1000))/A237)*A237))-(A237^2/(2*9.80665*General_Model!$D$7))*((4*(0.3164/((General_Model!$D$14*A237*(General_Model!$D$4/1000)/General_Model!$D$15)^0.25))*General_Model!$D$7/(General_Model!$D$4/1000)+1)+(4*(0.3164/((General_Model!$D$14*A237*(General_Model!$D$4/1000)/General_Model!$D$15)^0.25))*General_Model!$D$7/(General_Model!$D$4/1000)+2)*(General_Model!$D$26/A237))</f>
        <v>2.5403123075741711E-2</v>
      </c>
      <c r="C237" s="13">
        <f t="shared" si="3"/>
        <v>0</v>
      </c>
    </row>
    <row r="238" spans="1:3" x14ac:dyDescent="0.25">
      <c r="A238" s="11">
        <v>0.23599999999999999</v>
      </c>
      <c r="B238" s="12">
        <f>(General_Model!$D$6/General_Model!$D$7)-1/(1+General_Model!$D$26/((1.2+0.2*(General_Model!$D$26/A238)+0.35*SQRT(9.80665*(General_Model!$D$4/1000))/A238)*A238))-(A238^2/(2*9.80665*General_Model!$D$7))*((4*(0.3164/((General_Model!$D$14*A238*(General_Model!$D$4/1000)/General_Model!$D$15)^0.25))*General_Model!$D$7/(General_Model!$D$4/1000)+1)+(4*(0.3164/((General_Model!$D$14*A238*(General_Model!$D$4/1000)/General_Model!$D$15)^0.25))*General_Model!$D$7/(General_Model!$D$4/1000)+2)*(General_Model!$D$26/A238))</f>
        <v>2.4776999039962139E-2</v>
      </c>
      <c r="C238" s="13">
        <f t="shared" si="3"/>
        <v>0</v>
      </c>
    </row>
    <row r="239" spans="1:3" x14ac:dyDescent="0.25">
      <c r="A239" s="11">
        <v>0.23699999999999999</v>
      </c>
      <c r="B239" s="12">
        <f>(General_Model!$D$6/General_Model!$D$7)-1/(1+General_Model!$D$26/((1.2+0.2*(General_Model!$D$26/A239)+0.35*SQRT(9.80665*(General_Model!$D$4/1000))/A239)*A239))-(A239^2/(2*9.80665*General_Model!$D$7))*((4*(0.3164/((General_Model!$D$14*A239*(General_Model!$D$4/1000)/General_Model!$D$15)^0.25))*General_Model!$D$7/(General_Model!$D$4/1000)+1)+(4*(0.3164/((General_Model!$D$14*A239*(General_Model!$D$4/1000)/General_Model!$D$15)^0.25))*General_Model!$D$7/(General_Model!$D$4/1000)+2)*(General_Model!$D$26/A239))</f>
        <v>2.4151586316398486E-2</v>
      </c>
      <c r="C239" s="13">
        <f t="shared" si="3"/>
        <v>0</v>
      </c>
    </row>
    <row r="240" spans="1:3" x14ac:dyDescent="0.25">
      <c r="A240" s="11">
        <v>0.23799999999999999</v>
      </c>
      <c r="B240" s="12">
        <f>(General_Model!$D$6/General_Model!$D$7)-1/(1+General_Model!$D$26/((1.2+0.2*(General_Model!$D$26/A240)+0.35*SQRT(9.80665*(General_Model!$D$4/1000))/A240)*A240))-(A240^2/(2*9.80665*General_Model!$D$7))*((4*(0.3164/((General_Model!$D$14*A240*(General_Model!$D$4/1000)/General_Model!$D$15)^0.25))*General_Model!$D$7/(General_Model!$D$4/1000)+1)+(4*(0.3164/((General_Model!$D$14*A240*(General_Model!$D$4/1000)/General_Model!$D$15)^0.25))*General_Model!$D$7/(General_Model!$D$4/1000)+2)*(General_Model!$D$26/A240))</f>
        <v>2.3526882118193697E-2</v>
      </c>
      <c r="C240" s="13">
        <f t="shared" si="3"/>
        <v>0</v>
      </c>
    </row>
    <row r="241" spans="1:3" x14ac:dyDescent="0.25">
      <c r="A241" s="11">
        <v>0.23899999999999999</v>
      </c>
      <c r="B241" s="12">
        <f>(General_Model!$D$6/General_Model!$D$7)-1/(1+General_Model!$D$26/((1.2+0.2*(General_Model!$D$26/A241)+0.35*SQRT(9.80665*(General_Model!$D$4/1000))/A241)*A241))-(A241^2/(2*9.80665*General_Model!$D$7))*((4*(0.3164/((General_Model!$D$14*A241*(General_Model!$D$4/1000)/General_Model!$D$15)^0.25))*General_Model!$D$7/(General_Model!$D$4/1000)+1)+(4*(0.3164/((General_Model!$D$14*A241*(General_Model!$D$4/1000)/General_Model!$D$15)^0.25))*General_Model!$D$7/(General_Model!$D$4/1000)+2)*(General_Model!$D$26/A241))</f>
        <v>2.2902883670674015E-2</v>
      </c>
      <c r="C241" s="13">
        <f t="shared" si="3"/>
        <v>0</v>
      </c>
    </row>
    <row r="242" spans="1:3" x14ac:dyDescent="0.25">
      <c r="A242" s="11">
        <v>0.24</v>
      </c>
      <c r="B242" s="12">
        <f>(General_Model!$D$6/General_Model!$D$7)-1/(1+General_Model!$D$26/((1.2+0.2*(General_Model!$D$26/A242)+0.35*SQRT(9.80665*(General_Model!$D$4/1000))/A242)*A242))-(A242^2/(2*9.80665*General_Model!$D$7))*((4*(0.3164/((General_Model!$D$14*A242*(General_Model!$D$4/1000)/General_Model!$D$15)^0.25))*General_Model!$D$7/(General_Model!$D$4/1000)+1)+(4*(0.3164/((General_Model!$D$14*A242*(General_Model!$D$4/1000)/General_Model!$D$15)^0.25))*General_Model!$D$7/(General_Model!$D$4/1000)+2)*(General_Model!$D$26/A242))</f>
        <v>2.2279588211271427E-2</v>
      </c>
      <c r="C242" s="13">
        <f t="shared" si="3"/>
        <v>0</v>
      </c>
    </row>
    <row r="243" spans="1:3" x14ac:dyDescent="0.25">
      <c r="A243" s="11">
        <v>0.24099999999999999</v>
      </c>
      <c r="B243" s="12">
        <f>(General_Model!$D$6/General_Model!$D$7)-1/(1+General_Model!$D$26/((1.2+0.2*(General_Model!$D$26/A243)+0.35*SQRT(9.80665*(General_Model!$D$4/1000))/A243)*A243))-(A243^2/(2*9.80665*General_Model!$D$7))*((4*(0.3164/((General_Model!$D$14*A243*(General_Model!$D$4/1000)/General_Model!$D$15)^0.25))*General_Model!$D$7/(General_Model!$D$4/1000)+1)+(4*(0.3164/((General_Model!$D$14*A243*(General_Model!$D$4/1000)/General_Model!$D$15)^0.25))*General_Model!$D$7/(General_Model!$D$4/1000)+2)*(General_Model!$D$26/A243))</f>
        <v>2.1656992989447593E-2</v>
      </c>
      <c r="C243" s="13">
        <f t="shared" si="3"/>
        <v>0</v>
      </c>
    </row>
    <row r="244" spans="1:3" x14ac:dyDescent="0.25">
      <c r="A244" s="11">
        <v>0.24199999999999999</v>
      </c>
      <c r="B244" s="12">
        <f>(General_Model!$D$6/General_Model!$D$7)-1/(1+General_Model!$D$26/((1.2+0.2*(General_Model!$D$26/A244)+0.35*SQRT(9.80665*(General_Model!$D$4/1000))/A244)*A244))-(A244^2/(2*9.80665*General_Model!$D$7))*((4*(0.3164/((General_Model!$D$14*A244*(General_Model!$D$4/1000)/General_Model!$D$15)^0.25))*General_Model!$D$7/(General_Model!$D$4/1000)+1)+(4*(0.3164/((General_Model!$D$14*A244*(General_Model!$D$4/1000)/General_Model!$D$15)^0.25))*General_Model!$D$7/(General_Model!$D$4/1000)+2)*(General_Model!$D$26/A244))</f>
        <v>2.1035095266618786E-2</v>
      </c>
      <c r="C244" s="13">
        <f t="shared" si="3"/>
        <v>0</v>
      </c>
    </row>
    <row r="245" spans="1:3" x14ac:dyDescent="0.25">
      <c r="A245" s="11">
        <v>0.24299999999999999</v>
      </c>
      <c r="B245" s="12">
        <f>(General_Model!$D$6/General_Model!$D$7)-1/(1+General_Model!$D$26/((1.2+0.2*(General_Model!$D$26/A245)+0.35*SQRT(9.80665*(General_Model!$D$4/1000))/A245)*A245))-(A245^2/(2*9.80665*General_Model!$D$7))*((4*(0.3164/((General_Model!$D$14*A245*(General_Model!$D$4/1000)/General_Model!$D$15)^0.25))*General_Model!$D$7/(General_Model!$D$4/1000)+1)+(4*(0.3164/((General_Model!$D$14*A245*(General_Model!$D$4/1000)/General_Model!$D$15)^0.25))*General_Model!$D$7/(General_Model!$D$4/1000)+2)*(General_Model!$D$26/A245))</f>
        <v>2.0413892316080949E-2</v>
      </c>
      <c r="C245" s="13">
        <f t="shared" si="3"/>
        <v>0</v>
      </c>
    </row>
    <row r="246" spans="1:3" x14ac:dyDescent="0.25">
      <c r="A246" s="11">
        <v>0.24399999999999999</v>
      </c>
      <c r="B246" s="12">
        <f>(General_Model!$D$6/General_Model!$D$7)-1/(1+General_Model!$D$26/((1.2+0.2*(General_Model!$D$26/A246)+0.35*SQRT(9.80665*(General_Model!$D$4/1000))/A246)*A246))-(A246^2/(2*9.80665*General_Model!$D$7))*((4*(0.3164/((General_Model!$D$14*A246*(General_Model!$D$4/1000)/General_Model!$D$15)^0.25))*General_Model!$D$7/(General_Model!$D$4/1000)+1)+(4*(0.3164/((General_Model!$D$14*A246*(General_Model!$D$4/1000)/General_Model!$D$15)^0.25))*General_Model!$D$7/(General_Model!$D$4/1000)+2)*(General_Model!$D$26/A246))</f>
        <v>1.9793381422935845E-2</v>
      </c>
      <c r="C246" s="13">
        <f t="shared" si="3"/>
        <v>0</v>
      </c>
    </row>
    <row r="247" spans="1:3" x14ac:dyDescent="0.25">
      <c r="A247" s="11">
        <v>0.245</v>
      </c>
      <c r="B247" s="12">
        <f>(General_Model!$D$6/General_Model!$D$7)-1/(1+General_Model!$D$26/((1.2+0.2*(General_Model!$D$26/A247)+0.35*SQRT(9.80665*(General_Model!$D$4/1000))/A247)*A247))-(A247^2/(2*9.80665*General_Model!$D$7))*((4*(0.3164/((General_Model!$D$14*A247*(General_Model!$D$4/1000)/General_Model!$D$15)^0.25))*General_Model!$D$7/(General_Model!$D$4/1000)+1)+(4*(0.3164/((General_Model!$D$14*A247*(General_Model!$D$4/1000)/General_Model!$D$15)^0.25))*General_Model!$D$7/(General_Model!$D$4/1000)+2)*(General_Model!$D$26/A247))</f>
        <v>1.9173559884018226E-2</v>
      </c>
      <c r="C247" s="13">
        <f t="shared" si="3"/>
        <v>0</v>
      </c>
    </row>
    <row r="248" spans="1:3" x14ac:dyDescent="0.25">
      <c r="A248" s="11">
        <v>0.246</v>
      </c>
      <c r="B248" s="12">
        <f>(General_Model!$D$6/General_Model!$D$7)-1/(1+General_Model!$D$26/((1.2+0.2*(General_Model!$D$26/A248)+0.35*SQRT(9.80665*(General_Model!$D$4/1000))/A248)*A248))-(A248^2/(2*9.80665*General_Model!$D$7))*((4*(0.3164/((General_Model!$D$14*A248*(General_Model!$D$4/1000)/General_Model!$D$15)^0.25))*General_Model!$D$7/(General_Model!$D$4/1000)+1)+(4*(0.3164/((General_Model!$D$14*A248*(General_Model!$D$4/1000)/General_Model!$D$15)^0.25))*General_Model!$D$7/(General_Model!$D$4/1000)+2)*(General_Model!$D$26/A248))</f>
        <v>1.8554425007822985E-2</v>
      </c>
      <c r="C248" s="13">
        <f t="shared" si="3"/>
        <v>0</v>
      </c>
    </row>
    <row r="249" spans="1:3" x14ac:dyDescent="0.25">
      <c r="A249" s="11">
        <v>0.247</v>
      </c>
      <c r="B249" s="12">
        <f>(General_Model!$D$6/General_Model!$D$7)-1/(1+General_Model!$D$26/((1.2+0.2*(General_Model!$D$26/A249)+0.35*SQRT(9.80665*(General_Model!$D$4/1000))/A249)*A249))-(A249^2/(2*9.80665*General_Model!$D$7))*((4*(0.3164/((General_Model!$D$14*A249*(General_Model!$D$4/1000)/General_Model!$D$15)^0.25))*General_Model!$D$7/(General_Model!$D$4/1000)+1)+(4*(0.3164/((General_Model!$D$14*A249*(General_Model!$D$4/1000)/General_Model!$D$15)^0.25))*General_Model!$D$7/(General_Model!$D$4/1000)+2)*(General_Model!$D$26/A249))</f>
        <v>1.7935974114433706E-2</v>
      </c>
      <c r="C249" s="13">
        <f t="shared" si="3"/>
        <v>0</v>
      </c>
    </row>
    <row r="250" spans="1:3" x14ac:dyDescent="0.25">
      <c r="A250" s="11">
        <v>0.248</v>
      </c>
      <c r="B250" s="12">
        <f>(General_Model!$D$6/General_Model!$D$7)-1/(1+General_Model!$D$26/((1.2+0.2*(General_Model!$D$26/A250)+0.35*SQRT(9.80665*(General_Model!$D$4/1000))/A250)*A250))-(A250^2/(2*9.80665*General_Model!$D$7))*((4*(0.3164/((General_Model!$D$14*A250*(General_Model!$D$4/1000)/General_Model!$D$15)^0.25))*General_Model!$D$7/(General_Model!$D$4/1000)+1)+(4*(0.3164/((General_Model!$D$14*A250*(General_Model!$D$4/1000)/General_Model!$D$15)^0.25))*General_Model!$D$7/(General_Model!$D$4/1000)+2)*(General_Model!$D$26/A250))</f>
        <v>1.7318204535451263E-2</v>
      </c>
      <c r="C250" s="13">
        <f t="shared" si="3"/>
        <v>0</v>
      </c>
    </row>
    <row r="251" spans="1:3" x14ac:dyDescent="0.25">
      <c r="A251" s="11">
        <v>0.249</v>
      </c>
      <c r="B251" s="12">
        <f>(General_Model!$D$6/General_Model!$D$7)-1/(1+General_Model!$D$26/((1.2+0.2*(General_Model!$D$26/A251)+0.35*SQRT(9.80665*(General_Model!$D$4/1000))/A251)*A251))-(A251^2/(2*9.80665*General_Model!$D$7))*((4*(0.3164/((General_Model!$D$14*A251*(General_Model!$D$4/1000)/General_Model!$D$15)^0.25))*General_Model!$D$7/(General_Model!$D$4/1000)+1)+(4*(0.3164/((General_Model!$D$14*A251*(General_Model!$D$4/1000)/General_Model!$D$15)^0.25))*General_Model!$D$7/(General_Model!$D$4/1000)+2)*(General_Model!$D$26/A251))</f>
        <v>1.67011136139242E-2</v>
      </c>
      <c r="C251" s="13">
        <f t="shared" si="3"/>
        <v>0</v>
      </c>
    </row>
    <row r="252" spans="1:3" x14ac:dyDescent="0.25">
      <c r="A252" s="11">
        <v>0.25</v>
      </c>
      <c r="B252" s="12">
        <f>(General_Model!$D$6/General_Model!$D$7)-1/(1+General_Model!$D$26/((1.2+0.2*(General_Model!$D$26/A252)+0.35*SQRT(9.80665*(General_Model!$D$4/1000))/A252)*A252))-(A252^2/(2*9.80665*General_Model!$D$7))*((4*(0.3164/((General_Model!$D$14*A252*(General_Model!$D$4/1000)/General_Model!$D$15)^0.25))*General_Model!$D$7/(General_Model!$D$4/1000)+1)+(4*(0.3164/((General_Model!$D$14*A252*(General_Model!$D$4/1000)/General_Model!$D$15)^0.25))*General_Model!$D$7/(General_Model!$D$4/1000)+2)*(General_Model!$D$26/A252))</f>
        <v>1.6084698704278096E-2</v>
      </c>
      <c r="C252" s="13">
        <f t="shared" si="3"/>
        <v>0</v>
      </c>
    </row>
    <row r="253" spans="1:3" x14ac:dyDescent="0.25">
      <c r="A253" s="11">
        <v>0.251</v>
      </c>
      <c r="B253" s="12">
        <f>(General_Model!$D$6/General_Model!$D$7)-1/(1+General_Model!$D$26/((1.2+0.2*(General_Model!$D$26/A253)+0.35*SQRT(9.80665*(General_Model!$D$4/1000))/A253)*A253))-(A253^2/(2*9.80665*General_Model!$D$7))*((4*(0.3164/((General_Model!$D$14*A253*(General_Model!$D$4/1000)/General_Model!$D$15)^0.25))*General_Model!$D$7/(General_Model!$D$4/1000)+1)+(4*(0.3164/((General_Model!$D$14*A253*(General_Model!$D$4/1000)/General_Model!$D$15)^0.25))*General_Model!$D$7/(General_Model!$D$4/1000)+2)*(General_Model!$D$26/A253))</f>
        <v>1.5468957172247243E-2</v>
      </c>
      <c r="C253" s="13">
        <f t="shared" si="3"/>
        <v>0</v>
      </c>
    </row>
    <row r="254" spans="1:3" x14ac:dyDescent="0.25">
      <c r="A254" s="11">
        <v>0.252</v>
      </c>
      <c r="B254" s="12">
        <f>(General_Model!$D$6/General_Model!$D$7)-1/(1+General_Model!$D$26/((1.2+0.2*(General_Model!$D$26/A254)+0.35*SQRT(9.80665*(General_Model!$D$4/1000))/A254)*A254))-(A254^2/(2*9.80665*General_Model!$D$7))*((4*(0.3164/((General_Model!$D$14*A254*(General_Model!$D$4/1000)/General_Model!$D$15)^0.25))*General_Model!$D$7/(General_Model!$D$4/1000)+1)+(4*(0.3164/((General_Model!$D$14*A254*(General_Model!$D$4/1000)/General_Model!$D$15)^0.25))*General_Model!$D$7/(General_Model!$D$4/1000)+2)*(General_Model!$D$26/A254))</f>
        <v>1.4853886394805851E-2</v>
      </c>
      <c r="C254" s="13">
        <f t="shared" si="3"/>
        <v>0</v>
      </c>
    </row>
    <row r="255" spans="1:3" x14ac:dyDescent="0.25">
      <c r="A255" s="11">
        <v>0.253</v>
      </c>
      <c r="B255" s="12">
        <f>(General_Model!$D$6/General_Model!$D$7)-1/(1+General_Model!$D$26/((1.2+0.2*(General_Model!$D$26/A255)+0.35*SQRT(9.80665*(General_Model!$D$4/1000))/A255)*A255))-(A255^2/(2*9.80665*General_Model!$D$7))*((4*(0.3164/((General_Model!$D$14*A255*(General_Model!$D$4/1000)/General_Model!$D$15)^0.25))*General_Model!$D$7/(General_Model!$D$4/1000)+1)+(4*(0.3164/((General_Model!$D$14*A255*(General_Model!$D$4/1000)/General_Model!$D$15)^0.25))*General_Model!$D$7/(General_Model!$D$4/1000)+2)*(General_Model!$D$26/A255))</f>
        <v>1.4239483760100091E-2</v>
      </c>
      <c r="C255" s="13">
        <f t="shared" si="3"/>
        <v>0</v>
      </c>
    </row>
    <row r="256" spans="1:3" x14ac:dyDescent="0.25">
      <c r="A256" s="11">
        <v>0.254</v>
      </c>
      <c r="B256" s="12">
        <f>(General_Model!$D$6/General_Model!$D$7)-1/(1+General_Model!$D$26/((1.2+0.2*(General_Model!$D$26/A256)+0.35*SQRT(9.80665*(General_Model!$D$4/1000))/A256)*A256))-(A256^2/(2*9.80665*General_Model!$D$7))*((4*(0.3164/((General_Model!$D$14*A256*(General_Model!$D$4/1000)/General_Model!$D$15)^0.25))*General_Model!$D$7/(General_Model!$D$4/1000)+1)+(4*(0.3164/((General_Model!$D$14*A256*(General_Model!$D$4/1000)/General_Model!$D$15)^0.25))*General_Model!$D$7/(General_Model!$D$4/1000)+2)*(General_Model!$D$26/A256))</f>
        <v>1.3625746667382234E-2</v>
      </c>
      <c r="C256" s="13">
        <f t="shared" si="3"/>
        <v>0</v>
      </c>
    </row>
    <row r="257" spans="1:3" x14ac:dyDescent="0.25">
      <c r="A257" s="11">
        <v>0.255</v>
      </c>
      <c r="B257" s="12">
        <f>(General_Model!$D$6/General_Model!$D$7)-1/(1+General_Model!$D$26/((1.2+0.2*(General_Model!$D$26/A257)+0.35*SQRT(9.80665*(General_Model!$D$4/1000))/A257)*A257))-(A257^2/(2*9.80665*General_Model!$D$7))*((4*(0.3164/((General_Model!$D$14*A257*(General_Model!$D$4/1000)/General_Model!$D$15)^0.25))*General_Model!$D$7/(General_Model!$D$4/1000)+1)+(4*(0.3164/((General_Model!$D$14*A257*(General_Model!$D$4/1000)/General_Model!$D$15)^0.25))*General_Model!$D$7/(General_Model!$D$4/1000)+2)*(General_Model!$D$26/A257))</f>
        <v>1.3012672526942382E-2</v>
      </c>
      <c r="C257" s="13">
        <f t="shared" si="3"/>
        <v>0</v>
      </c>
    </row>
    <row r="258" spans="1:3" x14ac:dyDescent="0.25">
      <c r="A258" s="11">
        <v>0.25600000000000001</v>
      </c>
      <c r="B258" s="12">
        <f>(General_Model!$D$6/General_Model!$D$7)-1/(1+General_Model!$D$26/((1.2+0.2*(General_Model!$D$26/A258)+0.35*SQRT(9.80665*(General_Model!$D$4/1000))/A258)*A258))-(A258^2/(2*9.80665*General_Model!$D$7))*((4*(0.3164/((General_Model!$D$14*A258*(General_Model!$D$4/1000)/General_Model!$D$15)^0.25))*General_Model!$D$7/(General_Model!$D$4/1000)+1)+(4*(0.3164/((General_Model!$D$14*A258*(General_Model!$D$4/1000)/General_Model!$D$15)^0.25))*General_Model!$D$7/(General_Model!$D$4/1000)+2)*(General_Model!$D$26/A258))</f>
        <v>1.2400258760043741E-2</v>
      </c>
      <c r="C258" s="13">
        <f t="shared" si="3"/>
        <v>0</v>
      </c>
    </row>
    <row r="259" spans="1:3" x14ac:dyDescent="0.25">
      <c r="A259" s="11">
        <v>0.25700000000000001</v>
      </c>
      <c r="B259" s="12">
        <f>(General_Model!$D$6/General_Model!$D$7)-1/(1+General_Model!$D$26/((1.2+0.2*(General_Model!$D$26/A259)+0.35*SQRT(9.80665*(General_Model!$D$4/1000))/A259)*A259))-(A259^2/(2*9.80665*General_Model!$D$7))*((4*(0.3164/((General_Model!$D$14*A259*(General_Model!$D$4/1000)/General_Model!$D$15)^0.25))*General_Model!$D$7/(General_Model!$D$4/1000)+1)+(4*(0.3164/((General_Model!$D$14*A259*(General_Model!$D$4/1000)/General_Model!$D$15)^0.25))*General_Model!$D$7/(General_Model!$D$4/1000)+2)*(General_Model!$D$26/A259))</f>
        <v>1.1788502798857334E-2</v>
      </c>
      <c r="C259" s="13">
        <f t="shared" ref="C259:C322" si="4">IF(B259*B260&lt;=0,1,0)</f>
        <v>0</v>
      </c>
    </row>
    <row r="260" spans="1:3" x14ac:dyDescent="0.25">
      <c r="A260" s="11">
        <v>0.25800000000000001</v>
      </c>
      <c r="B260" s="12">
        <f>(General_Model!$D$6/General_Model!$D$7)-1/(1+General_Model!$D$26/((1.2+0.2*(General_Model!$D$26/A260)+0.35*SQRT(9.80665*(General_Model!$D$4/1000))/A260)*A260))-(A260^2/(2*9.80665*General_Model!$D$7))*((4*(0.3164/((General_Model!$D$14*A260*(General_Model!$D$4/1000)/General_Model!$D$15)^0.25))*General_Model!$D$7/(General_Model!$D$4/1000)+1)+(4*(0.3164/((General_Model!$D$14*A260*(General_Model!$D$4/1000)/General_Model!$D$15)^0.25))*General_Model!$D$7/(General_Model!$D$4/1000)+2)*(General_Model!$D$26/A260))</f>
        <v>1.1177402086396643E-2</v>
      </c>
      <c r="C260" s="13">
        <f t="shared" si="4"/>
        <v>0</v>
      </c>
    </row>
    <row r="261" spans="1:3" x14ac:dyDescent="0.25">
      <c r="A261" s="11">
        <v>0.25900000000000001</v>
      </c>
      <c r="B261" s="12">
        <f>(General_Model!$D$6/General_Model!$D$7)-1/(1+General_Model!$D$26/((1.2+0.2*(General_Model!$D$26/A261)+0.35*SQRT(9.80665*(General_Model!$D$4/1000))/A261)*A261))-(A261^2/(2*9.80665*General_Model!$D$7))*((4*(0.3164/((General_Model!$D$14*A261*(General_Model!$D$4/1000)/General_Model!$D$15)^0.25))*General_Model!$D$7/(General_Model!$D$4/1000)+1)+(4*(0.3164/((General_Model!$D$14*A261*(General_Model!$D$4/1000)/General_Model!$D$15)^0.25))*General_Model!$D$7/(General_Model!$D$4/1000)+2)*(General_Model!$D$26/A261))</f>
        <v>1.0566954076454027E-2</v>
      </c>
      <c r="C261" s="13">
        <f t="shared" si="4"/>
        <v>0</v>
      </c>
    </row>
    <row r="262" spans="1:3" x14ac:dyDescent="0.25">
      <c r="A262" s="11">
        <v>0.26</v>
      </c>
      <c r="B262" s="12">
        <f>(General_Model!$D$6/General_Model!$D$7)-1/(1+General_Model!$D$26/((1.2+0.2*(General_Model!$D$26/A262)+0.35*SQRT(9.80665*(General_Model!$D$4/1000))/A262)*A262))-(A262^2/(2*9.80665*General_Model!$D$7))*((4*(0.3164/((General_Model!$D$14*A262*(General_Model!$D$4/1000)/General_Model!$D$15)^0.25))*General_Model!$D$7/(General_Model!$D$4/1000)+1)+(4*(0.3164/((General_Model!$D$14*A262*(General_Model!$D$4/1000)/General_Model!$D$15)^0.25))*General_Model!$D$7/(General_Model!$D$4/1000)+2)*(General_Model!$D$26/A262))</f>
        <v>9.9571562335369068E-3</v>
      </c>
      <c r="C262" s="13">
        <f t="shared" si="4"/>
        <v>0</v>
      </c>
    </row>
    <row r="263" spans="1:3" x14ac:dyDescent="0.25">
      <c r="A263" s="11">
        <v>0.26100000000000001</v>
      </c>
      <c r="B263" s="12">
        <f>(General_Model!$D$6/General_Model!$D$7)-1/(1+General_Model!$D$26/((1.2+0.2*(General_Model!$D$26/A263)+0.35*SQRT(9.80665*(General_Model!$D$4/1000))/A263)*A263))-(A263^2/(2*9.80665*General_Model!$D$7))*((4*(0.3164/((General_Model!$D$14*A263*(General_Model!$D$4/1000)/General_Model!$D$15)^0.25))*General_Model!$D$7/(General_Model!$D$4/1000)+1)+(4*(0.3164/((General_Model!$D$14*A263*(General_Model!$D$4/1000)/General_Model!$D$15)^0.25))*General_Model!$D$7/(General_Model!$D$4/1000)+2)*(General_Model!$D$26/A263))</f>
        <v>9.3480060328052297E-3</v>
      </c>
      <c r="C263" s="13">
        <f t="shared" si="4"/>
        <v>0</v>
      </c>
    </row>
    <row r="264" spans="1:3" x14ac:dyDescent="0.25">
      <c r="A264" s="11">
        <v>0.26200000000000001</v>
      </c>
      <c r="B264" s="12">
        <f>(General_Model!$D$6/General_Model!$D$7)-1/(1+General_Model!$D$26/((1.2+0.2*(General_Model!$D$26/A264)+0.35*SQRT(9.80665*(General_Model!$D$4/1000))/A264)*A264))-(A264^2/(2*9.80665*General_Model!$D$7))*((4*(0.3164/((General_Model!$D$14*A264*(General_Model!$D$4/1000)/General_Model!$D$15)^0.25))*General_Model!$D$7/(General_Model!$D$4/1000)+1)+(4*(0.3164/((General_Model!$D$14*A264*(General_Model!$D$4/1000)/General_Model!$D$15)^0.25))*General_Model!$D$7/(General_Model!$D$4/1000)+2)*(General_Model!$D$26/A264))</f>
        <v>8.7395009600087989E-3</v>
      </c>
      <c r="C264" s="13">
        <f t="shared" si="4"/>
        <v>0</v>
      </c>
    </row>
    <row r="265" spans="1:3" x14ac:dyDescent="0.25">
      <c r="A265" s="11">
        <v>0.26300000000000001</v>
      </c>
      <c r="B265" s="12">
        <f>(General_Model!$D$6/General_Model!$D$7)-1/(1+General_Model!$D$26/((1.2+0.2*(General_Model!$D$26/A265)+0.35*SQRT(9.80665*(General_Model!$D$4/1000))/A265)*A265))-(A265^2/(2*9.80665*General_Model!$D$7))*((4*(0.3164/((General_Model!$D$14*A265*(General_Model!$D$4/1000)/General_Model!$D$15)^0.25))*General_Model!$D$7/(General_Model!$D$4/1000)+1)+(4*(0.3164/((General_Model!$D$14*A265*(General_Model!$D$4/1000)/General_Model!$D$15)^0.25))*General_Model!$D$7/(General_Model!$D$4/1000)+2)*(General_Model!$D$26/A265))</f>
        <v>8.1316385114250239E-3</v>
      </c>
      <c r="C265" s="13">
        <f t="shared" si="4"/>
        <v>0</v>
      </c>
    </row>
    <row r="266" spans="1:3" x14ac:dyDescent="0.25">
      <c r="A266" s="11">
        <v>0.26400000000000001</v>
      </c>
      <c r="B266" s="12">
        <f>(General_Model!$D$6/General_Model!$D$7)-1/(1+General_Model!$D$26/((1.2+0.2*(General_Model!$D$26/A266)+0.35*SQRT(9.80665*(General_Model!$D$4/1000))/A266)*A266))-(A266^2/(2*9.80665*General_Model!$D$7))*((4*(0.3164/((General_Model!$D$14*A266*(General_Model!$D$4/1000)/General_Model!$D$15)^0.25))*General_Model!$D$7/(General_Model!$D$4/1000)+1)+(4*(0.3164/((General_Model!$D$14*A266*(General_Model!$D$4/1000)/General_Model!$D$15)^0.25))*General_Model!$D$7/(General_Model!$D$4/1000)+2)*(General_Model!$D$26/A266))</f>
        <v>7.5244161937986359E-3</v>
      </c>
      <c r="C266" s="13">
        <f t="shared" si="4"/>
        <v>0</v>
      </c>
    </row>
    <row r="267" spans="1:3" x14ac:dyDescent="0.25">
      <c r="A267" s="11">
        <v>0.26500000000000001</v>
      </c>
      <c r="B267" s="12">
        <f>(General_Model!$D$6/General_Model!$D$7)-1/(1+General_Model!$D$26/((1.2+0.2*(General_Model!$D$26/A267)+0.35*SQRT(9.80665*(General_Model!$D$4/1000))/A267)*A267))-(A267^2/(2*9.80665*General_Model!$D$7))*((4*(0.3164/((General_Model!$D$14*A267*(General_Model!$D$4/1000)/General_Model!$D$15)^0.25))*General_Model!$D$7/(General_Model!$D$4/1000)+1)+(4*(0.3164/((General_Model!$D$14*A267*(General_Model!$D$4/1000)/General_Model!$D$15)^0.25))*General_Model!$D$7/(General_Model!$D$4/1000)+2)*(General_Model!$D$26/A267))</f>
        <v>6.9178315242796676E-3</v>
      </c>
      <c r="C267" s="13">
        <f t="shared" si="4"/>
        <v>0</v>
      </c>
    </row>
    <row r="268" spans="1:3" x14ac:dyDescent="0.25">
      <c r="A268" s="11">
        <v>0.26600000000000001</v>
      </c>
      <c r="B268" s="12">
        <f>(General_Model!$D$6/General_Model!$D$7)-1/(1+General_Model!$D$26/((1.2+0.2*(General_Model!$D$26/A268)+0.35*SQRT(9.80665*(General_Model!$D$4/1000))/A268)*A268))-(A268^2/(2*9.80665*General_Model!$D$7))*((4*(0.3164/((General_Model!$D$14*A268*(General_Model!$D$4/1000)/General_Model!$D$15)^0.25))*General_Model!$D$7/(General_Model!$D$4/1000)+1)+(4*(0.3164/((General_Model!$D$14*A268*(General_Model!$D$4/1000)/General_Model!$D$15)^0.25))*General_Model!$D$7/(General_Model!$D$4/1000)+2)*(General_Model!$D$26/A268))</f>
        <v>6.3118820303645212E-3</v>
      </c>
      <c r="C268" s="13">
        <f t="shared" si="4"/>
        <v>0</v>
      </c>
    </row>
    <row r="269" spans="1:3" x14ac:dyDescent="0.25">
      <c r="A269" s="11">
        <v>0.26700000000000002</v>
      </c>
      <c r="B269" s="12">
        <f>(General_Model!$D$6/General_Model!$D$7)-1/(1+General_Model!$D$26/((1.2+0.2*(General_Model!$D$26/A269)+0.35*SQRT(9.80665*(General_Model!$D$4/1000))/A269)*A269))-(A269^2/(2*9.80665*General_Model!$D$7))*((4*(0.3164/((General_Model!$D$14*A269*(General_Model!$D$4/1000)/General_Model!$D$15)^0.25))*General_Model!$D$7/(General_Model!$D$4/1000)+1)+(4*(0.3164/((General_Model!$D$14*A269*(General_Model!$D$4/1000)/General_Model!$D$15)^0.25))*General_Model!$D$7/(General_Model!$D$4/1000)+2)*(General_Model!$D$26/A269))</f>
        <v>5.7065652498351008E-3</v>
      </c>
      <c r="C269" s="13">
        <f t="shared" si="4"/>
        <v>0</v>
      </c>
    </row>
    <row r="270" spans="1:3" x14ac:dyDescent="0.25">
      <c r="A270" s="11">
        <v>0.26800000000000002</v>
      </c>
      <c r="B270" s="12">
        <f>(General_Model!$D$6/General_Model!$D$7)-1/(1+General_Model!$D$26/((1.2+0.2*(General_Model!$D$26/A270)+0.35*SQRT(9.80665*(General_Model!$D$4/1000))/A270)*A270))-(A270^2/(2*9.80665*General_Model!$D$7))*((4*(0.3164/((General_Model!$D$14*A270*(General_Model!$D$4/1000)/General_Model!$D$15)^0.25))*General_Model!$D$7/(General_Model!$D$4/1000)+1)+(4*(0.3164/((General_Model!$D$14*A270*(General_Model!$D$4/1000)/General_Model!$D$15)^0.25))*General_Model!$D$7/(General_Model!$D$4/1000)+2)*(General_Model!$D$26/A270))</f>
        <v>5.1018787307004002E-3</v>
      </c>
      <c r="C270" s="13">
        <f t="shared" si="4"/>
        <v>0</v>
      </c>
    </row>
    <row r="271" spans="1:3" x14ac:dyDescent="0.25">
      <c r="A271" s="11">
        <v>0.26900000000000002</v>
      </c>
      <c r="B271" s="12">
        <f>(General_Model!$D$6/General_Model!$D$7)-1/(1+General_Model!$D$26/((1.2+0.2*(General_Model!$D$26/A271)+0.35*SQRT(9.80665*(General_Model!$D$4/1000))/A271)*A271))-(A271^2/(2*9.80665*General_Model!$D$7))*((4*(0.3164/((General_Model!$D$14*A271*(General_Model!$D$4/1000)/General_Model!$D$15)^0.25))*General_Model!$D$7/(General_Model!$D$4/1000)+1)+(4*(0.3164/((General_Model!$D$14*A271*(General_Model!$D$4/1000)/General_Model!$D$15)^0.25))*General_Model!$D$7/(General_Model!$D$4/1000)+2)*(General_Model!$D$26/A271))</f>
        <v>4.4978200311373423E-3</v>
      </c>
      <c r="C271" s="13">
        <f t="shared" si="4"/>
        <v>0</v>
      </c>
    </row>
    <row r="272" spans="1:3" x14ac:dyDescent="0.25">
      <c r="A272" s="11">
        <v>0.27</v>
      </c>
      <c r="B272" s="12">
        <f>(General_Model!$D$6/General_Model!$D$7)-1/(1+General_Model!$D$26/((1.2+0.2*(General_Model!$D$26/A272)+0.35*SQRT(9.80665*(General_Model!$D$4/1000))/A272)*A272))-(A272^2/(2*9.80665*General_Model!$D$7))*((4*(0.3164/((General_Model!$D$14*A272*(General_Model!$D$4/1000)/General_Model!$D$15)^0.25))*General_Model!$D$7/(General_Model!$D$4/1000)+1)+(4*(0.3164/((General_Model!$D$14*A272*(General_Model!$D$4/1000)/General_Model!$D$15)^0.25))*General_Model!$D$7/(General_Model!$D$4/1000)+2)*(General_Model!$D$26/A272))</f>
        <v>3.8943867194330267E-3</v>
      </c>
      <c r="C272" s="13">
        <f t="shared" si="4"/>
        <v>0</v>
      </c>
    </row>
    <row r="273" spans="1:3" x14ac:dyDescent="0.25">
      <c r="A273" s="11">
        <v>0.27100000000000002</v>
      </c>
      <c r="B273" s="12">
        <f>(General_Model!$D$6/General_Model!$D$7)-1/(1+General_Model!$D$26/((1.2+0.2*(General_Model!$D$26/A273)+0.35*SQRT(9.80665*(General_Model!$D$4/1000))/A273)*A273))-(A273^2/(2*9.80665*General_Model!$D$7))*((4*(0.3164/((General_Model!$D$14*A273*(General_Model!$D$4/1000)/General_Model!$D$15)^0.25))*General_Model!$D$7/(General_Model!$D$4/1000)+1)+(4*(0.3164/((General_Model!$D$14*A273*(General_Model!$D$4/1000)/General_Model!$D$15)^0.25))*General_Model!$D$7/(General_Model!$D$4/1000)+2)*(General_Model!$D$26/A273))</f>
        <v>3.2915763739265816E-3</v>
      </c>
      <c r="C273" s="13">
        <f t="shared" si="4"/>
        <v>0</v>
      </c>
    </row>
    <row r="274" spans="1:3" x14ac:dyDescent="0.25">
      <c r="A274" s="11">
        <v>0.27200000000000002</v>
      </c>
      <c r="B274" s="12">
        <f>(General_Model!$D$6/General_Model!$D$7)-1/(1+General_Model!$D$26/((1.2+0.2*(General_Model!$D$26/A274)+0.35*SQRT(9.80665*(General_Model!$D$4/1000))/A274)*A274))-(A274^2/(2*9.80665*General_Model!$D$7))*((4*(0.3164/((General_Model!$D$14*A274*(General_Model!$D$4/1000)/General_Model!$D$15)^0.25))*General_Model!$D$7/(General_Model!$D$4/1000)+1)+(4*(0.3164/((General_Model!$D$14*A274*(General_Model!$D$4/1000)/General_Model!$D$15)^0.25))*General_Model!$D$7/(General_Model!$D$4/1000)+2)*(General_Model!$D$26/A274))</f>
        <v>2.6893865829522925E-3</v>
      </c>
      <c r="C274" s="13">
        <f t="shared" si="4"/>
        <v>0</v>
      </c>
    </row>
    <row r="275" spans="1:3" x14ac:dyDescent="0.25">
      <c r="A275" s="11">
        <v>0.27300000000000002</v>
      </c>
      <c r="B275" s="12">
        <f>(General_Model!$D$6/General_Model!$D$7)-1/(1+General_Model!$D$26/((1.2+0.2*(General_Model!$D$26/A275)+0.35*SQRT(9.80665*(General_Model!$D$4/1000))/A275)*A275))-(A275^2/(2*9.80665*General_Model!$D$7))*((4*(0.3164/((General_Model!$D$14*A275*(General_Model!$D$4/1000)/General_Model!$D$15)^0.25))*General_Model!$D$7/(General_Model!$D$4/1000)+1)+(4*(0.3164/((General_Model!$D$14*A275*(General_Model!$D$4/1000)/General_Model!$D$15)^0.25))*General_Model!$D$7/(General_Model!$D$4/1000)+2)*(General_Model!$D$26/A275))</f>
        <v>2.0878149447827524E-3</v>
      </c>
      <c r="C275" s="13">
        <f t="shared" si="4"/>
        <v>0</v>
      </c>
    </row>
    <row r="276" spans="1:3" x14ac:dyDescent="0.25">
      <c r="A276" s="11">
        <v>0.27400000000000002</v>
      </c>
      <c r="B276" s="12">
        <f>(General_Model!$D$6/General_Model!$D$7)-1/(1+General_Model!$D$26/((1.2+0.2*(General_Model!$D$26/A276)+0.35*SQRT(9.80665*(General_Model!$D$4/1000))/A276)*A276))-(A276^2/(2*9.80665*General_Model!$D$7))*((4*(0.3164/((General_Model!$D$14*A276*(General_Model!$D$4/1000)/General_Model!$D$15)^0.25))*General_Model!$D$7/(General_Model!$D$4/1000)+1)+(4*(0.3164/((General_Model!$D$14*A276*(General_Model!$D$4/1000)/General_Model!$D$15)^0.25))*General_Model!$D$7/(General_Model!$D$4/1000)+2)*(General_Model!$D$26/A276))</f>
        <v>1.4868590675727114E-3</v>
      </c>
      <c r="C276" s="13">
        <f t="shared" si="4"/>
        <v>0</v>
      </c>
    </row>
    <row r="277" spans="1:3" x14ac:dyDescent="0.25">
      <c r="A277" s="11">
        <v>0.27500000000000002</v>
      </c>
      <c r="B277" s="12">
        <f>(General_Model!$D$6/General_Model!$D$7)-1/(1+General_Model!$D$26/((1.2+0.2*(General_Model!$D$26/A277)+0.35*SQRT(9.80665*(General_Model!$D$4/1000))/A277)*A277))-(A277^2/(2*9.80665*General_Model!$D$7))*((4*(0.3164/((General_Model!$D$14*A277*(General_Model!$D$4/1000)/General_Model!$D$15)^0.25))*General_Model!$D$7/(General_Model!$D$4/1000)+1)+(4*(0.3164/((General_Model!$D$14*A277*(General_Model!$D$4/1000)/General_Model!$D$15)^0.25))*General_Model!$D$7/(General_Model!$D$4/1000)+2)*(General_Model!$D$26/A277))</f>
        <v>8.8651656930299055E-4</v>
      </c>
      <c r="C277" s="13">
        <f t="shared" si="4"/>
        <v>0</v>
      </c>
    </row>
    <row r="278" spans="1:3" x14ac:dyDescent="0.25">
      <c r="A278" s="11">
        <v>0.27600000000000002</v>
      </c>
      <c r="B278" s="12">
        <f>(General_Model!$D$6/General_Model!$D$7)-1/(1+General_Model!$D$26/((1.2+0.2*(General_Model!$D$26/A278)+0.35*SQRT(9.80665*(General_Model!$D$4/1000))/A278)*A278))-(A278^2/(2*9.80665*General_Model!$D$7))*((4*(0.3164/((General_Model!$D$14*A278*(General_Model!$D$4/1000)/General_Model!$D$15)^0.25))*General_Model!$D$7/(General_Model!$D$4/1000)+1)+(4*(0.3164/((General_Model!$D$14*A278*(General_Model!$D$4/1000)/General_Model!$D$15)^0.25))*General_Model!$D$7/(General_Model!$D$4/1000)+2)*(General_Model!$D$26/A278))</f>
        <v>2.8678507772558065E-4</v>
      </c>
      <c r="C278" s="13">
        <f t="shared" si="4"/>
        <v>1</v>
      </c>
    </row>
    <row r="279" spans="1:3" x14ac:dyDescent="0.25">
      <c r="A279" s="11">
        <v>0.27700000000000002</v>
      </c>
      <c r="B279" s="12">
        <f>(General_Model!$D$6/General_Model!$D$7)-1/(1+General_Model!$D$26/((1.2+0.2*(General_Model!$D$26/A279)+0.35*SQRT(9.80665*(General_Model!$D$4/1000))/A279)*A279))-(A279^2/(2*9.80665*General_Model!$D$7))*((4*(0.3164/((General_Model!$D$14*A279*(General_Model!$D$4/1000)/General_Model!$D$15)^0.25))*General_Model!$D$7/(General_Model!$D$4/1000)+1)+(4*(0.3164/((General_Model!$D$14*A279*(General_Model!$D$4/1000)/General_Model!$D$15)^0.25))*General_Model!$D$7/(General_Model!$D$4/1000)+2)*(General_Model!$D$26/A279))</f>
        <v>-3.1233776969146615E-4</v>
      </c>
      <c r="C279" s="13">
        <f t="shared" si="4"/>
        <v>0</v>
      </c>
    </row>
    <row r="280" spans="1:3" x14ac:dyDescent="0.25">
      <c r="A280" s="11">
        <v>0.27800000000000002</v>
      </c>
      <c r="B280" s="12">
        <f>(General_Model!$D$6/General_Model!$D$7)-1/(1+General_Model!$D$26/((1.2+0.2*(General_Model!$D$26/A280)+0.35*SQRT(9.80665*(General_Model!$D$4/1000))/A280)*A280))-(A280^2/(2*9.80665*General_Model!$D$7))*((4*(0.3164/((General_Model!$D$14*A280*(General_Model!$D$4/1000)/General_Model!$D$15)^0.25))*General_Model!$D$7/(General_Model!$D$4/1000)+1)+(4*(0.3164/((General_Model!$D$14*A280*(General_Model!$D$4/1000)/General_Model!$D$15)^0.25))*General_Model!$D$7/(General_Model!$D$4/1000)+2)*(General_Model!$D$26/A280))</f>
        <v>-9.108543258181806E-4</v>
      </c>
      <c r="C280" s="13">
        <f t="shared" si="4"/>
        <v>0</v>
      </c>
    </row>
    <row r="281" spans="1:3" x14ac:dyDescent="0.25">
      <c r="A281" s="11">
        <v>0.27900000000000003</v>
      </c>
      <c r="B281" s="12">
        <f>(General_Model!$D$6/General_Model!$D$7)-1/(1+General_Model!$D$26/((1.2+0.2*(General_Model!$D$26/A281)+0.35*SQRT(9.80665*(General_Model!$D$4/1000))/A281)*A281))-(A281^2/(2*9.80665*General_Model!$D$7))*((4*(0.3164/((General_Model!$D$14*A281*(General_Model!$D$4/1000)/General_Model!$D$15)^0.25))*General_Model!$D$7/(General_Model!$D$4/1000)+1)+(4*(0.3164/((General_Model!$D$14*A281*(General_Model!$D$4/1000)/General_Model!$D$15)^0.25))*General_Model!$D$7/(General_Model!$D$4/1000)+2)*(General_Model!$D$26/A281))</f>
        <v>-1.5087669339173201E-3</v>
      </c>
      <c r="C281" s="13">
        <f t="shared" si="4"/>
        <v>0</v>
      </c>
    </row>
    <row r="282" spans="1:3" x14ac:dyDescent="0.25">
      <c r="A282" s="11">
        <v>0.28000000000000003</v>
      </c>
      <c r="B282" s="12">
        <f>(General_Model!$D$6/General_Model!$D$7)-1/(1+General_Model!$D$26/((1.2+0.2*(General_Model!$D$26/A282)+0.35*SQRT(9.80665*(General_Model!$D$4/1000))/A282)*A282))-(A282^2/(2*9.80665*General_Model!$D$7))*((4*(0.3164/((General_Model!$D$14*A282*(General_Model!$D$4/1000)/General_Model!$D$15)^0.25))*General_Model!$D$7/(General_Model!$D$4/1000)+1)+(4*(0.3164/((General_Model!$D$14*A282*(General_Model!$D$4/1000)/General_Model!$D$15)^0.25))*General_Model!$D$7/(General_Model!$D$4/1000)+2)*(General_Model!$D$26/A282))</f>
        <v>-2.1060779276969033E-3</v>
      </c>
      <c r="C282" s="13">
        <f t="shared" si="4"/>
        <v>0</v>
      </c>
    </row>
    <row r="283" spans="1:3" x14ac:dyDescent="0.25">
      <c r="A283" s="11">
        <v>0.28100000000000003</v>
      </c>
      <c r="B283" s="12">
        <f>(General_Model!$D$6/General_Model!$D$7)-1/(1+General_Model!$D$26/((1.2+0.2*(General_Model!$D$26/A283)+0.35*SQRT(9.80665*(General_Model!$D$4/1000))/A283)*A283))-(A283^2/(2*9.80665*General_Model!$D$7))*((4*(0.3164/((General_Model!$D$14*A283*(General_Model!$D$4/1000)/General_Model!$D$15)^0.25))*General_Model!$D$7/(General_Model!$D$4/1000)+1)+(4*(0.3164/((General_Model!$D$14*A283*(General_Model!$D$4/1000)/General_Model!$D$15)^0.25))*General_Model!$D$7/(General_Model!$D$4/1000)+2)*(General_Model!$D$26/A283))</f>
        <v>-2.7027896313638541E-3</v>
      </c>
      <c r="C283" s="13">
        <f t="shared" si="4"/>
        <v>0</v>
      </c>
    </row>
    <row r="284" spans="1:3" x14ac:dyDescent="0.25">
      <c r="A284" s="11">
        <v>0.28199999999999997</v>
      </c>
      <c r="B284" s="12">
        <f>(General_Model!$D$6/General_Model!$D$7)-1/(1+General_Model!$D$26/((1.2+0.2*(General_Model!$D$26/A284)+0.35*SQRT(9.80665*(General_Model!$D$4/1000))/A284)*A284))-(A284^2/(2*9.80665*General_Model!$D$7))*((4*(0.3164/((General_Model!$D$14*A284*(General_Model!$D$4/1000)/General_Model!$D$15)^0.25))*General_Model!$D$7/(General_Model!$D$4/1000)+1)+(4*(0.3164/((General_Model!$D$14*A284*(General_Model!$D$4/1000)/General_Model!$D$15)^0.25))*General_Model!$D$7/(General_Model!$D$4/1000)+2)*(General_Model!$D$26/A284))</f>
        <v>-3.2989043596770296E-3</v>
      </c>
      <c r="C284" s="13">
        <f t="shared" si="4"/>
        <v>0</v>
      </c>
    </row>
    <row r="285" spans="1:3" x14ac:dyDescent="0.25">
      <c r="A285" s="11">
        <v>0.28299999999999997</v>
      </c>
      <c r="B285" s="12">
        <f>(General_Model!$D$6/General_Model!$D$7)-1/(1+General_Model!$D$26/((1.2+0.2*(General_Model!$D$26/A285)+0.35*SQRT(9.80665*(General_Model!$D$4/1000))/A285)*A285))-(A285^2/(2*9.80665*General_Model!$D$7))*((4*(0.3164/((General_Model!$D$14*A285*(General_Model!$D$4/1000)/General_Model!$D$15)^0.25))*General_Model!$D$7/(General_Model!$D$4/1000)+1)+(4*(0.3164/((General_Model!$D$14*A285*(General_Model!$D$4/1000)/General_Model!$D$15)^0.25))*General_Model!$D$7/(General_Model!$D$4/1000)+2)*(General_Model!$D$26/A285))</f>
        <v>-3.8944244179987195E-3</v>
      </c>
      <c r="C285" s="13">
        <f t="shared" si="4"/>
        <v>0</v>
      </c>
    </row>
    <row r="286" spans="1:3" x14ac:dyDescent="0.25">
      <c r="A286" s="11">
        <v>0.28399999999999997</v>
      </c>
      <c r="B286" s="12">
        <f>(General_Model!$D$6/General_Model!$D$7)-1/(1+General_Model!$D$26/((1.2+0.2*(General_Model!$D$26/A286)+0.35*SQRT(9.80665*(General_Model!$D$4/1000))/A286)*A286))-(A286^2/(2*9.80665*General_Model!$D$7))*((4*(0.3164/((General_Model!$D$14*A286*(General_Model!$D$4/1000)/General_Model!$D$15)^0.25))*General_Model!$D$7/(General_Model!$D$4/1000)+1)+(4*(0.3164/((General_Model!$D$14*A286*(General_Model!$D$4/1000)/General_Model!$D$15)^0.25))*General_Model!$D$7/(General_Model!$D$4/1000)+2)*(General_Model!$D$26/A286))</f>
        <v>-4.4893521023466332E-3</v>
      </c>
      <c r="C286" s="13">
        <f t="shared" si="4"/>
        <v>0</v>
      </c>
    </row>
    <row r="287" spans="1:3" x14ac:dyDescent="0.25">
      <c r="A287" s="11">
        <v>0.28499999999999998</v>
      </c>
      <c r="B287" s="12">
        <f>(General_Model!$D$6/General_Model!$D$7)-1/(1+General_Model!$D$26/((1.2+0.2*(General_Model!$D$26/A287)+0.35*SQRT(9.80665*(General_Model!$D$4/1000))/A287)*A287))-(A287^2/(2*9.80665*General_Model!$D$7))*((4*(0.3164/((General_Model!$D$14*A287*(General_Model!$D$4/1000)/General_Model!$D$15)^0.25))*General_Model!$D$7/(General_Model!$D$4/1000)+1)+(4*(0.3164/((General_Model!$D$14*A287*(General_Model!$D$4/1000)/General_Model!$D$15)^0.25))*General_Model!$D$7/(General_Model!$D$4/1000)+2)*(General_Model!$D$26/A287))</f>
        <v>-5.0836896994457328E-3</v>
      </c>
      <c r="C287" s="13">
        <f t="shared" si="4"/>
        <v>0</v>
      </c>
    </row>
    <row r="288" spans="1:3" x14ac:dyDescent="0.25">
      <c r="A288" s="11">
        <v>0.28599999999999998</v>
      </c>
      <c r="B288" s="12">
        <f>(General_Model!$D$6/General_Model!$D$7)-1/(1+General_Model!$D$26/((1.2+0.2*(General_Model!$D$26/A288)+0.35*SQRT(9.80665*(General_Model!$D$4/1000))/A288)*A288))-(A288^2/(2*9.80665*General_Model!$D$7))*((4*(0.3164/((General_Model!$D$14*A288*(General_Model!$D$4/1000)/General_Model!$D$15)^0.25))*General_Model!$D$7/(General_Model!$D$4/1000)+1)+(4*(0.3164/((General_Model!$D$14*A288*(General_Model!$D$4/1000)/General_Model!$D$15)^0.25))*General_Model!$D$7/(General_Model!$D$4/1000)+2)*(General_Model!$D$26/A288))</f>
        <v>-5.6774394867787695E-3</v>
      </c>
      <c r="C288" s="13">
        <f t="shared" si="4"/>
        <v>0</v>
      </c>
    </row>
    <row r="289" spans="1:3" x14ac:dyDescent="0.25">
      <c r="A289" s="11">
        <v>0.28699999999999998</v>
      </c>
      <c r="B289" s="12">
        <f>(General_Model!$D$6/General_Model!$D$7)-1/(1+General_Model!$D$26/((1.2+0.2*(General_Model!$D$26/A289)+0.35*SQRT(9.80665*(General_Model!$D$4/1000))/A289)*A289))-(A289^2/(2*9.80665*General_Model!$D$7))*((4*(0.3164/((General_Model!$D$14*A289*(General_Model!$D$4/1000)/General_Model!$D$15)^0.25))*General_Model!$D$7/(General_Model!$D$4/1000)+1)+(4*(0.3164/((General_Model!$D$14*A289*(General_Model!$D$4/1000)/General_Model!$D$15)^0.25))*General_Model!$D$7/(General_Model!$D$4/1000)+2)*(General_Model!$D$26/A289))</f>
        <v>-6.2706037326372283E-3</v>
      </c>
      <c r="C289" s="13">
        <f t="shared" si="4"/>
        <v>0</v>
      </c>
    </row>
    <row r="290" spans="1:3" x14ac:dyDescent="0.25">
      <c r="A290" s="11">
        <v>0.28799999999999998</v>
      </c>
      <c r="B290" s="12">
        <f>(General_Model!$D$6/General_Model!$D$7)-1/(1+General_Model!$D$26/((1.2+0.2*(General_Model!$D$26/A290)+0.35*SQRT(9.80665*(General_Model!$D$4/1000))/A290)*A290))-(A290^2/(2*9.80665*General_Model!$D$7))*((4*(0.3164/((General_Model!$D$14*A290*(General_Model!$D$4/1000)/General_Model!$D$15)^0.25))*General_Model!$D$7/(General_Model!$D$4/1000)+1)+(4*(0.3164/((General_Model!$D$14*A290*(General_Model!$D$4/1000)/General_Model!$D$15)^0.25))*General_Model!$D$7/(General_Model!$D$4/1000)+2)*(General_Model!$D$26/A290))</f>
        <v>-6.8631846961711082E-3</v>
      </c>
      <c r="C290" s="13">
        <f t="shared" si="4"/>
        <v>0</v>
      </c>
    </row>
    <row r="291" spans="1:3" x14ac:dyDescent="0.25">
      <c r="A291" s="11">
        <v>0.28899999999999998</v>
      </c>
      <c r="B291" s="12">
        <f>(General_Model!$D$6/General_Model!$D$7)-1/(1+General_Model!$D$26/((1.2+0.2*(General_Model!$D$26/A291)+0.35*SQRT(9.80665*(General_Model!$D$4/1000))/A291)*A291))-(A291^2/(2*9.80665*General_Model!$D$7))*((4*(0.3164/((General_Model!$D$14*A291*(General_Model!$D$4/1000)/General_Model!$D$15)^0.25))*General_Model!$D$7/(General_Model!$D$4/1000)+1)+(4*(0.3164/((General_Model!$D$14*A291*(General_Model!$D$4/1000)/General_Model!$D$15)^0.25))*General_Model!$D$7/(General_Model!$D$4/1000)+2)*(General_Model!$D$26/A291))</f>
        <v>-7.4551846274391875E-3</v>
      </c>
      <c r="C291" s="13">
        <f t="shared" si="4"/>
        <v>0</v>
      </c>
    </row>
    <row r="292" spans="1:3" x14ac:dyDescent="0.25">
      <c r="A292" s="11">
        <v>0.28999999999999998</v>
      </c>
      <c r="B292" s="12">
        <f>(General_Model!$D$6/General_Model!$D$7)-1/(1+General_Model!$D$26/((1.2+0.2*(General_Model!$D$26/A292)+0.35*SQRT(9.80665*(General_Model!$D$4/1000))/A292)*A292))-(A292^2/(2*9.80665*General_Model!$D$7))*((4*(0.3164/((General_Model!$D$14*A292*(General_Model!$D$4/1000)/General_Model!$D$15)^0.25))*General_Model!$D$7/(General_Model!$D$4/1000)+1)+(4*(0.3164/((General_Model!$D$14*A292*(General_Model!$D$4/1000)/General_Model!$D$15)^0.25))*General_Model!$D$7/(General_Model!$D$4/1000)+2)*(General_Model!$D$26/A292))</f>
        <v>-8.0466057674582619E-3</v>
      </c>
      <c r="C292" s="13">
        <f t="shared" si="4"/>
        <v>0</v>
      </c>
    </row>
    <row r="293" spans="1:3" x14ac:dyDescent="0.25">
      <c r="A293" s="11">
        <v>0.29099999999999998</v>
      </c>
      <c r="B293" s="12">
        <f>(General_Model!$D$6/General_Model!$D$7)-1/(1+General_Model!$D$26/((1.2+0.2*(General_Model!$D$26/A293)+0.35*SQRT(9.80665*(General_Model!$D$4/1000))/A293)*A293))-(A293^2/(2*9.80665*General_Model!$D$7))*((4*(0.3164/((General_Model!$D$14*A293*(General_Model!$D$4/1000)/General_Model!$D$15)^0.25))*General_Model!$D$7/(General_Model!$D$4/1000)+1)+(4*(0.3164/((General_Model!$D$14*A293*(General_Model!$D$4/1000)/General_Model!$D$15)^0.25))*General_Model!$D$7/(General_Model!$D$4/1000)+2)*(General_Model!$D$26/A293))</f>
        <v>-8.6374503482517379E-3</v>
      </c>
      <c r="C293" s="13">
        <f t="shared" si="4"/>
        <v>0</v>
      </c>
    </row>
    <row r="294" spans="1:3" x14ac:dyDescent="0.25">
      <c r="A294" s="11">
        <v>0.29199999999999998</v>
      </c>
      <c r="B294" s="12">
        <f>(General_Model!$D$6/General_Model!$D$7)-1/(1+General_Model!$D$26/((1.2+0.2*(General_Model!$D$26/A294)+0.35*SQRT(9.80665*(General_Model!$D$4/1000))/A294)*A294))-(A294^2/(2*9.80665*General_Model!$D$7))*((4*(0.3164/((General_Model!$D$14*A294*(General_Model!$D$4/1000)/General_Model!$D$15)^0.25))*General_Model!$D$7/(General_Model!$D$4/1000)+1)+(4*(0.3164/((General_Model!$D$14*A294*(General_Model!$D$4/1000)/General_Model!$D$15)^0.25))*General_Model!$D$7/(General_Model!$D$4/1000)+2)*(General_Model!$D$26/A294))</f>
        <v>-9.2277205928990441E-3</v>
      </c>
      <c r="C294" s="13">
        <f t="shared" si="4"/>
        <v>0</v>
      </c>
    </row>
    <row r="295" spans="1:3" x14ac:dyDescent="0.25">
      <c r="A295" s="11">
        <v>0.29299999999999998</v>
      </c>
      <c r="B295" s="12">
        <f>(General_Model!$D$6/General_Model!$D$7)-1/(1+General_Model!$D$26/((1.2+0.2*(General_Model!$D$26/A295)+0.35*SQRT(9.80665*(General_Model!$D$4/1000))/A295)*A295))-(A295^2/(2*9.80665*General_Model!$D$7))*((4*(0.3164/((General_Model!$D$14*A295*(General_Model!$D$4/1000)/General_Model!$D$15)^0.25))*General_Model!$D$7/(General_Model!$D$4/1000)+1)+(4*(0.3164/((General_Model!$D$14*A295*(General_Model!$D$4/1000)/General_Model!$D$15)^0.25))*General_Model!$D$7/(General_Model!$D$4/1000)+2)*(General_Model!$D$26/A295))</f>
        <v>-9.8174187155835313E-3</v>
      </c>
      <c r="C295" s="13">
        <f t="shared" si="4"/>
        <v>0</v>
      </c>
    </row>
    <row r="296" spans="1:3" x14ac:dyDescent="0.25">
      <c r="A296" s="11">
        <v>0.29399999999999998</v>
      </c>
      <c r="B296" s="12">
        <f>(General_Model!$D$6/General_Model!$D$7)-1/(1+General_Model!$D$26/((1.2+0.2*(General_Model!$D$26/A296)+0.35*SQRT(9.80665*(General_Model!$D$4/1000))/A296)*A296))-(A296^2/(2*9.80665*General_Model!$D$7))*((4*(0.3164/((General_Model!$D$14*A296*(General_Model!$D$4/1000)/General_Model!$D$15)^0.25))*General_Model!$D$7/(General_Model!$D$4/1000)+1)+(4*(0.3164/((General_Model!$D$14*A296*(General_Model!$D$4/1000)/General_Model!$D$15)^0.25))*General_Model!$D$7/(General_Model!$D$4/1000)+2)*(General_Model!$D$26/A296))</f>
        <v>-1.0406546921640177E-2</v>
      </c>
      <c r="C296" s="13">
        <f t="shared" si="4"/>
        <v>0</v>
      </c>
    </row>
    <row r="297" spans="1:3" x14ac:dyDescent="0.25">
      <c r="A297" s="11">
        <v>0.29499999999999998</v>
      </c>
      <c r="B297" s="12">
        <f>(General_Model!$D$6/General_Model!$D$7)-1/(1+General_Model!$D$26/((1.2+0.2*(General_Model!$D$26/A297)+0.35*SQRT(9.80665*(General_Model!$D$4/1000))/A297)*A297))-(A297^2/(2*9.80665*General_Model!$D$7))*((4*(0.3164/((General_Model!$D$14*A297*(General_Model!$D$4/1000)/General_Model!$D$15)^0.25))*General_Model!$D$7/(General_Model!$D$4/1000)+1)+(4*(0.3164/((General_Model!$D$14*A297*(General_Model!$D$4/1000)/General_Model!$D$15)^0.25))*General_Model!$D$7/(General_Model!$D$4/1000)+2)*(General_Model!$D$26/A297))</f>
        <v>-1.0995107407603434E-2</v>
      </c>
      <c r="C297" s="13">
        <f t="shared" si="4"/>
        <v>0</v>
      </c>
    </row>
    <row r="298" spans="1:3" x14ac:dyDescent="0.25">
      <c r="A298" s="11">
        <v>0.29599999999999999</v>
      </c>
      <c r="B298" s="12">
        <f>(General_Model!$D$6/General_Model!$D$7)-1/(1+General_Model!$D$26/((1.2+0.2*(General_Model!$D$26/A298)+0.35*SQRT(9.80665*(General_Model!$D$4/1000))/A298)*A298))-(A298^2/(2*9.80665*General_Model!$D$7))*((4*(0.3164/((General_Model!$D$14*A298*(General_Model!$D$4/1000)/General_Model!$D$15)^0.25))*General_Model!$D$7/(General_Model!$D$4/1000)+1)+(4*(0.3164/((General_Model!$D$14*A298*(General_Model!$D$4/1000)/General_Model!$D$15)^0.25))*General_Model!$D$7/(General_Model!$D$4/1000)+2)*(General_Model!$D$26/A298))</f>
        <v>-1.1583102361254413E-2</v>
      </c>
      <c r="C298" s="13">
        <f t="shared" si="4"/>
        <v>0</v>
      </c>
    </row>
    <row r="299" spans="1:3" x14ac:dyDescent="0.25">
      <c r="A299" s="11">
        <v>0.29699999999999999</v>
      </c>
      <c r="B299" s="12">
        <f>(General_Model!$D$6/General_Model!$D$7)-1/(1+General_Model!$D$26/((1.2+0.2*(General_Model!$D$26/A299)+0.35*SQRT(9.80665*(General_Model!$D$4/1000))/A299)*A299))-(A299^2/(2*9.80665*General_Model!$D$7))*((4*(0.3164/((General_Model!$D$14*A299*(General_Model!$D$4/1000)/General_Model!$D$15)^0.25))*General_Model!$D$7/(General_Model!$D$4/1000)+1)+(4*(0.3164/((General_Model!$D$14*A299*(General_Model!$D$4/1000)/General_Model!$D$15)^0.25))*General_Model!$D$7/(General_Model!$D$4/1000)+2)*(General_Model!$D$26/A299))</f>
        <v>-1.2170533961667389E-2</v>
      </c>
      <c r="C299" s="13">
        <f t="shared" si="4"/>
        <v>0</v>
      </c>
    </row>
    <row r="300" spans="1:3" x14ac:dyDescent="0.25">
      <c r="A300" s="11">
        <v>0.29799999999999999</v>
      </c>
      <c r="B300" s="12">
        <f>(General_Model!$D$6/General_Model!$D$7)-1/(1+General_Model!$D$26/((1.2+0.2*(General_Model!$D$26/A300)+0.35*SQRT(9.80665*(General_Model!$D$4/1000))/A300)*A300))-(A300^2/(2*9.80665*General_Model!$D$7))*((4*(0.3164/((General_Model!$D$14*A300*(General_Model!$D$4/1000)/General_Model!$D$15)^0.25))*General_Model!$D$7/(General_Model!$D$4/1000)+1)+(4*(0.3164/((General_Model!$D$14*A300*(General_Model!$D$4/1000)/General_Model!$D$15)^0.25))*General_Model!$D$7/(General_Model!$D$4/1000)+2)*(General_Model!$D$26/A300))</f>
        <v>-1.2757404379256543E-2</v>
      </c>
      <c r="C300" s="13">
        <f t="shared" si="4"/>
        <v>0</v>
      </c>
    </row>
    <row r="301" spans="1:3" x14ac:dyDescent="0.25">
      <c r="A301" s="11">
        <v>0.29899999999999999</v>
      </c>
      <c r="B301" s="12">
        <f>(General_Model!$D$6/General_Model!$D$7)-1/(1+General_Model!$D$26/((1.2+0.2*(General_Model!$D$26/A301)+0.35*SQRT(9.80665*(General_Model!$D$4/1000))/A301)*A301))-(A301^2/(2*9.80665*General_Model!$D$7))*((4*(0.3164/((General_Model!$D$14*A301*(General_Model!$D$4/1000)/General_Model!$D$15)^0.25))*General_Model!$D$7/(General_Model!$D$4/1000)+1)+(4*(0.3164/((General_Model!$D$14*A301*(General_Model!$D$4/1000)/General_Model!$D$15)^0.25))*General_Model!$D$7/(General_Model!$D$4/1000)+2)*(General_Model!$D$26/A301))</f>
        <v>-1.3343715775822183E-2</v>
      </c>
      <c r="C301" s="13">
        <f t="shared" si="4"/>
        <v>0</v>
      </c>
    </row>
    <row r="302" spans="1:3" x14ac:dyDescent="0.25">
      <c r="A302" s="11">
        <v>0.3</v>
      </c>
      <c r="B302" s="12">
        <f>(General_Model!$D$6/General_Model!$D$7)-1/(1+General_Model!$D$26/((1.2+0.2*(General_Model!$D$26/A302)+0.35*SQRT(9.80665*(General_Model!$D$4/1000))/A302)*A302))-(A302^2/(2*9.80665*General_Model!$D$7))*((4*(0.3164/((General_Model!$D$14*A302*(General_Model!$D$4/1000)/General_Model!$D$15)^0.25))*General_Model!$D$7/(General_Model!$D$4/1000)+1)+(4*(0.3164/((General_Model!$D$14*A302*(General_Model!$D$4/1000)/General_Model!$D$15)^0.25))*General_Model!$D$7/(General_Model!$D$4/1000)+2)*(General_Model!$D$26/A302))</f>
        <v>-1.3929470304596174E-2</v>
      </c>
      <c r="C302" s="13">
        <f t="shared" si="4"/>
        <v>0</v>
      </c>
    </row>
    <row r="303" spans="1:3" x14ac:dyDescent="0.25">
      <c r="A303" s="11">
        <v>0.30099999999999999</v>
      </c>
      <c r="B303" s="12">
        <f>(General_Model!$D$6/General_Model!$D$7)-1/(1+General_Model!$D$26/((1.2+0.2*(General_Model!$D$26/A303)+0.35*SQRT(9.80665*(General_Model!$D$4/1000))/A303)*A303))-(A303^2/(2*9.80665*General_Model!$D$7))*((4*(0.3164/((General_Model!$D$14*A303*(General_Model!$D$4/1000)/General_Model!$D$15)^0.25))*General_Model!$D$7/(General_Model!$D$4/1000)+1)+(4*(0.3164/((General_Model!$D$14*A303*(General_Model!$D$4/1000)/General_Model!$D$15)^0.25))*General_Model!$D$7/(General_Model!$D$4/1000)+2)*(General_Model!$D$26/A303))</f>
        <v>-1.4514670110287502E-2</v>
      </c>
      <c r="C303" s="13">
        <f t="shared" si="4"/>
        <v>0</v>
      </c>
    </row>
    <row r="304" spans="1:3" x14ac:dyDescent="0.25">
      <c r="A304" s="11">
        <v>0.30199999999999999</v>
      </c>
      <c r="B304" s="12">
        <f>(General_Model!$D$6/General_Model!$D$7)-1/(1+General_Model!$D$26/((1.2+0.2*(General_Model!$D$26/A304)+0.35*SQRT(9.80665*(General_Model!$D$4/1000))/A304)*A304))-(A304^2/(2*9.80665*General_Model!$D$7))*((4*(0.3164/((General_Model!$D$14*A304*(General_Model!$D$4/1000)/General_Model!$D$15)^0.25))*General_Model!$D$7/(General_Model!$D$4/1000)+1)+(4*(0.3164/((General_Model!$D$14*A304*(General_Model!$D$4/1000)/General_Model!$D$15)^0.25))*General_Model!$D$7/(General_Model!$D$4/1000)+2)*(General_Model!$D$26/A304))</f>
        <v>-1.5099317329127476E-2</v>
      </c>
      <c r="C304" s="13">
        <f t="shared" si="4"/>
        <v>0</v>
      </c>
    </row>
    <row r="305" spans="1:3" x14ac:dyDescent="0.25">
      <c r="A305" s="11">
        <v>0.30299999999999999</v>
      </c>
      <c r="B305" s="12">
        <f>(General_Model!$D$6/General_Model!$D$7)-1/(1+General_Model!$D$26/((1.2+0.2*(General_Model!$D$26/A305)+0.35*SQRT(9.80665*(General_Model!$D$4/1000))/A305)*A305))-(A305^2/(2*9.80665*General_Model!$D$7))*((4*(0.3164/((General_Model!$D$14*A305*(General_Model!$D$4/1000)/General_Model!$D$15)^0.25))*General_Model!$D$7/(General_Model!$D$4/1000)+1)+(4*(0.3164/((General_Model!$D$14*A305*(General_Model!$D$4/1000)/General_Model!$D$15)^0.25))*General_Model!$D$7/(General_Model!$D$4/1000)+2)*(General_Model!$D$26/A305))</f>
        <v>-1.5683414088914334E-2</v>
      </c>
      <c r="C305" s="13">
        <f t="shared" si="4"/>
        <v>0</v>
      </c>
    </row>
    <row r="306" spans="1:3" x14ac:dyDescent="0.25">
      <c r="A306" s="11">
        <v>0.30399999999999999</v>
      </c>
      <c r="B306" s="12">
        <f>(General_Model!$D$6/General_Model!$D$7)-1/(1+General_Model!$D$26/((1.2+0.2*(General_Model!$D$26/A306)+0.35*SQRT(9.80665*(General_Model!$D$4/1000))/A306)*A306))-(A306^2/(2*9.80665*General_Model!$D$7))*((4*(0.3164/((General_Model!$D$14*A306*(General_Model!$D$4/1000)/General_Model!$D$15)^0.25))*General_Model!$D$7/(General_Model!$D$4/1000)+1)+(4*(0.3164/((General_Model!$D$14*A306*(General_Model!$D$4/1000)/General_Model!$D$15)^0.25))*General_Model!$D$7/(General_Model!$D$4/1000)+2)*(General_Model!$D$26/A306))</f>
        <v>-1.6266962509057986E-2</v>
      </c>
      <c r="C306" s="13">
        <f t="shared" si="4"/>
        <v>0</v>
      </c>
    </row>
    <row r="307" spans="1:3" x14ac:dyDescent="0.25">
      <c r="A307" s="11">
        <v>0.30499999999999999</v>
      </c>
      <c r="B307" s="12">
        <f>(General_Model!$D$6/General_Model!$D$7)-1/(1+General_Model!$D$26/((1.2+0.2*(General_Model!$D$26/A307)+0.35*SQRT(9.80665*(General_Model!$D$4/1000))/A307)*A307))-(A307^2/(2*9.80665*General_Model!$D$7))*((4*(0.3164/((General_Model!$D$14*A307*(General_Model!$D$4/1000)/General_Model!$D$15)^0.25))*General_Model!$D$7/(General_Model!$D$4/1000)+1)+(4*(0.3164/((General_Model!$D$14*A307*(General_Model!$D$4/1000)/General_Model!$D$15)^0.25))*General_Model!$D$7/(General_Model!$D$4/1000)+2)*(General_Model!$D$26/A307))</f>
        <v>-1.6849964700623429E-2</v>
      </c>
      <c r="C307" s="13">
        <f t="shared" si="4"/>
        <v>0</v>
      </c>
    </row>
    <row r="308" spans="1:3" x14ac:dyDescent="0.25">
      <c r="A308" s="11">
        <v>0.30599999999999999</v>
      </c>
      <c r="B308" s="12">
        <f>(General_Model!$D$6/General_Model!$D$7)-1/(1+General_Model!$D$26/((1.2+0.2*(General_Model!$D$26/A308)+0.35*SQRT(9.80665*(General_Model!$D$4/1000))/A308)*A308))-(A308^2/(2*9.80665*General_Model!$D$7))*((4*(0.3164/((General_Model!$D$14*A308*(General_Model!$D$4/1000)/General_Model!$D$15)^0.25))*General_Model!$D$7/(General_Model!$D$4/1000)+1)+(4*(0.3164/((General_Model!$D$14*A308*(General_Model!$D$4/1000)/General_Model!$D$15)^0.25))*General_Model!$D$7/(General_Model!$D$4/1000)+2)*(General_Model!$D$26/A308))</f>
        <v>-1.7432422766375286E-2</v>
      </c>
      <c r="C308" s="13">
        <f t="shared" si="4"/>
        <v>0</v>
      </c>
    </row>
    <row r="309" spans="1:3" x14ac:dyDescent="0.25">
      <c r="A309" s="11">
        <v>0.307</v>
      </c>
      <c r="B309" s="12">
        <f>(General_Model!$D$6/General_Model!$D$7)-1/(1+General_Model!$D$26/((1.2+0.2*(General_Model!$D$26/A309)+0.35*SQRT(9.80665*(General_Model!$D$4/1000))/A309)*A309))-(A309^2/(2*9.80665*General_Model!$D$7))*((4*(0.3164/((General_Model!$D$14*A309*(General_Model!$D$4/1000)/General_Model!$D$15)^0.25))*General_Model!$D$7/(General_Model!$D$4/1000)+1)+(4*(0.3164/((General_Model!$D$14*A309*(General_Model!$D$4/1000)/General_Model!$D$15)^0.25))*General_Model!$D$7/(General_Model!$D$4/1000)+2)*(General_Model!$D$26/A309))</f>
        <v>-1.8014338800820907E-2</v>
      </c>
      <c r="C309" s="13">
        <f t="shared" si="4"/>
        <v>0</v>
      </c>
    </row>
    <row r="310" spans="1:3" x14ac:dyDescent="0.25">
      <c r="A310" s="11">
        <v>0.308</v>
      </c>
      <c r="B310" s="12">
        <f>(General_Model!$D$6/General_Model!$D$7)-1/(1+General_Model!$D$26/((1.2+0.2*(General_Model!$D$26/A310)+0.35*SQRT(9.80665*(General_Model!$D$4/1000))/A310)*A310))-(A310^2/(2*9.80665*General_Model!$D$7))*((4*(0.3164/((General_Model!$D$14*A310*(General_Model!$D$4/1000)/General_Model!$D$15)^0.25))*General_Model!$D$7/(General_Model!$D$4/1000)+1)+(4*(0.3164/((General_Model!$D$14*A310*(General_Model!$D$4/1000)/General_Model!$D$15)^0.25))*General_Model!$D$7/(General_Model!$D$4/1000)+2)*(General_Model!$D$26/A310))</f>
        <v>-1.8595714890253183E-2</v>
      </c>
      <c r="C310" s="13">
        <f t="shared" si="4"/>
        <v>0</v>
      </c>
    </row>
    <row r="311" spans="1:3" x14ac:dyDescent="0.25">
      <c r="A311" s="11">
        <v>0.309</v>
      </c>
      <c r="B311" s="12">
        <f>(General_Model!$D$6/General_Model!$D$7)-1/(1+General_Model!$D$26/((1.2+0.2*(General_Model!$D$26/A311)+0.35*SQRT(9.80665*(General_Model!$D$4/1000))/A311)*A311))-(A311^2/(2*9.80665*General_Model!$D$7))*((4*(0.3164/((General_Model!$D$14*A311*(General_Model!$D$4/1000)/General_Model!$D$15)^0.25))*General_Model!$D$7/(General_Model!$D$4/1000)+1)+(4*(0.3164/((General_Model!$D$14*A311*(General_Model!$D$4/1000)/General_Model!$D$15)^0.25))*General_Model!$D$7/(General_Model!$D$4/1000)+2)*(General_Model!$D$26/A311))</f>
        <v>-1.9176553112794308E-2</v>
      </c>
      <c r="C311" s="13">
        <f t="shared" si="4"/>
        <v>0</v>
      </c>
    </row>
    <row r="312" spans="1:3" x14ac:dyDescent="0.25">
      <c r="A312" s="11">
        <v>0.31</v>
      </c>
      <c r="B312" s="12">
        <f>(General_Model!$D$6/General_Model!$D$7)-1/(1+General_Model!$D$26/((1.2+0.2*(General_Model!$D$26/A312)+0.35*SQRT(9.80665*(General_Model!$D$4/1000))/A312)*A312))-(A312^2/(2*9.80665*General_Model!$D$7))*((4*(0.3164/((General_Model!$D$14*A312*(General_Model!$D$4/1000)/General_Model!$D$15)^0.25))*General_Model!$D$7/(General_Model!$D$4/1000)+1)+(4*(0.3164/((General_Model!$D$14*A312*(General_Model!$D$4/1000)/General_Model!$D$15)^0.25))*General_Model!$D$7/(General_Model!$D$4/1000)+2)*(General_Model!$D$26/A312))</f>
        <v>-1.9756855538437215E-2</v>
      </c>
      <c r="C312" s="13">
        <f t="shared" si="4"/>
        <v>0</v>
      </c>
    </row>
    <row r="313" spans="1:3" x14ac:dyDescent="0.25">
      <c r="A313" s="11">
        <v>0.311</v>
      </c>
      <c r="B313" s="12">
        <f>(General_Model!$D$6/General_Model!$D$7)-1/(1+General_Model!$D$26/((1.2+0.2*(General_Model!$D$26/A313)+0.35*SQRT(9.80665*(General_Model!$D$4/1000))/A313)*A313))-(A313^2/(2*9.80665*General_Model!$D$7))*((4*(0.3164/((General_Model!$D$14*A313*(General_Model!$D$4/1000)/General_Model!$D$15)^0.25))*General_Model!$D$7/(General_Model!$D$4/1000)+1)+(4*(0.3164/((General_Model!$D$14*A313*(General_Model!$D$4/1000)/General_Model!$D$15)^0.25))*General_Model!$D$7/(General_Model!$D$4/1000)+2)*(General_Model!$D$26/A313))</f>
        <v>-2.0336624229088468E-2</v>
      </c>
      <c r="C313" s="13">
        <f t="shared" si="4"/>
        <v>0</v>
      </c>
    </row>
    <row r="314" spans="1:3" x14ac:dyDescent="0.25">
      <c r="A314" s="11">
        <v>0.312</v>
      </c>
      <c r="B314" s="12">
        <f>(General_Model!$D$6/General_Model!$D$7)-1/(1+General_Model!$D$26/((1.2+0.2*(General_Model!$D$26/A314)+0.35*SQRT(9.80665*(General_Model!$D$4/1000))/A314)*A314))-(A314^2/(2*9.80665*General_Model!$D$7))*((4*(0.3164/((General_Model!$D$14*A314*(General_Model!$D$4/1000)/General_Model!$D$15)^0.25))*General_Model!$D$7/(General_Model!$D$4/1000)+1)+(4*(0.3164/((General_Model!$D$14*A314*(General_Model!$D$4/1000)/General_Model!$D$15)^0.25))*General_Model!$D$7/(General_Model!$D$4/1000)+2)*(General_Model!$D$26/A314))</f>
        <v>-2.0915861238610077E-2</v>
      </c>
      <c r="C314" s="13">
        <f t="shared" si="4"/>
        <v>0</v>
      </c>
    </row>
    <row r="315" spans="1:3" x14ac:dyDescent="0.25">
      <c r="A315" s="11">
        <v>0.313</v>
      </c>
      <c r="B315" s="12">
        <f>(General_Model!$D$6/General_Model!$D$7)-1/(1+General_Model!$D$26/((1.2+0.2*(General_Model!$D$26/A315)+0.35*SQRT(9.80665*(General_Model!$D$4/1000))/A315)*A315))-(A315^2/(2*9.80665*General_Model!$D$7))*((4*(0.3164/((General_Model!$D$14*A315*(General_Model!$D$4/1000)/General_Model!$D$15)^0.25))*General_Model!$D$7/(General_Model!$D$4/1000)+1)+(4*(0.3164/((General_Model!$D$14*A315*(General_Model!$D$4/1000)/General_Model!$D$15)^0.25))*General_Model!$D$7/(General_Model!$D$4/1000)+2)*(General_Model!$D$26/A315))</f>
        <v>-2.1494568612860913E-2</v>
      </c>
      <c r="C315" s="13">
        <f t="shared" si="4"/>
        <v>0</v>
      </c>
    </row>
    <row r="316" spans="1:3" x14ac:dyDescent="0.25">
      <c r="A316" s="11">
        <v>0.314</v>
      </c>
      <c r="B316" s="12">
        <f>(General_Model!$D$6/General_Model!$D$7)-1/(1+General_Model!$D$26/((1.2+0.2*(General_Model!$D$26/A316)+0.35*SQRT(9.80665*(General_Model!$D$4/1000))/A316)*A316))-(A316^2/(2*9.80665*General_Model!$D$7))*((4*(0.3164/((General_Model!$D$14*A316*(General_Model!$D$4/1000)/General_Model!$D$15)^0.25))*General_Model!$D$7/(General_Model!$D$4/1000)+1)+(4*(0.3164/((General_Model!$D$14*A316*(General_Model!$D$4/1000)/General_Model!$D$15)^0.25))*General_Model!$D$7/(General_Model!$D$4/1000)+2)*(General_Model!$D$26/A316))</f>
        <v>-2.2072748389737759E-2</v>
      </c>
      <c r="C316" s="13">
        <f t="shared" si="4"/>
        <v>0</v>
      </c>
    </row>
    <row r="317" spans="1:3" x14ac:dyDescent="0.25">
      <c r="A317" s="11">
        <v>0.315</v>
      </c>
      <c r="B317" s="12">
        <f>(General_Model!$D$6/General_Model!$D$7)-1/(1+General_Model!$D$26/((1.2+0.2*(General_Model!$D$26/A317)+0.35*SQRT(9.80665*(General_Model!$D$4/1000))/A317)*A317))-(A317^2/(2*9.80665*General_Model!$D$7))*((4*(0.3164/((General_Model!$D$14*A317*(General_Model!$D$4/1000)/General_Model!$D$15)^0.25))*General_Model!$D$7/(General_Model!$D$4/1000)+1)+(4*(0.3164/((General_Model!$D$14*A317*(General_Model!$D$4/1000)/General_Model!$D$15)^0.25))*General_Model!$D$7/(General_Model!$D$4/1000)+2)*(General_Model!$D$26/A317))</f>
        <v>-2.2650402599217495E-2</v>
      </c>
      <c r="C317" s="13">
        <f t="shared" si="4"/>
        <v>0</v>
      </c>
    </row>
    <row r="318" spans="1:3" x14ac:dyDescent="0.25">
      <c r="A318" s="11">
        <v>0.316</v>
      </c>
      <c r="B318" s="12">
        <f>(General_Model!$D$6/General_Model!$D$7)-1/(1+General_Model!$D$26/((1.2+0.2*(General_Model!$D$26/A318)+0.35*SQRT(9.80665*(General_Model!$D$4/1000))/A318)*A318))-(A318^2/(2*9.80665*General_Model!$D$7))*((4*(0.3164/((General_Model!$D$14*A318*(General_Model!$D$4/1000)/General_Model!$D$15)^0.25))*General_Model!$D$7/(General_Model!$D$4/1000)+1)+(4*(0.3164/((General_Model!$D$14*A318*(General_Model!$D$4/1000)/General_Model!$D$15)^0.25))*General_Model!$D$7/(General_Model!$D$4/1000)+2)*(General_Model!$D$26/A318))</f>
        <v>-2.3227533263396251E-2</v>
      </c>
      <c r="C318" s="13">
        <f t="shared" si="4"/>
        <v>0</v>
      </c>
    </row>
    <row r="319" spans="1:3" x14ac:dyDescent="0.25">
      <c r="A319" s="11">
        <v>0.317</v>
      </c>
      <c r="B319" s="12">
        <f>(General_Model!$D$6/General_Model!$D$7)-1/(1+General_Model!$D$26/((1.2+0.2*(General_Model!$D$26/A319)+0.35*SQRT(9.80665*(General_Model!$D$4/1000))/A319)*A319))-(A319^2/(2*9.80665*General_Model!$D$7))*((4*(0.3164/((General_Model!$D$14*A319*(General_Model!$D$4/1000)/General_Model!$D$15)^0.25))*General_Model!$D$7/(General_Model!$D$4/1000)+1)+(4*(0.3164/((General_Model!$D$14*A319*(General_Model!$D$4/1000)/General_Model!$D$15)^0.25))*General_Model!$D$7/(General_Model!$D$4/1000)+2)*(General_Model!$D$26/A319))</f>
        <v>-2.3804142396530906E-2</v>
      </c>
      <c r="C319" s="13">
        <f t="shared" si="4"/>
        <v>0</v>
      </c>
    </row>
    <row r="320" spans="1:3" x14ac:dyDescent="0.25">
      <c r="A320" s="11">
        <v>0.318</v>
      </c>
      <c r="B320" s="12">
        <f>(General_Model!$D$6/General_Model!$D$7)-1/(1+General_Model!$D$26/((1.2+0.2*(General_Model!$D$26/A320)+0.35*SQRT(9.80665*(General_Model!$D$4/1000))/A320)*A320))-(A320^2/(2*9.80665*General_Model!$D$7))*((4*(0.3164/((General_Model!$D$14*A320*(General_Model!$D$4/1000)/General_Model!$D$15)^0.25))*General_Model!$D$7/(General_Model!$D$4/1000)+1)+(4*(0.3164/((General_Model!$D$14*A320*(General_Model!$D$4/1000)/General_Model!$D$15)^0.25))*General_Model!$D$7/(General_Model!$D$4/1000)+2)*(General_Model!$D$26/A320))</f>
        <v>-2.4380232005079092E-2</v>
      </c>
      <c r="C320" s="13">
        <f t="shared" si="4"/>
        <v>0</v>
      </c>
    </row>
    <row r="321" spans="1:3" x14ac:dyDescent="0.25">
      <c r="A321" s="11">
        <v>0.31900000000000001</v>
      </c>
      <c r="B321" s="12">
        <f>(General_Model!$D$6/General_Model!$D$7)-1/(1+General_Model!$D$26/((1.2+0.2*(General_Model!$D$26/A321)+0.35*SQRT(9.80665*(General_Model!$D$4/1000))/A321)*A321))-(A321^2/(2*9.80665*General_Model!$D$7))*((4*(0.3164/((General_Model!$D$14*A321*(General_Model!$D$4/1000)/General_Model!$D$15)^0.25))*General_Model!$D$7/(General_Model!$D$4/1000)+1)+(4*(0.3164/((General_Model!$D$14*A321*(General_Model!$D$4/1000)/General_Model!$D$15)^0.25))*General_Model!$D$7/(General_Model!$D$4/1000)+2)*(General_Model!$D$26/A321))</f>
        <v>-2.4955804087738433E-2</v>
      </c>
      <c r="C321" s="13">
        <f t="shared" si="4"/>
        <v>0</v>
      </c>
    </row>
    <row r="322" spans="1:3" x14ac:dyDescent="0.25">
      <c r="A322" s="11">
        <v>0.32</v>
      </c>
      <c r="B322" s="12">
        <f>(General_Model!$D$6/General_Model!$D$7)-1/(1+General_Model!$D$26/((1.2+0.2*(General_Model!$D$26/A322)+0.35*SQRT(9.80665*(General_Model!$D$4/1000))/A322)*A322))-(A322^2/(2*9.80665*General_Model!$D$7))*((4*(0.3164/((General_Model!$D$14*A322*(General_Model!$D$4/1000)/General_Model!$D$15)^0.25))*General_Model!$D$7/(General_Model!$D$4/1000)+1)+(4*(0.3164/((General_Model!$D$14*A322*(General_Model!$D$4/1000)/General_Model!$D$15)^0.25))*General_Model!$D$7/(General_Model!$D$4/1000)+2)*(General_Model!$D$26/A322))</f>
        <v>-2.5530860635487145E-2</v>
      </c>
      <c r="C322" s="13">
        <f t="shared" si="4"/>
        <v>0</v>
      </c>
    </row>
    <row r="323" spans="1:3" x14ac:dyDescent="0.25">
      <c r="A323" s="11">
        <v>0.32100000000000001</v>
      </c>
      <c r="B323" s="12">
        <f>(General_Model!$D$6/General_Model!$D$7)-1/(1+General_Model!$D$26/((1.2+0.2*(General_Model!$D$26/A323)+0.35*SQRT(9.80665*(General_Model!$D$4/1000))/A323)*A323))-(A323^2/(2*9.80665*General_Model!$D$7))*((4*(0.3164/((General_Model!$D$14*A323*(General_Model!$D$4/1000)/General_Model!$D$15)^0.25))*General_Model!$D$7/(General_Model!$D$4/1000)+1)+(4*(0.3164/((General_Model!$D$14*A323*(General_Model!$D$4/1000)/General_Model!$D$15)^0.25))*General_Model!$D$7/(General_Model!$D$4/1000)+2)*(General_Model!$D$26/A323))</f>
        <v>-2.6105403631622545E-2</v>
      </c>
      <c r="C323" s="13">
        <f t="shared" ref="C323:C386" si="5">IF(B323*B324&lt;=0,1,0)</f>
        <v>0</v>
      </c>
    </row>
    <row r="324" spans="1:3" x14ac:dyDescent="0.25">
      <c r="A324" s="11">
        <v>0.32200000000000001</v>
      </c>
      <c r="B324" s="12">
        <f>(General_Model!$D$6/General_Model!$D$7)-1/(1+General_Model!$D$26/((1.2+0.2*(General_Model!$D$26/A324)+0.35*SQRT(9.80665*(General_Model!$D$4/1000))/A324)*A324))-(A324^2/(2*9.80665*General_Model!$D$7))*((4*(0.3164/((General_Model!$D$14*A324*(General_Model!$D$4/1000)/General_Model!$D$15)^0.25))*General_Model!$D$7/(General_Model!$D$4/1000)+1)+(4*(0.3164/((General_Model!$D$14*A324*(General_Model!$D$4/1000)/General_Model!$D$15)^0.25))*General_Model!$D$7/(General_Model!$D$4/1000)+2)*(General_Model!$D$26/A324))</f>
        <v>-2.6679435051800322E-2</v>
      </c>
      <c r="C324" s="13">
        <f t="shared" si="5"/>
        <v>0</v>
      </c>
    </row>
    <row r="325" spans="1:3" x14ac:dyDescent="0.25">
      <c r="A325" s="11">
        <v>0.32300000000000001</v>
      </c>
      <c r="B325" s="12">
        <f>(General_Model!$D$6/General_Model!$D$7)-1/(1+General_Model!$D$26/((1.2+0.2*(General_Model!$D$26/A325)+0.35*SQRT(9.80665*(General_Model!$D$4/1000))/A325)*A325))-(A325^2/(2*9.80665*General_Model!$D$7))*((4*(0.3164/((General_Model!$D$14*A325*(General_Model!$D$4/1000)/General_Model!$D$15)^0.25))*General_Model!$D$7/(General_Model!$D$4/1000)+1)+(4*(0.3164/((General_Model!$D$14*A325*(General_Model!$D$4/1000)/General_Model!$D$15)^0.25))*General_Model!$D$7/(General_Model!$D$4/1000)+2)*(General_Model!$D$26/A325))</f>
        <v>-2.7252956864073759E-2</v>
      </c>
      <c r="C325" s="13">
        <f t="shared" si="5"/>
        <v>0</v>
      </c>
    </row>
    <row r="326" spans="1:3" x14ac:dyDescent="0.25">
      <c r="A326" s="11">
        <v>0.32400000000000001</v>
      </c>
      <c r="B326" s="12">
        <f>(General_Model!$D$6/General_Model!$D$7)-1/(1+General_Model!$D$26/((1.2+0.2*(General_Model!$D$26/A326)+0.35*SQRT(9.80665*(General_Model!$D$4/1000))/A326)*A326))-(A326^2/(2*9.80665*General_Model!$D$7))*((4*(0.3164/((General_Model!$D$14*A326*(General_Model!$D$4/1000)/General_Model!$D$15)^0.25))*General_Model!$D$7/(General_Model!$D$4/1000)+1)+(4*(0.3164/((General_Model!$D$14*A326*(General_Model!$D$4/1000)/General_Model!$D$15)^0.25))*General_Model!$D$7/(General_Model!$D$4/1000)+2)*(General_Model!$D$26/A326))</f>
        <v>-2.7825971028931362E-2</v>
      </c>
      <c r="C326" s="13">
        <f t="shared" si="5"/>
        <v>0</v>
      </c>
    </row>
    <row r="327" spans="1:3" x14ac:dyDescent="0.25">
      <c r="A327" s="11">
        <v>0.32500000000000001</v>
      </c>
      <c r="B327" s="12">
        <f>(General_Model!$D$6/General_Model!$D$7)-1/(1+General_Model!$D$26/((1.2+0.2*(General_Model!$D$26/A327)+0.35*SQRT(9.80665*(General_Model!$D$4/1000))/A327)*A327))-(A327^2/(2*9.80665*General_Model!$D$7))*((4*(0.3164/((General_Model!$D$14*A327*(General_Model!$D$4/1000)/General_Model!$D$15)^0.25))*General_Model!$D$7/(General_Model!$D$4/1000)+1)+(4*(0.3164/((General_Model!$D$14*A327*(General_Model!$D$4/1000)/General_Model!$D$15)^0.25))*General_Model!$D$7/(General_Model!$D$4/1000)+2)*(General_Model!$D$26/A327))</f>
        <v>-2.8398479499335723E-2</v>
      </c>
      <c r="C327" s="13">
        <f t="shared" si="5"/>
        <v>0</v>
      </c>
    </row>
    <row r="328" spans="1:3" x14ac:dyDescent="0.25">
      <c r="A328" s="11">
        <v>0.32600000000000001</v>
      </c>
      <c r="B328" s="12">
        <f>(General_Model!$D$6/General_Model!$D$7)-1/(1+General_Model!$D$26/((1.2+0.2*(General_Model!$D$26/A328)+0.35*SQRT(9.80665*(General_Model!$D$4/1000))/A328)*A328))-(A328^2/(2*9.80665*General_Model!$D$7))*((4*(0.3164/((General_Model!$D$14*A328*(General_Model!$D$4/1000)/General_Model!$D$15)^0.25))*General_Model!$D$7/(General_Model!$D$4/1000)+1)+(4*(0.3164/((General_Model!$D$14*A328*(General_Model!$D$4/1000)/General_Model!$D$15)^0.25))*General_Model!$D$7/(General_Model!$D$4/1000)+2)*(General_Model!$D$26/A328))</f>
        <v>-2.8970484220761684E-2</v>
      </c>
      <c r="C328" s="13">
        <f t="shared" si="5"/>
        <v>0</v>
      </c>
    </row>
    <row r="329" spans="1:3" x14ac:dyDescent="0.25">
      <c r="A329" s="11">
        <v>0.32700000000000001</v>
      </c>
      <c r="B329" s="12">
        <f>(General_Model!$D$6/General_Model!$D$7)-1/(1+General_Model!$D$26/((1.2+0.2*(General_Model!$D$26/A329)+0.35*SQRT(9.80665*(General_Model!$D$4/1000))/A329)*A329))-(A329^2/(2*9.80665*General_Model!$D$7))*((4*(0.3164/((General_Model!$D$14*A329*(General_Model!$D$4/1000)/General_Model!$D$15)^0.25))*General_Model!$D$7/(General_Model!$D$4/1000)+1)+(4*(0.3164/((General_Model!$D$14*A329*(General_Model!$D$4/1000)/General_Model!$D$15)^0.25))*General_Model!$D$7/(General_Model!$D$4/1000)+2)*(General_Model!$D$26/A329))</f>
        <v>-2.9541987131233259E-2</v>
      </c>
      <c r="C329" s="13">
        <f t="shared" si="5"/>
        <v>0</v>
      </c>
    </row>
    <row r="330" spans="1:3" x14ac:dyDescent="0.25">
      <c r="A330" s="11">
        <v>0.32800000000000001</v>
      </c>
      <c r="B330" s="12">
        <f>(General_Model!$D$6/General_Model!$D$7)-1/(1+General_Model!$D$26/((1.2+0.2*(General_Model!$D$26/A330)+0.35*SQRT(9.80665*(General_Model!$D$4/1000))/A330)*A330))-(A330^2/(2*9.80665*General_Model!$D$7))*((4*(0.3164/((General_Model!$D$14*A330*(General_Model!$D$4/1000)/General_Model!$D$15)^0.25))*General_Model!$D$7/(General_Model!$D$4/1000)+1)+(4*(0.3164/((General_Model!$D$14*A330*(General_Model!$D$4/1000)/General_Model!$D$15)^0.25))*General_Model!$D$7/(General_Model!$D$4/1000)+2)*(General_Model!$D$26/A330))</f>
        <v>-3.0112990161361999E-2</v>
      </c>
      <c r="C330" s="13">
        <f t="shared" si="5"/>
        <v>0</v>
      </c>
    </row>
    <row r="331" spans="1:3" x14ac:dyDescent="0.25">
      <c r="A331" s="11">
        <v>0.32900000000000001</v>
      </c>
      <c r="B331" s="12">
        <f>(General_Model!$D$6/General_Model!$D$7)-1/(1+General_Model!$D$26/((1.2+0.2*(General_Model!$D$26/A331)+0.35*SQRT(9.80665*(General_Model!$D$4/1000))/A331)*A331))-(A331^2/(2*9.80665*General_Model!$D$7))*((4*(0.3164/((General_Model!$D$14*A331*(General_Model!$D$4/1000)/General_Model!$D$15)^0.25))*General_Model!$D$7/(General_Model!$D$4/1000)+1)+(4*(0.3164/((General_Model!$D$14*A331*(General_Model!$D$4/1000)/General_Model!$D$15)^0.25))*General_Model!$D$7/(General_Model!$D$4/1000)+2)*(General_Model!$D$26/A331))</f>
        <v>-3.0683495234383275E-2</v>
      </c>
      <c r="C331" s="13">
        <f t="shared" si="5"/>
        <v>0</v>
      </c>
    </row>
    <row r="332" spans="1:3" x14ac:dyDescent="0.25">
      <c r="A332" s="11">
        <v>0.33</v>
      </c>
      <c r="B332" s="12">
        <f>(General_Model!$D$6/General_Model!$D$7)-1/(1+General_Model!$D$26/((1.2+0.2*(General_Model!$D$26/A332)+0.35*SQRT(9.80665*(General_Model!$D$4/1000))/A332)*A332))-(A332^2/(2*9.80665*General_Model!$D$7))*((4*(0.3164/((General_Model!$D$14*A332*(General_Model!$D$4/1000)/General_Model!$D$15)^0.25))*General_Model!$D$7/(General_Model!$D$4/1000)+1)+(4*(0.3164/((General_Model!$D$14*A332*(General_Model!$D$4/1000)/General_Model!$D$15)^0.25))*General_Model!$D$7/(General_Model!$D$4/1000)+2)*(General_Model!$D$26/A332))</f>
        <v>-3.1253504266194186E-2</v>
      </c>
      <c r="C332" s="13">
        <f t="shared" si="5"/>
        <v>0</v>
      </c>
    </row>
    <row r="333" spans="1:3" x14ac:dyDescent="0.25">
      <c r="A333" s="11">
        <v>0.33100000000000002</v>
      </c>
      <c r="B333" s="12">
        <f>(General_Model!$D$6/General_Model!$D$7)-1/(1+General_Model!$D$26/((1.2+0.2*(General_Model!$D$26/A333)+0.35*SQRT(9.80665*(General_Model!$D$4/1000))/A333)*A333))-(A333^2/(2*9.80665*General_Model!$D$7))*((4*(0.3164/((General_Model!$D$14*A333*(General_Model!$D$4/1000)/General_Model!$D$15)^0.25))*General_Model!$D$7/(General_Model!$D$4/1000)+1)+(4*(0.3164/((General_Model!$D$14*A333*(General_Model!$D$4/1000)/General_Model!$D$15)^0.25))*General_Model!$D$7/(General_Model!$D$4/1000)+2)*(General_Model!$D$26/A333))</f>
        <v>-3.1823019165389599E-2</v>
      </c>
      <c r="C333" s="13">
        <f t="shared" si="5"/>
        <v>0</v>
      </c>
    </row>
    <row r="334" spans="1:3" x14ac:dyDescent="0.25">
      <c r="A334" s="11">
        <v>0.33200000000000002</v>
      </c>
      <c r="B334" s="12">
        <f>(General_Model!$D$6/General_Model!$D$7)-1/(1+General_Model!$D$26/((1.2+0.2*(General_Model!$D$26/A334)+0.35*SQRT(9.80665*(General_Model!$D$4/1000))/A334)*A334))-(A334^2/(2*9.80665*General_Model!$D$7))*((4*(0.3164/((General_Model!$D$14*A334*(General_Model!$D$4/1000)/General_Model!$D$15)^0.25))*General_Model!$D$7/(General_Model!$D$4/1000)+1)+(4*(0.3164/((General_Model!$D$14*A334*(General_Model!$D$4/1000)/General_Model!$D$15)^0.25))*General_Model!$D$7/(General_Model!$D$4/1000)+2)*(General_Model!$D$26/A334))</f>
        <v>-3.2392041833298801E-2</v>
      </c>
      <c r="C334" s="13">
        <f t="shared" si="5"/>
        <v>0</v>
      </c>
    </row>
    <row r="335" spans="1:3" x14ac:dyDescent="0.25">
      <c r="A335" s="11">
        <v>0.33300000000000002</v>
      </c>
      <c r="B335" s="12">
        <f>(General_Model!$D$6/General_Model!$D$7)-1/(1+General_Model!$D$26/((1.2+0.2*(General_Model!$D$26/A335)+0.35*SQRT(9.80665*(General_Model!$D$4/1000))/A335)*A335))-(A335^2/(2*9.80665*General_Model!$D$7))*((4*(0.3164/((General_Model!$D$14*A335*(General_Model!$D$4/1000)/General_Model!$D$15)^0.25))*General_Model!$D$7/(General_Model!$D$4/1000)+1)+(4*(0.3164/((General_Model!$D$14*A335*(General_Model!$D$4/1000)/General_Model!$D$15)^0.25))*General_Model!$D$7/(General_Model!$D$4/1000)+2)*(General_Model!$D$26/A335))</f>
        <v>-3.2960574164021719E-2</v>
      </c>
      <c r="C335" s="13">
        <f t="shared" si="5"/>
        <v>0</v>
      </c>
    </row>
    <row r="336" spans="1:3" x14ac:dyDescent="0.25">
      <c r="A336" s="11">
        <v>0.33400000000000002</v>
      </c>
      <c r="B336" s="12">
        <f>(General_Model!$D$6/General_Model!$D$7)-1/(1+General_Model!$D$26/((1.2+0.2*(General_Model!$D$26/A336)+0.35*SQRT(9.80665*(General_Model!$D$4/1000))/A336)*A336))-(A336^2/(2*9.80665*General_Model!$D$7))*((4*(0.3164/((General_Model!$D$14*A336*(General_Model!$D$4/1000)/General_Model!$D$15)^0.25))*General_Model!$D$7/(General_Model!$D$4/1000)+1)+(4*(0.3164/((General_Model!$D$14*A336*(General_Model!$D$4/1000)/General_Model!$D$15)^0.25))*General_Model!$D$7/(General_Model!$D$4/1000)+2)*(General_Model!$D$26/A336))</f>
        <v>-3.3528618044465129E-2</v>
      </c>
      <c r="C336" s="13">
        <f t="shared" si="5"/>
        <v>0</v>
      </c>
    </row>
    <row r="337" spans="1:3" x14ac:dyDescent="0.25">
      <c r="A337" s="11">
        <v>0.33500000000000002</v>
      </c>
      <c r="B337" s="12">
        <f>(General_Model!$D$6/General_Model!$D$7)-1/(1+General_Model!$D$26/((1.2+0.2*(General_Model!$D$26/A337)+0.35*SQRT(9.80665*(General_Model!$D$4/1000))/A337)*A337))-(A337^2/(2*9.80665*General_Model!$D$7))*((4*(0.3164/((General_Model!$D$14*A337*(General_Model!$D$4/1000)/General_Model!$D$15)^0.25))*General_Model!$D$7/(General_Model!$D$4/1000)+1)+(4*(0.3164/((General_Model!$D$14*A337*(General_Model!$D$4/1000)/General_Model!$D$15)^0.25))*General_Model!$D$7/(General_Model!$D$4/1000)+2)*(General_Model!$D$26/A337))</f>
        <v>-3.409617535437777E-2</v>
      </c>
      <c r="C337" s="13">
        <f t="shared" si="5"/>
        <v>0</v>
      </c>
    </row>
    <row r="338" spans="1:3" x14ac:dyDescent="0.25">
      <c r="A338" s="11">
        <v>0.33600000000000002</v>
      </c>
      <c r="B338" s="12">
        <f>(General_Model!$D$6/General_Model!$D$7)-1/(1+General_Model!$D$26/((1.2+0.2*(General_Model!$D$26/A338)+0.35*SQRT(9.80665*(General_Model!$D$4/1000))/A338)*A338))-(A338^2/(2*9.80665*General_Model!$D$7))*((4*(0.3164/((General_Model!$D$14*A338*(General_Model!$D$4/1000)/General_Model!$D$15)^0.25))*General_Model!$D$7/(General_Model!$D$4/1000)+1)+(4*(0.3164/((General_Model!$D$14*A338*(General_Model!$D$4/1000)/General_Model!$D$15)^0.25))*General_Model!$D$7/(General_Model!$D$4/1000)+2)*(General_Model!$D$26/A338))</f>
        <v>-3.4663247966386528E-2</v>
      </c>
      <c r="C338" s="13">
        <f t="shared" si="5"/>
        <v>0</v>
      </c>
    </row>
    <row r="339" spans="1:3" x14ac:dyDescent="0.25">
      <c r="A339" s="11">
        <v>0.33700000000000002</v>
      </c>
      <c r="B339" s="12">
        <f>(General_Model!$D$6/General_Model!$D$7)-1/(1+General_Model!$D$26/((1.2+0.2*(General_Model!$D$26/A339)+0.35*SQRT(9.80665*(General_Model!$D$4/1000))/A339)*A339))-(A339^2/(2*9.80665*General_Model!$D$7))*((4*(0.3164/((General_Model!$D$14*A339*(General_Model!$D$4/1000)/General_Model!$D$15)^0.25))*General_Model!$D$7/(General_Model!$D$4/1000)+1)+(4*(0.3164/((General_Model!$D$14*A339*(General_Model!$D$4/1000)/General_Model!$D$15)^0.25))*General_Model!$D$7/(General_Model!$D$4/1000)+2)*(General_Model!$D$26/A339))</f>
        <v>-3.5229837746030952E-2</v>
      </c>
      <c r="C339" s="13">
        <f t="shared" si="5"/>
        <v>0</v>
      </c>
    </row>
    <row r="340" spans="1:3" x14ac:dyDescent="0.25">
      <c r="A340" s="11">
        <v>0.33800000000000002</v>
      </c>
      <c r="B340" s="12">
        <f>(General_Model!$D$6/General_Model!$D$7)-1/(1+General_Model!$D$26/((1.2+0.2*(General_Model!$D$26/A340)+0.35*SQRT(9.80665*(General_Model!$D$4/1000))/A340)*A340))-(A340^2/(2*9.80665*General_Model!$D$7))*((4*(0.3164/((General_Model!$D$14*A340*(General_Model!$D$4/1000)/General_Model!$D$15)^0.25))*General_Model!$D$7/(General_Model!$D$4/1000)+1)+(4*(0.3164/((General_Model!$D$14*A340*(General_Model!$D$4/1000)/General_Model!$D$15)^0.25))*General_Model!$D$7/(General_Model!$D$4/1000)+2)*(General_Model!$D$26/A340))</f>
        <v>-3.5795946551799469E-2</v>
      </c>
      <c r="C340" s="13">
        <f t="shared" si="5"/>
        <v>0</v>
      </c>
    </row>
    <row r="341" spans="1:3" x14ac:dyDescent="0.25">
      <c r="A341" s="11">
        <v>0.33900000000000002</v>
      </c>
      <c r="B341" s="12">
        <f>(General_Model!$D$6/General_Model!$D$7)-1/(1+General_Model!$D$26/((1.2+0.2*(General_Model!$D$26/A341)+0.35*SQRT(9.80665*(General_Model!$D$4/1000))/A341)*A341))-(A341^2/(2*9.80665*General_Model!$D$7))*((4*(0.3164/((General_Model!$D$14*A341*(General_Model!$D$4/1000)/General_Model!$D$15)^0.25))*General_Model!$D$7/(General_Model!$D$4/1000)+1)+(4*(0.3164/((General_Model!$D$14*A341*(General_Model!$D$4/1000)/General_Model!$D$15)^0.25))*General_Model!$D$7/(General_Model!$D$4/1000)+2)*(General_Model!$D$26/A341))</f>
        <v>-3.6361576235162396E-2</v>
      </c>
      <c r="C341" s="13">
        <f t="shared" si="5"/>
        <v>0</v>
      </c>
    </row>
    <row r="342" spans="1:3" x14ac:dyDescent="0.25">
      <c r="A342" s="11">
        <v>0.34</v>
      </c>
      <c r="B342" s="12">
        <f>(General_Model!$D$6/General_Model!$D$7)-1/(1+General_Model!$D$26/((1.2+0.2*(General_Model!$D$26/A342)+0.35*SQRT(9.80665*(General_Model!$D$4/1000))/A342)*A342))-(A342^2/(2*9.80665*General_Model!$D$7))*((4*(0.3164/((General_Model!$D$14*A342*(General_Model!$D$4/1000)/General_Model!$D$15)^0.25))*General_Model!$D$7/(General_Model!$D$4/1000)+1)+(4*(0.3164/((General_Model!$D$14*A342*(General_Model!$D$4/1000)/General_Model!$D$15)^0.25))*General_Model!$D$7/(General_Model!$D$4/1000)+2)*(General_Model!$D$26/A342))</f>
        <v>-3.6926728640608371E-2</v>
      </c>
      <c r="C342" s="13">
        <f t="shared" si="5"/>
        <v>0</v>
      </c>
    </row>
    <row r="343" spans="1:3" x14ac:dyDescent="0.25">
      <c r="A343" s="11">
        <v>0.34100000000000003</v>
      </c>
      <c r="B343" s="12">
        <f>(General_Model!$D$6/General_Model!$D$7)-1/(1+General_Model!$D$26/((1.2+0.2*(General_Model!$D$26/A343)+0.35*SQRT(9.80665*(General_Model!$D$4/1000))/A343)*A343))-(A343^2/(2*9.80665*General_Model!$D$7))*((4*(0.3164/((General_Model!$D$14*A343*(General_Model!$D$4/1000)/General_Model!$D$15)^0.25))*General_Model!$D$7/(General_Model!$D$4/1000)+1)+(4*(0.3164/((General_Model!$D$14*A343*(General_Model!$D$4/1000)/General_Model!$D$15)^0.25))*General_Model!$D$7/(General_Model!$D$4/1000)+2)*(General_Model!$D$26/A343))</f>
        <v>-3.7491405605677389E-2</v>
      </c>
      <c r="C343" s="13">
        <f t="shared" si="5"/>
        <v>0</v>
      </c>
    </row>
    <row r="344" spans="1:3" x14ac:dyDescent="0.25">
      <c r="A344" s="11">
        <v>0.34200000000000003</v>
      </c>
      <c r="B344" s="12">
        <f>(General_Model!$D$6/General_Model!$D$7)-1/(1+General_Model!$D$26/((1.2+0.2*(General_Model!$D$26/A344)+0.35*SQRT(9.80665*(General_Model!$D$4/1000))/A344)*A344))-(A344^2/(2*9.80665*General_Model!$D$7))*((4*(0.3164/((General_Model!$D$14*A344*(General_Model!$D$4/1000)/General_Model!$D$15)^0.25))*General_Model!$D$7/(General_Model!$D$4/1000)+1)+(4*(0.3164/((General_Model!$D$14*A344*(General_Model!$D$4/1000)/General_Model!$D$15)^0.25))*General_Model!$D$7/(General_Model!$D$4/1000)+2)*(General_Model!$D$26/A344))</f>
        <v>-3.8055608960995607E-2</v>
      </c>
      <c r="C344" s="13">
        <f t="shared" si="5"/>
        <v>0</v>
      </c>
    </row>
    <row r="345" spans="1:3" x14ac:dyDescent="0.25">
      <c r="A345" s="11">
        <v>0.34300000000000003</v>
      </c>
      <c r="B345" s="12">
        <f>(General_Model!$D$6/General_Model!$D$7)-1/(1+General_Model!$D$26/((1.2+0.2*(General_Model!$D$26/A345)+0.35*SQRT(9.80665*(General_Model!$D$4/1000))/A345)*A345))-(A345^2/(2*9.80665*General_Model!$D$7))*((4*(0.3164/((General_Model!$D$14*A345*(General_Model!$D$4/1000)/General_Model!$D$15)^0.25))*General_Model!$D$7/(General_Model!$D$4/1000)+1)+(4*(0.3164/((General_Model!$D$14*A345*(General_Model!$D$4/1000)/General_Model!$D$15)^0.25))*General_Model!$D$7/(General_Model!$D$4/1000)+2)*(General_Model!$D$26/A345))</f>
        <v>-3.8619340530308598E-2</v>
      </c>
      <c r="C345" s="13">
        <f t="shared" si="5"/>
        <v>0</v>
      </c>
    </row>
    <row r="346" spans="1:3" x14ac:dyDescent="0.25">
      <c r="A346" s="11">
        <v>0.34399999999999997</v>
      </c>
      <c r="B346" s="12">
        <f>(General_Model!$D$6/General_Model!$D$7)-1/(1+General_Model!$D$26/((1.2+0.2*(General_Model!$D$26/A346)+0.35*SQRT(9.80665*(General_Model!$D$4/1000))/A346)*A346))-(A346^2/(2*9.80665*General_Model!$D$7))*((4*(0.3164/((General_Model!$D$14*A346*(General_Model!$D$4/1000)/General_Model!$D$15)^0.25))*General_Model!$D$7/(General_Model!$D$4/1000)+1)+(4*(0.3164/((General_Model!$D$14*A346*(General_Model!$D$4/1000)/General_Model!$D$15)^0.25))*General_Model!$D$7/(General_Model!$D$4/1000)+2)*(General_Model!$D$26/A346))</f>
        <v>-3.9182602130515713E-2</v>
      </c>
      <c r="C346" s="13">
        <f t="shared" si="5"/>
        <v>0</v>
      </c>
    </row>
    <row r="347" spans="1:3" x14ac:dyDescent="0.25">
      <c r="A347" s="11">
        <v>0.34499999999999997</v>
      </c>
      <c r="B347" s="12">
        <f>(General_Model!$D$6/General_Model!$D$7)-1/(1+General_Model!$D$26/((1.2+0.2*(General_Model!$D$26/A347)+0.35*SQRT(9.80665*(General_Model!$D$4/1000))/A347)*A347))-(A347^2/(2*9.80665*General_Model!$D$7))*((4*(0.3164/((General_Model!$D$14*A347*(General_Model!$D$4/1000)/General_Model!$D$15)^0.25))*General_Model!$D$7/(General_Model!$D$4/1000)+1)+(4*(0.3164/((General_Model!$D$14*A347*(General_Model!$D$4/1000)/General_Model!$D$15)^0.25))*General_Model!$D$7/(General_Model!$D$4/1000)+2)*(General_Model!$D$26/A347))</f>
        <v>-3.9745395571703028E-2</v>
      </c>
      <c r="C347" s="13">
        <f t="shared" si="5"/>
        <v>0</v>
      </c>
    </row>
    <row r="348" spans="1:3" x14ac:dyDescent="0.25">
      <c r="A348" s="11">
        <v>0.34599999999999997</v>
      </c>
      <c r="B348" s="12">
        <f>(General_Model!$D$6/General_Model!$D$7)-1/(1+General_Model!$D$26/((1.2+0.2*(General_Model!$D$26/A348)+0.35*SQRT(9.80665*(General_Model!$D$4/1000))/A348)*A348))-(A348^2/(2*9.80665*General_Model!$D$7))*((4*(0.3164/((General_Model!$D$14*A348*(General_Model!$D$4/1000)/General_Model!$D$15)^0.25))*General_Model!$D$7/(General_Model!$D$4/1000)+1)+(4*(0.3164/((General_Model!$D$14*A348*(General_Model!$D$4/1000)/General_Model!$D$15)^0.25))*General_Model!$D$7/(General_Model!$D$4/1000)+2)*(General_Model!$D$26/A348))</f>
        <v>-4.0307722657176845E-2</v>
      </c>
      <c r="C348" s="13">
        <f t="shared" si="5"/>
        <v>0</v>
      </c>
    </row>
    <row r="349" spans="1:3" x14ac:dyDescent="0.25">
      <c r="A349" s="11">
        <v>0.34699999999999998</v>
      </c>
      <c r="B349" s="12">
        <f>(General_Model!$D$6/General_Model!$D$7)-1/(1+General_Model!$D$26/((1.2+0.2*(General_Model!$D$26/A349)+0.35*SQRT(9.80665*(General_Model!$D$4/1000))/A349)*A349))-(A349^2/(2*9.80665*General_Model!$D$7))*((4*(0.3164/((General_Model!$D$14*A349*(General_Model!$D$4/1000)/General_Model!$D$15)^0.25))*General_Model!$D$7/(General_Model!$D$4/1000)+1)+(4*(0.3164/((General_Model!$D$14*A349*(General_Model!$D$4/1000)/General_Model!$D$15)^0.25))*General_Model!$D$7/(General_Model!$D$4/1000)+2)*(General_Model!$D$26/A349))</f>
        <v>-4.0869585183496662E-2</v>
      </c>
      <c r="C349" s="13">
        <f t="shared" si="5"/>
        <v>0</v>
      </c>
    </row>
    <row r="350" spans="1:3" x14ac:dyDescent="0.25">
      <c r="A350" s="11">
        <v>0.34799999999999998</v>
      </c>
      <c r="B350" s="12">
        <f>(General_Model!$D$6/General_Model!$D$7)-1/(1+General_Model!$D$26/((1.2+0.2*(General_Model!$D$26/A350)+0.35*SQRT(9.80665*(General_Model!$D$4/1000))/A350)*A350))-(A350^2/(2*9.80665*General_Model!$D$7))*((4*(0.3164/((General_Model!$D$14*A350*(General_Model!$D$4/1000)/General_Model!$D$15)^0.25))*General_Model!$D$7/(General_Model!$D$4/1000)+1)+(4*(0.3164/((General_Model!$D$14*A350*(General_Model!$D$4/1000)/General_Model!$D$15)^0.25))*General_Model!$D$7/(General_Model!$D$4/1000)+2)*(General_Model!$D$26/A350))</f>
        <v>-4.1430984940507669E-2</v>
      </c>
      <c r="C350" s="13">
        <f t="shared" si="5"/>
        <v>0</v>
      </c>
    </row>
    <row r="351" spans="1:3" x14ac:dyDescent="0.25">
      <c r="A351" s="11">
        <v>0.34899999999999998</v>
      </c>
      <c r="B351" s="12">
        <f>(General_Model!$D$6/General_Model!$D$7)-1/(1+General_Model!$D$26/((1.2+0.2*(General_Model!$D$26/A351)+0.35*SQRT(9.80665*(General_Model!$D$4/1000))/A351)*A351))-(A351^2/(2*9.80665*General_Model!$D$7))*((4*(0.3164/((General_Model!$D$14*A351*(General_Model!$D$4/1000)/General_Model!$D$15)^0.25))*General_Model!$D$7/(General_Model!$D$4/1000)+1)+(4*(0.3164/((General_Model!$D$14*A351*(General_Model!$D$4/1000)/General_Model!$D$15)^0.25))*General_Model!$D$7/(General_Model!$D$4/1000)+2)*(General_Model!$D$26/A351))</f>
        <v>-4.1991923711373773E-2</v>
      </c>
      <c r="C351" s="13">
        <f t="shared" si="5"/>
        <v>0</v>
      </c>
    </row>
    <row r="352" spans="1:3" x14ac:dyDescent="0.25">
      <c r="A352" s="11">
        <v>0.35</v>
      </c>
      <c r="B352" s="12">
        <f>(General_Model!$D$6/General_Model!$D$7)-1/(1+General_Model!$D$26/((1.2+0.2*(General_Model!$D$26/A352)+0.35*SQRT(9.80665*(General_Model!$D$4/1000))/A352)*A352))-(A352^2/(2*9.80665*General_Model!$D$7))*((4*(0.3164/((General_Model!$D$14*A352*(General_Model!$D$4/1000)/General_Model!$D$15)^0.25))*General_Model!$D$7/(General_Model!$D$4/1000)+1)+(4*(0.3164/((General_Model!$D$14*A352*(General_Model!$D$4/1000)/General_Model!$D$15)^0.25))*General_Model!$D$7/(General_Model!$D$4/1000)+2)*(General_Model!$D$26/A352))</f>
        <v>-4.2552403272609833E-2</v>
      </c>
      <c r="C352" s="13">
        <f t="shared" si="5"/>
        <v>0</v>
      </c>
    </row>
    <row r="353" spans="1:3" x14ac:dyDescent="0.25">
      <c r="A353" s="11">
        <v>0.35099999999999998</v>
      </c>
      <c r="B353" s="12">
        <f>(General_Model!$D$6/General_Model!$D$7)-1/(1+General_Model!$D$26/((1.2+0.2*(General_Model!$D$26/A353)+0.35*SQRT(9.80665*(General_Model!$D$4/1000))/A353)*A353))-(A353^2/(2*9.80665*General_Model!$D$7))*((4*(0.3164/((General_Model!$D$14*A353*(General_Model!$D$4/1000)/General_Model!$D$15)^0.25))*General_Model!$D$7/(General_Model!$D$4/1000)+1)+(4*(0.3164/((General_Model!$D$14*A353*(General_Model!$D$4/1000)/General_Model!$D$15)^0.25))*General_Model!$D$7/(General_Model!$D$4/1000)+2)*(General_Model!$D$26/A353))</f>
        <v>-4.3112425394113744E-2</v>
      </c>
      <c r="C353" s="13">
        <f t="shared" si="5"/>
        <v>0</v>
      </c>
    </row>
    <row r="354" spans="1:3" x14ac:dyDescent="0.25">
      <c r="A354" s="11">
        <v>0.35199999999999998</v>
      </c>
      <c r="B354" s="12">
        <f>(General_Model!$D$6/General_Model!$D$7)-1/(1+General_Model!$D$26/((1.2+0.2*(General_Model!$D$26/A354)+0.35*SQRT(9.80665*(General_Model!$D$4/1000))/A354)*A354))-(A354^2/(2*9.80665*General_Model!$D$7))*((4*(0.3164/((General_Model!$D$14*A354*(General_Model!$D$4/1000)/General_Model!$D$15)^0.25))*General_Model!$D$7/(General_Model!$D$4/1000)+1)+(4*(0.3164/((General_Model!$D$14*A354*(General_Model!$D$4/1000)/General_Model!$D$15)^0.25))*General_Model!$D$7/(General_Model!$D$4/1000)+2)*(General_Model!$D$26/A354))</f>
        <v>-4.3671991839198336E-2</v>
      </c>
      <c r="C354" s="13">
        <f t="shared" si="5"/>
        <v>0</v>
      </c>
    </row>
    <row r="355" spans="1:3" x14ac:dyDescent="0.25">
      <c r="A355" s="11">
        <v>0.35299999999999998</v>
      </c>
      <c r="B355" s="12">
        <f>(General_Model!$D$6/General_Model!$D$7)-1/(1+General_Model!$D$26/((1.2+0.2*(General_Model!$D$26/A355)+0.35*SQRT(9.80665*(General_Model!$D$4/1000))/A355)*A355))-(A355^2/(2*9.80665*General_Model!$D$7))*((4*(0.3164/((General_Model!$D$14*A355*(General_Model!$D$4/1000)/General_Model!$D$15)^0.25))*General_Model!$D$7/(General_Model!$D$4/1000)+1)+(4*(0.3164/((General_Model!$D$14*A355*(General_Model!$D$4/1000)/General_Model!$D$15)^0.25))*General_Model!$D$7/(General_Model!$D$4/1000)+2)*(General_Model!$D$26/A355))</f>
        <v>-4.4231104364623422E-2</v>
      </c>
      <c r="C355" s="13">
        <f t="shared" si="5"/>
        <v>0</v>
      </c>
    </row>
    <row r="356" spans="1:3" x14ac:dyDescent="0.25">
      <c r="A356" s="11">
        <v>0.35399999999999998</v>
      </c>
      <c r="B356" s="12">
        <f>(General_Model!$D$6/General_Model!$D$7)-1/(1+General_Model!$D$26/((1.2+0.2*(General_Model!$D$26/A356)+0.35*SQRT(9.80665*(General_Model!$D$4/1000))/A356)*A356))-(A356^2/(2*9.80665*General_Model!$D$7))*((4*(0.3164/((General_Model!$D$14*A356*(General_Model!$D$4/1000)/General_Model!$D$15)^0.25))*General_Model!$D$7/(General_Model!$D$4/1000)+1)+(4*(0.3164/((General_Model!$D$14*A356*(General_Model!$D$4/1000)/General_Model!$D$15)^0.25))*General_Model!$D$7/(General_Model!$D$4/1000)+2)*(General_Model!$D$26/A356))</f>
        <v>-4.4789764720627054E-2</v>
      </c>
      <c r="C356" s="13">
        <f t="shared" si="5"/>
        <v>0</v>
      </c>
    </row>
    <row r="357" spans="1:3" x14ac:dyDescent="0.25">
      <c r="A357" s="11">
        <v>0.35499999999999998</v>
      </c>
      <c r="B357" s="12">
        <f>(General_Model!$D$6/General_Model!$D$7)-1/(1+General_Model!$D$26/((1.2+0.2*(General_Model!$D$26/A357)+0.35*SQRT(9.80665*(General_Model!$D$4/1000))/A357)*A357))-(A357^2/(2*9.80665*General_Model!$D$7))*((4*(0.3164/((General_Model!$D$14*A357*(General_Model!$D$4/1000)/General_Model!$D$15)^0.25))*General_Model!$D$7/(General_Model!$D$4/1000)+1)+(4*(0.3164/((General_Model!$D$14*A357*(General_Model!$D$4/1000)/General_Model!$D$15)^0.25))*General_Model!$D$7/(General_Model!$D$4/1000)+2)*(General_Model!$D$26/A357))</f>
        <v>-4.5347974650957218E-2</v>
      </c>
      <c r="C357" s="13">
        <f t="shared" si="5"/>
        <v>0</v>
      </c>
    </row>
    <row r="358" spans="1:3" x14ac:dyDescent="0.25">
      <c r="A358" s="11">
        <v>0.35599999999999998</v>
      </c>
      <c r="B358" s="12">
        <f>(General_Model!$D$6/General_Model!$D$7)-1/(1+General_Model!$D$26/((1.2+0.2*(General_Model!$D$26/A358)+0.35*SQRT(9.80665*(General_Model!$D$4/1000))/A358)*A358))-(A358^2/(2*9.80665*General_Model!$D$7))*((4*(0.3164/((General_Model!$D$14*A358*(General_Model!$D$4/1000)/General_Model!$D$15)^0.25))*General_Model!$D$7/(General_Model!$D$4/1000)+1)+(4*(0.3164/((General_Model!$D$14*A358*(General_Model!$D$4/1000)/General_Model!$D$15)^0.25))*General_Model!$D$7/(General_Model!$D$4/1000)+2)*(General_Model!$D$26/A358))</f>
        <v>-4.5905735892902567E-2</v>
      </c>
      <c r="C358" s="13">
        <f t="shared" si="5"/>
        <v>0</v>
      </c>
    </row>
    <row r="359" spans="1:3" x14ac:dyDescent="0.25">
      <c r="A359" s="11">
        <v>0.35699999999999998</v>
      </c>
      <c r="B359" s="12">
        <f>(General_Model!$D$6/General_Model!$D$7)-1/(1+General_Model!$D$26/((1.2+0.2*(General_Model!$D$26/A359)+0.35*SQRT(9.80665*(General_Model!$D$4/1000))/A359)*A359))-(A359^2/(2*9.80665*General_Model!$D$7))*((4*(0.3164/((General_Model!$D$14*A359*(General_Model!$D$4/1000)/General_Model!$D$15)^0.25))*General_Model!$D$7/(General_Model!$D$4/1000)+1)+(4*(0.3164/((General_Model!$D$14*A359*(General_Model!$D$4/1000)/General_Model!$D$15)^0.25))*General_Model!$D$7/(General_Model!$D$4/1000)+2)*(General_Model!$D$26/A359))</f>
        <v>-4.646305017732371E-2</v>
      </c>
      <c r="C359" s="13">
        <f t="shared" si="5"/>
        <v>0</v>
      </c>
    </row>
    <row r="360" spans="1:3" x14ac:dyDescent="0.25">
      <c r="A360" s="11">
        <v>0.35799999999999998</v>
      </c>
      <c r="B360" s="12">
        <f>(General_Model!$D$6/General_Model!$D$7)-1/(1+General_Model!$D$26/((1.2+0.2*(General_Model!$D$26/A360)+0.35*SQRT(9.80665*(General_Model!$D$4/1000))/A360)*A360))-(A360^2/(2*9.80665*General_Model!$D$7))*((4*(0.3164/((General_Model!$D$14*A360*(General_Model!$D$4/1000)/General_Model!$D$15)^0.25))*General_Model!$D$7/(General_Model!$D$4/1000)+1)+(4*(0.3164/((General_Model!$D$14*A360*(General_Model!$D$4/1000)/General_Model!$D$15)^0.25))*General_Model!$D$7/(General_Model!$D$4/1000)+2)*(General_Model!$D$26/A360))</f>
        <v>-4.7019919228684232E-2</v>
      </c>
      <c r="C360" s="13">
        <f t="shared" si="5"/>
        <v>0</v>
      </c>
    </row>
    <row r="361" spans="1:3" x14ac:dyDescent="0.25">
      <c r="A361" s="11">
        <v>0.35899999999999999</v>
      </c>
      <c r="B361" s="12">
        <f>(General_Model!$D$6/General_Model!$D$7)-1/(1+General_Model!$D$26/((1.2+0.2*(General_Model!$D$26/A361)+0.35*SQRT(9.80665*(General_Model!$D$4/1000))/A361)*A361))-(A361^2/(2*9.80665*General_Model!$D$7))*((4*(0.3164/((General_Model!$D$14*A361*(General_Model!$D$4/1000)/General_Model!$D$15)^0.25))*General_Model!$D$7/(General_Model!$D$4/1000)+1)+(4*(0.3164/((General_Model!$D$14*A361*(General_Model!$D$4/1000)/General_Model!$D$15)^0.25))*General_Model!$D$7/(General_Model!$D$4/1000)+2)*(General_Model!$D$26/A361))</f>
        <v>-4.7576344765080228E-2</v>
      </c>
      <c r="C361" s="13">
        <f t="shared" si="5"/>
        <v>0</v>
      </c>
    </row>
    <row r="362" spans="1:3" x14ac:dyDescent="0.25">
      <c r="A362" s="11">
        <v>0.36</v>
      </c>
      <c r="B362" s="12">
        <f>(General_Model!$D$6/General_Model!$D$7)-1/(1+General_Model!$D$26/((1.2+0.2*(General_Model!$D$26/A362)+0.35*SQRT(9.80665*(General_Model!$D$4/1000))/A362)*A362))-(A362^2/(2*9.80665*General_Model!$D$7))*((4*(0.3164/((General_Model!$D$14*A362*(General_Model!$D$4/1000)/General_Model!$D$15)^0.25))*General_Model!$D$7/(General_Model!$D$4/1000)+1)+(4*(0.3164/((General_Model!$D$14*A362*(General_Model!$D$4/1000)/General_Model!$D$15)^0.25))*General_Model!$D$7/(General_Model!$D$4/1000)+2)*(General_Model!$D$26/A362))</f>
        <v>-4.8132328498271933E-2</v>
      </c>
      <c r="C362" s="13">
        <f t="shared" si="5"/>
        <v>0</v>
      </c>
    </row>
    <row r="363" spans="1:3" x14ac:dyDescent="0.25">
      <c r="A363" s="11">
        <v>0.36099999999999999</v>
      </c>
      <c r="B363" s="12">
        <f>(General_Model!$D$6/General_Model!$D$7)-1/(1+General_Model!$D$26/((1.2+0.2*(General_Model!$D$26/A363)+0.35*SQRT(9.80665*(General_Model!$D$4/1000))/A363)*A363))-(A363^2/(2*9.80665*General_Model!$D$7))*((4*(0.3164/((General_Model!$D$14*A363*(General_Model!$D$4/1000)/General_Model!$D$15)^0.25))*General_Model!$D$7/(General_Model!$D$4/1000)+1)+(4*(0.3164/((General_Model!$D$14*A363*(General_Model!$D$4/1000)/General_Model!$D$15)^0.25))*General_Model!$D$7/(General_Model!$D$4/1000)+2)*(General_Model!$D$26/A363))</f>
        <v>-4.8687872133713457E-2</v>
      </c>
      <c r="C363" s="13">
        <f t="shared" si="5"/>
        <v>0</v>
      </c>
    </row>
    <row r="364" spans="1:3" x14ac:dyDescent="0.25">
      <c r="A364" s="11">
        <v>0.36199999999999999</v>
      </c>
      <c r="B364" s="12">
        <f>(General_Model!$D$6/General_Model!$D$7)-1/(1+General_Model!$D$26/((1.2+0.2*(General_Model!$D$26/A364)+0.35*SQRT(9.80665*(General_Model!$D$4/1000))/A364)*A364))-(A364^2/(2*9.80665*General_Model!$D$7))*((4*(0.3164/((General_Model!$D$14*A364*(General_Model!$D$4/1000)/General_Model!$D$15)^0.25))*General_Model!$D$7/(General_Model!$D$4/1000)+1)+(4*(0.3164/((General_Model!$D$14*A364*(General_Model!$D$4/1000)/General_Model!$D$15)^0.25))*General_Model!$D$7/(General_Model!$D$4/1000)+2)*(General_Model!$D$26/A364))</f>
        <v>-4.9242977370582398E-2</v>
      </c>
      <c r="C364" s="13">
        <f t="shared" si="5"/>
        <v>0</v>
      </c>
    </row>
    <row r="365" spans="1:3" x14ac:dyDescent="0.25">
      <c r="A365" s="11">
        <v>0.36299999999999999</v>
      </c>
      <c r="B365" s="12">
        <f>(General_Model!$D$6/General_Model!$D$7)-1/(1+General_Model!$D$26/((1.2+0.2*(General_Model!$D$26/A365)+0.35*SQRT(9.80665*(General_Model!$D$4/1000))/A365)*A365))-(A365^2/(2*9.80665*General_Model!$D$7))*((4*(0.3164/((General_Model!$D$14*A365*(General_Model!$D$4/1000)/General_Model!$D$15)^0.25))*General_Model!$D$7/(General_Model!$D$4/1000)+1)+(4*(0.3164/((General_Model!$D$14*A365*(General_Model!$D$4/1000)/General_Model!$D$15)^0.25))*General_Model!$D$7/(General_Model!$D$4/1000)+2)*(General_Model!$D$26/A365))</f>
        <v>-4.979764590181001E-2</v>
      </c>
      <c r="C365" s="13">
        <f t="shared" si="5"/>
        <v>0</v>
      </c>
    </row>
    <row r="366" spans="1:3" x14ac:dyDescent="0.25">
      <c r="A366" s="11">
        <v>0.36399999999999999</v>
      </c>
      <c r="B366" s="12">
        <f>(General_Model!$D$6/General_Model!$D$7)-1/(1+General_Model!$D$26/((1.2+0.2*(General_Model!$D$26/A366)+0.35*SQRT(9.80665*(General_Model!$D$4/1000))/A366)*A366))-(A366^2/(2*9.80665*General_Model!$D$7))*((4*(0.3164/((General_Model!$D$14*A366*(General_Model!$D$4/1000)/General_Model!$D$15)^0.25))*General_Model!$D$7/(General_Model!$D$4/1000)+1)+(4*(0.3164/((General_Model!$D$14*A366*(General_Model!$D$4/1000)/General_Model!$D$15)^0.25))*General_Model!$D$7/(General_Model!$D$4/1000)+2)*(General_Model!$D$26/A366))</f>
        <v>-5.0351879414111123E-2</v>
      </c>
      <c r="C366" s="13">
        <f t="shared" si="5"/>
        <v>0</v>
      </c>
    </row>
    <row r="367" spans="1:3" x14ac:dyDescent="0.25">
      <c r="A367" s="11">
        <v>0.36499999999999999</v>
      </c>
      <c r="B367" s="12">
        <f>(General_Model!$D$6/General_Model!$D$7)-1/(1+General_Model!$D$26/((1.2+0.2*(General_Model!$D$26/A367)+0.35*SQRT(9.80665*(General_Model!$D$4/1000))/A367)*A367))-(A367^2/(2*9.80665*General_Model!$D$7))*((4*(0.3164/((General_Model!$D$14*A367*(General_Model!$D$4/1000)/General_Model!$D$15)^0.25))*General_Model!$D$7/(General_Model!$D$4/1000)+1)+(4*(0.3164/((General_Model!$D$14*A367*(General_Model!$D$4/1000)/General_Model!$D$15)^0.25))*General_Model!$D$7/(General_Model!$D$4/1000)+2)*(General_Model!$D$26/A367))</f>
        <v>-5.0905679588012988E-2</v>
      </c>
      <c r="C367" s="13">
        <f t="shared" si="5"/>
        <v>0</v>
      </c>
    </row>
    <row r="368" spans="1:3" x14ac:dyDescent="0.25">
      <c r="A368" s="11">
        <v>0.36599999999999999</v>
      </c>
      <c r="B368" s="12">
        <f>(General_Model!$D$6/General_Model!$D$7)-1/(1+General_Model!$D$26/((1.2+0.2*(General_Model!$D$26/A368)+0.35*SQRT(9.80665*(General_Model!$D$4/1000))/A368)*A368))-(A368^2/(2*9.80665*General_Model!$D$7))*((4*(0.3164/((General_Model!$D$14*A368*(General_Model!$D$4/1000)/General_Model!$D$15)^0.25))*General_Model!$D$7/(General_Model!$D$4/1000)+1)+(4*(0.3164/((General_Model!$D$14*A368*(General_Model!$D$4/1000)/General_Model!$D$15)^0.25))*General_Model!$D$7/(General_Model!$D$4/1000)+2)*(General_Model!$D$26/A368))</f>
        <v>-5.1459048097885117E-2</v>
      </c>
      <c r="C368" s="13">
        <f t="shared" si="5"/>
        <v>0</v>
      </c>
    </row>
    <row r="369" spans="1:3" x14ac:dyDescent="0.25">
      <c r="A369" s="11">
        <v>0.36699999999999999</v>
      </c>
      <c r="B369" s="12">
        <f>(General_Model!$D$6/General_Model!$D$7)-1/(1+General_Model!$D$26/((1.2+0.2*(General_Model!$D$26/A369)+0.35*SQRT(9.80665*(General_Model!$D$4/1000))/A369)*A369))-(A369^2/(2*9.80665*General_Model!$D$7))*((4*(0.3164/((General_Model!$D$14*A369*(General_Model!$D$4/1000)/General_Model!$D$15)^0.25))*General_Model!$D$7/(General_Model!$D$4/1000)+1)+(4*(0.3164/((General_Model!$D$14*A369*(General_Model!$D$4/1000)/General_Model!$D$15)^0.25))*General_Model!$D$7/(General_Model!$D$4/1000)+2)*(General_Model!$D$26/A369))</f>
        <v>-5.2011986611967834E-2</v>
      </c>
      <c r="C369" s="13">
        <f t="shared" si="5"/>
        <v>0</v>
      </c>
    </row>
    <row r="370" spans="1:3" x14ac:dyDescent="0.25">
      <c r="A370" s="11">
        <v>0.36799999999999999</v>
      </c>
      <c r="B370" s="12">
        <f>(General_Model!$D$6/General_Model!$D$7)-1/(1+General_Model!$D$26/((1.2+0.2*(General_Model!$D$26/A370)+0.35*SQRT(9.80665*(General_Model!$D$4/1000))/A370)*A370))-(A370^2/(2*9.80665*General_Model!$D$7))*((4*(0.3164/((General_Model!$D$14*A370*(General_Model!$D$4/1000)/General_Model!$D$15)^0.25))*General_Model!$D$7/(General_Model!$D$4/1000)+1)+(4*(0.3164/((General_Model!$D$14*A370*(General_Model!$D$4/1000)/General_Model!$D$15)^0.25))*General_Model!$D$7/(General_Model!$D$4/1000)+2)*(General_Model!$D$26/A370))</f>
        <v>-5.2564496792401709E-2</v>
      </c>
      <c r="C370" s="13">
        <f t="shared" si="5"/>
        <v>0</v>
      </c>
    </row>
    <row r="371" spans="1:3" x14ac:dyDescent="0.25">
      <c r="A371" s="11">
        <v>0.36899999999999999</v>
      </c>
      <c r="B371" s="12">
        <f>(General_Model!$D$6/General_Model!$D$7)-1/(1+General_Model!$D$26/((1.2+0.2*(General_Model!$D$26/A371)+0.35*SQRT(9.80665*(General_Model!$D$4/1000))/A371)*A371))-(A371^2/(2*9.80665*General_Model!$D$7))*((4*(0.3164/((General_Model!$D$14*A371*(General_Model!$D$4/1000)/General_Model!$D$15)^0.25))*General_Model!$D$7/(General_Model!$D$4/1000)+1)+(4*(0.3164/((General_Model!$D$14*A371*(General_Model!$D$4/1000)/General_Model!$D$15)^0.25))*General_Model!$D$7/(General_Model!$D$4/1000)+2)*(General_Model!$D$26/A371))</f>
        <v>-5.3116580295255872E-2</v>
      </c>
      <c r="C371" s="13">
        <f t="shared" si="5"/>
        <v>0</v>
      </c>
    </row>
    <row r="372" spans="1:3" x14ac:dyDescent="0.25">
      <c r="A372" s="11">
        <v>0.37</v>
      </c>
      <c r="B372" s="12">
        <f>(General_Model!$D$6/General_Model!$D$7)-1/(1+General_Model!$D$26/((1.2+0.2*(General_Model!$D$26/A372)+0.35*SQRT(9.80665*(General_Model!$D$4/1000))/A372)*A372))-(A372^2/(2*9.80665*General_Model!$D$7))*((4*(0.3164/((General_Model!$D$14*A372*(General_Model!$D$4/1000)/General_Model!$D$15)^0.25))*General_Model!$D$7/(General_Model!$D$4/1000)+1)+(4*(0.3164/((General_Model!$D$14*A372*(General_Model!$D$4/1000)/General_Model!$D$15)^0.25))*General_Model!$D$7/(General_Model!$D$4/1000)+2)*(General_Model!$D$26/A372))</f>
        <v>-5.3668238770556792E-2</v>
      </c>
      <c r="C372" s="13">
        <f t="shared" si="5"/>
        <v>0</v>
      </c>
    </row>
    <row r="373" spans="1:3" x14ac:dyDescent="0.25">
      <c r="A373" s="11">
        <v>0.371</v>
      </c>
      <c r="B373" s="12">
        <f>(General_Model!$D$6/General_Model!$D$7)-1/(1+General_Model!$D$26/((1.2+0.2*(General_Model!$D$26/A373)+0.35*SQRT(9.80665*(General_Model!$D$4/1000))/A373)*A373))-(A373^2/(2*9.80665*General_Model!$D$7))*((4*(0.3164/((General_Model!$D$14*A373*(General_Model!$D$4/1000)/General_Model!$D$15)^0.25))*General_Model!$D$7/(General_Model!$D$4/1000)+1)+(4*(0.3164/((General_Model!$D$14*A373*(General_Model!$D$4/1000)/General_Model!$D$15)^0.25))*General_Model!$D$7/(General_Model!$D$4/1000)+2)*(General_Model!$D$26/A373))</f>
        <v>-5.4219473862316736E-2</v>
      </c>
      <c r="C373" s="13">
        <f t="shared" si="5"/>
        <v>0</v>
      </c>
    </row>
    <row r="374" spans="1:3" x14ac:dyDescent="0.25">
      <c r="A374" s="11">
        <v>0.372</v>
      </c>
      <c r="B374" s="12">
        <f>(General_Model!$D$6/General_Model!$D$7)-1/(1+General_Model!$D$26/((1.2+0.2*(General_Model!$D$26/A374)+0.35*SQRT(9.80665*(General_Model!$D$4/1000))/A374)*A374))-(A374^2/(2*9.80665*General_Model!$D$7))*((4*(0.3164/((General_Model!$D$14*A374*(General_Model!$D$4/1000)/General_Model!$D$15)^0.25))*General_Model!$D$7/(General_Model!$D$4/1000)+1)+(4*(0.3164/((General_Model!$D$14*A374*(General_Model!$D$4/1000)/General_Model!$D$15)^0.25))*General_Model!$D$7/(General_Model!$D$4/1000)+2)*(General_Model!$D$26/A374))</f>
        <v>-5.4770287208561828E-2</v>
      </c>
      <c r="C374" s="13">
        <f t="shared" si="5"/>
        <v>0</v>
      </c>
    </row>
    <row r="375" spans="1:3" x14ac:dyDescent="0.25">
      <c r="A375" s="11">
        <v>0.373</v>
      </c>
      <c r="B375" s="12">
        <f>(General_Model!$D$6/General_Model!$D$7)-1/(1+General_Model!$D$26/((1.2+0.2*(General_Model!$D$26/A375)+0.35*SQRT(9.80665*(General_Model!$D$4/1000))/A375)*A375))-(A375^2/(2*9.80665*General_Model!$D$7))*((4*(0.3164/((General_Model!$D$14*A375*(General_Model!$D$4/1000)/General_Model!$D$15)^0.25))*General_Model!$D$7/(General_Model!$D$4/1000)+1)+(4*(0.3164/((General_Model!$D$14*A375*(General_Model!$D$4/1000)/General_Model!$D$15)^0.25))*General_Model!$D$7/(General_Model!$D$4/1000)+2)*(General_Model!$D$26/A375))</f>
        <v>-5.5320680441359876E-2</v>
      </c>
      <c r="C375" s="13">
        <f t="shared" si="5"/>
        <v>0</v>
      </c>
    </row>
    <row r="376" spans="1:3" x14ac:dyDescent="0.25">
      <c r="A376" s="11">
        <v>0.374</v>
      </c>
      <c r="B376" s="12">
        <f>(General_Model!$D$6/General_Model!$D$7)-1/(1+General_Model!$D$26/((1.2+0.2*(General_Model!$D$26/A376)+0.35*SQRT(9.80665*(General_Model!$D$4/1000))/A376)*A376))-(A376^2/(2*9.80665*General_Model!$D$7))*((4*(0.3164/((General_Model!$D$14*A376*(General_Model!$D$4/1000)/General_Model!$D$15)^0.25))*General_Model!$D$7/(General_Model!$D$4/1000)+1)+(4*(0.3164/((General_Model!$D$14*A376*(General_Model!$D$4/1000)/General_Model!$D$15)^0.25))*General_Model!$D$7/(General_Model!$D$4/1000)+2)*(General_Model!$D$26/A376))</f>
        <v>-5.5870655186848812E-2</v>
      </c>
      <c r="C376" s="13">
        <f t="shared" si="5"/>
        <v>0</v>
      </c>
    </row>
    <row r="377" spans="1:3" x14ac:dyDescent="0.25">
      <c r="A377" s="11">
        <v>0.375</v>
      </c>
      <c r="B377" s="12">
        <f>(General_Model!$D$6/General_Model!$D$7)-1/(1+General_Model!$D$26/((1.2+0.2*(General_Model!$D$26/A377)+0.35*SQRT(9.80665*(General_Model!$D$4/1000))/A377)*A377))-(A377^2/(2*9.80665*General_Model!$D$7))*((4*(0.3164/((General_Model!$D$14*A377*(General_Model!$D$4/1000)/General_Model!$D$15)^0.25))*General_Model!$D$7/(General_Model!$D$4/1000)+1)+(4*(0.3164/((General_Model!$D$14*A377*(General_Model!$D$4/1000)/General_Model!$D$15)^0.25))*General_Model!$D$7/(General_Model!$D$4/1000)+2)*(General_Model!$D$26/A377))</f>
        <v>-5.6420213065264013E-2</v>
      </c>
      <c r="C377" s="13">
        <f t="shared" si="5"/>
        <v>0</v>
      </c>
    </row>
    <row r="378" spans="1:3" x14ac:dyDescent="0.25">
      <c r="A378" s="11">
        <v>0.376</v>
      </c>
      <c r="B378" s="12">
        <f>(General_Model!$D$6/General_Model!$D$7)-1/(1+General_Model!$D$26/((1.2+0.2*(General_Model!$D$26/A378)+0.35*SQRT(9.80665*(General_Model!$D$4/1000))/A378)*A378))-(A378^2/(2*9.80665*General_Model!$D$7))*((4*(0.3164/((General_Model!$D$14*A378*(General_Model!$D$4/1000)/General_Model!$D$15)^0.25))*General_Model!$D$7/(General_Model!$D$4/1000)+1)+(4*(0.3164/((General_Model!$D$14*A378*(General_Model!$D$4/1000)/General_Model!$D$15)^0.25))*General_Model!$D$7/(General_Model!$D$4/1000)+2)*(General_Model!$D$26/A378))</f>
        <v>-5.6969355690965694E-2</v>
      </c>
      <c r="C378" s="13">
        <f t="shared" si="5"/>
        <v>0</v>
      </c>
    </row>
    <row r="379" spans="1:3" x14ac:dyDescent="0.25">
      <c r="A379" s="11">
        <v>0.377</v>
      </c>
      <c r="B379" s="12">
        <f>(General_Model!$D$6/General_Model!$D$7)-1/(1+General_Model!$D$26/((1.2+0.2*(General_Model!$D$26/A379)+0.35*SQRT(9.80665*(General_Model!$D$4/1000))/A379)*A379))-(A379^2/(2*9.80665*General_Model!$D$7))*((4*(0.3164/((General_Model!$D$14*A379*(General_Model!$D$4/1000)/General_Model!$D$15)^0.25))*General_Model!$D$7/(General_Model!$D$4/1000)+1)+(4*(0.3164/((General_Model!$D$14*A379*(General_Model!$D$4/1000)/General_Model!$D$15)^0.25))*General_Model!$D$7/(General_Model!$D$4/1000)+2)*(General_Model!$D$26/A379))</f>
        <v>-5.751808467246658E-2</v>
      </c>
      <c r="C379" s="13">
        <f t="shared" si="5"/>
        <v>0</v>
      </c>
    </row>
    <row r="380" spans="1:3" x14ac:dyDescent="0.25">
      <c r="A380" s="11">
        <v>0.378</v>
      </c>
      <c r="B380" s="12">
        <f>(General_Model!$D$6/General_Model!$D$7)-1/(1+General_Model!$D$26/((1.2+0.2*(General_Model!$D$26/A380)+0.35*SQRT(9.80665*(General_Model!$D$4/1000))/A380)*A380))-(A380^2/(2*9.80665*General_Model!$D$7))*((4*(0.3164/((General_Model!$D$14*A380*(General_Model!$D$4/1000)/General_Model!$D$15)^0.25))*General_Model!$D$7/(General_Model!$D$4/1000)+1)+(4*(0.3164/((General_Model!$D$14*A380*(General_Model!$D$4/1000)/General_Model!$D$15)^0.25))*General_Model!$D$7/(General_Model!$D$4/1000)+2)*(General_Model!$D$26/A380))</f>
        <v>-5.8066401612459101E-2</v>
      </c>
      <c r="C380" s="13">
        <f t="shared" si="5"/>
        <v>0</v>
      </c>
    </row>
    <row r="381" spans="1:3" x14ac:dyDescent="0.25">
      <c r="A381" s="11">
        <v>0.379</v>
      </c>
      <c r="B381" s="12">
        <f>(General_Model!$D$6/General_Model!$D$7)-1/(1+General_Model!$D$26/((1.2+0.2*(General_Model!$D$26/A381)+0.35*SQRT(9.80665*(General_Model!$D$4/1000))/A381)*A381))-(A381^2/(2*9.80665*General_Model!$D$7))*((4*(0.3164/((General_Model!$D$14*A381*(General_Model!$D$4/1000)/General_Model!$D$15)^0.25))*General_Model!$D$7/(General_Model!$D$4/1000)+1)+(4*(0.3164/((General_Model!$D$14*A381*(General_Model!$D$4/1000)/General_Model!$D$15)^0.25))*General_Model!$D$7/(General_Model!$D$4/1000)+2)*(General_Model!$D$26/A381))</f>
        <v>-5.861430810784217E-2</v>
      </c>
      <c r="C381" s="13">
        <f t="shared" si="5"/>
        <v>0</v>
      </c>
    </row>
    <row r="382" spans="1:3" x14ac:dyDescent="0.25">
      <c r="A382" s="11">
        <v>0.38</v>
      </c>
      <c r="B382" s="12">
        <f>(General_Model!$D$6/General_Model!$D$7)-1/(1+General_Model!$D$26/((1.2+0.2*(General_Model!$D$26/A382)+0.35*SQRT(9.80665*(General_Model!$D$4/1000))/A382)*A382))-(A382^2/(2*9.80665*General_Model!$D$7))*((4*(0.3164/((General_Model!$D$14*A382*(General_Model!$D$4/1000)/General_Model!$D$15)^0.25))*General_Model!$D$7/(General_Model!$D$4/1000)+1)+(4*(0.3164/((General_Model!$D$14*A382*(General_Model!$D$4/1000)/General_Model!$D$15)^0.25))*General_Model!$D$7/(General_Model!$D$4/1000)+2)*(General_Model!$D$26/A382))</f>
        <v>-5.9161805749748268E-2</v>
      </c>
      <c r="C382" s="13">
        <f t="shared" si="5"/>
        <v>0</v>
      </c>
    </row>
    <row r="383" spans="1:3" x14ac:dyDescent="0.25">
      <c r="A383" s="11">
        <v>0.38100000000000001</v>
      </c>
      <c r="B383" s="12">
        <f>(General_Model!$D$6/General_Model!$D$7)-1/(1+General_Model!$D$26/((1.2+0.2*(General_Model!$D$26/A383)+0.35*SQRT(9.80665*(General_Model!$D$4/1000))/A383)*A383))-(A383^2/(2*9.80665*General_Model!$D$7))*((4*(0.3164/((General_Model!$D$14*A383*(General_Model!$D$4/1000)/General_Model!$D$15)^0.25))*General_Model!$D$7/(General_Model!$D$4/1000)+1)+(4*(0.3164/((General_Model!$D$14*A383*(General_Model!$D$4/1000)/General_Model!$D$15)^0.25))*General_Model!$D$7/(General_Model!$D$4/1000)+2)*(General_Model!$D$26/A383))</f>
        <v>-5.970889612357036E-2</v>
      </c>
      <c r="C383" s="13">
        <f t="shared" si="5"/>
        <v>0</v>
      </c>
    </row>
    <row r="384" spans="1:3" x14ac:dyDescent="0.25">
      <c r="A384" s="11">
        <v>0.38200000000000001</v>
      </c>
      <c r="B384" s="12">
        <f>(General_Model!$D$6/General_Model!$D$7)-1/(1+General_Model!$D$26/((1.2+0.2*(General_Model!$D$26/A384)+0.35*SQRT(9.80665*(General_Model!$D$4/1000))/A384)*A384))-(A384^2/(2*9.80665*General_Model!$D$7))*((4*(0.3164/((General_Model!$D$14*A384*(General_Model!$D$4/1000)/General_Model!$D$15)^0.25))*General_Model!$D$7/(General_Model!$D$4/1000)+1)+(4*(0.3164/((General_Model!$D$14*A384*(General_Model!$D$4/1000)/General_Model!$D$15)^0.25))*General_Model!$D$7/(General_Model!$D$4/1000)+2)*(General_Model!$D$26/A384))</f>
        <v>-6.0255580808987533E-2</v>
      </c>
      <c r="C384" s="13">
        <f t="shared" si="5"/>
        <v>0</v>
      </c>
    </row>
    <row r="385" spans="1:3" x14ac:dyDescent="0.25">
      <c r="A385" s="11">
        <v>0.38300000000000001</v>
      </c>
      <c r="B385" s="12">
        <f>(General_Model!$D$6/General_Model!$D$7)-1/(1+General_Model!$D$26/((1.2+0.2*(General_Model!$D$26/A385)+0.35*SQRT(9.80665*(General_Model!$D$4/1000))/A385)*A385))-(A385^2/(2*9.80665*General_Model!$D$7))*((4*(0.3164/((General_Model!$D$14*A385*(General_Model!$D$4/1000)/General_Model!$D$15)^0.25))*General_Model!$D$7/(General_Model!$D$4/1000)+1)+(4*(0.3164/((General_Model!$D$14*A385*(General_Model!$D$4/1000)/General_Model!$D$15)^0.25))*General_Model!$D$7/(General_Model!$D$4/1000)+2)*(General_Model!$D$26/A385))</f>
        <v>-6.08018613799928E-2</v>
      </c>
      <c r="C385" s="13">
        <f t="shared" si="5"/>
        <v>0</v>
      </c>
    </row>
    <row r="386" spans="1:3" x14ac:dyDescent="0.25">
      <c r="A386" s="11">
        <v>0.38400000000000001</v>
      </c>
      <c r="B386" s="12">
        <f>(General_Model!$D$6/General_Model!$D$7)-1/(1+General_Model!$D$26/((1.2+0.2*(General_Model!$D$26/A386)+0.35*SQRT(9.80665*(General_Model!$D$4/1000))/A386)*A386))-(A386^2/(2*9.80665*General_Model!$D$7))*((4*(0.3164/((General_Model!$D$14*A386*(General_Model!$D$4/1000)/General_Model!$D$15)^0.25))*General_Model!$D$7/(General_Model!$D$4/1000)+1)+(4*(0.3164/((General_Model!$D$14*A386*(General_Model!$D$4/1000)/General_Model!$D$15)^0.25))*General_Model!$D$7/(General_Model!$D$4/1000)+2)*(General_Model!$D$26/A386))</f>
        <v>-6.1347739404918347E-2</v>
      </c>
      <c r="C386" s="13">
        <f t="shared" si="5"/>
        <v>0</v>
      </c>
    </row>
    <row r="387" spans="1:3" x14ac:dyDescent="0.25">
      <c r="A387" s="11">
        <v>0.38500000000000001</v>
      </c>
      <c r="B387" s="12">
        <f>(General_Model!$D$6/General_Model!$D$7)-1/(1+General_Model!$D$26/((1.2+0.2*(General_Model!$D$26/A387)+0.35*SQRT(9.80665*(General_Model!$D$4/1000))/A387)*A387))-(A387^2/(2*9.80665*General_Model!$D$7))*((4*(0.3164/((General_Model!$D$14*A387*(General_Model!$D$4/1000)/General_Model!$D$15)^0.25))*General_Model!$D$7/(General_Model!$D$4/1000)+1)+(4*(0.3164/((General_Model!$D$14*A387*(General_Model!$D$4/1000)/General_Model!$D$15)^0.25))*General_Model!$D$7/(General_Model!$D$4/1000)+2)*(General_Model!$D$26/A387))</f>
        <v>-6.189321644646148E-2</v>
      </c>
      <c r="C387" s="13">
        <f t="shared" ref="C387:C450" si="6">IF(B387*B388&lt;=0,1,0)</f>
        <v>0</v>
      </c>
    </row>
    <row r="388" spans="1:3" x14ac:dyDescent="0.25">
      <c r="A388" s="11">
        <v>0.38600000000000001</v>
      </c>
      <c r="B388" s="12">
        <f>(General_Model!$D$6/General_Model!$D$7)-1/(1+General_Model!$D$26/((1.2+0.2*(General_Model!$D$26/A388)+0.35*SQRT(9.80665*(General_Model!$D$4/1000))/A388)*A388))-(A388^2/(2*9.80665*General_Model!$D$7))*((4*(0.3164/((General_Model!$D$14*A388*(General_Model!$D$4/1000)/General_Model!$D$15)^0.25))*General_Model!$D$7/(General_Model!$D$4/1000)+1)+(4*(0.3164/((General_Model!$D$14*A388*(General_Model!$D$4/1000)/General_Model!$D$15)^0.25))*General_Model!$D$7/(General_Model!$D$4/1000)+2)*(General_Model!$D$26/A388))</f>
        <v>-6.2438294061711586E-2</v>
      </c>
      <c r="C388" s="13">
        <f t="shared" si="6"/>
        <v>0</v>
      </c>
    </row>
    <row r="389" spans="1:3" x14ac:dyDescent="0.25">
      <c r="A389" s="11">
        <v>0.38700000000000001</v>
      </c>
      <c r="B389" s="12">
        <f>(General_Model!$D$6/General_Model!$D$7)-1/(1+General_Model!$D$26/((1.2+0.2*(General_Model!$D$26/A389)+0.35*SQRT(9.80665*(General_Model!$D$4/1000))/A389)*A389))-(A389^2/(2*9.80665*General_Model!$D$7))*((4*(0.3164/((General_Model!$D$14*A389*(General_Model!$D$4/1000)/General_Model!$D$15)^0.25))*General_Model!$D$7/(General_Model!$D$4/1000)+1)+(4*(0.3164/((General_Model!$D$14*A389*(General_Model!$D$4/1000)/General_Model!$D$15)^0.25))*General_Model!$D$7/(General_Model!$D$4/1000)+2)*(General_Model!$D$26/A389))</f>
        <v>-6.2982973802174852E-2</v>
      </c>
      <c r="C389" s="13">
        <f t="shared" si="6"/>
        <v>0</v>
      </c>
    </row>
    <row r="390" spans="1:3" x14ac:dyDescent="0.25">
      <c r="A390" s="11">
        <v>0.38800000000000001</v>
      </c>
      <c r="B390" s="12">
        <f>(General_Model!$D$6/General_Model!$D$7)-1/(1+General_Model!$D$26/((1.2+0.2*(General_Model!$D$26/A390)+0.35*SQRT(9.80665*(General_Model!$D$4/1000))/A390)*A390))-(A390^2/(2*9.80665*General_Model!$D$7))*((4*(0.3164/((General_Model!$D$14*A390*(General_Model!$D$4/1000)/General_Model!$D$15)^0.25))*General_Model!$D$7/(General_Model!$D$4/1000)+1)+(4*(0.3164/((General_Model!$D$14*A390*(General_Model!$D$4/1000)/General_Model!$D$15)^0.25))*General_Model!$D$7/(General_Model!$D$4/1000)+2)*(General_Model!$D$26/A390))</f>
        <v>-6.3527257213800356E-2</v>
      </c>
      <c r="C390" s="13">
        <f t="shared" si="6"/>
        <v>0</v>
      </c>
    </row>
    <row r="391" spans="1:3" x14ac:dyDescent="0.25">
      <c r="A391" s="11">
        <v>0.38900000000000001</v>
      </c>
      <c r="B391" s="12">
        <f>(General_Model!$D$6/General_Model!$D$7)-1/(1+General_Model!$D$26/((1.2+0.2*(General_Model!$D$26/A391)+0.35*SQRT(9.80665*(General_Model!$D$4/1000))/A391)*A391))-(A391^2/(2*9.80665*General_Model!$D$7))*((4*(0.3164/((General_Model!$D$14*A391*(General_Model!$D$4/1000)/General_Model!$D$15)^0.25))*General_Model!$D$7/(General_Model!$D$4/1000)+1)+(4*(0.3164/((General_Model!$D$14*A391*(General_Model!$D$4/1000)/General_Model!$D$15)^0.25))*General_Model!$D$7/(General_Model!$D$4/1000)+2)*(General_Model!$D$26/A391))</f>
        <v>-6.4071145837005822E-2</v>
      </c>
      <c r="C391" s="13">
        <f t="shared" si="6"/>
        <v>0</v>
      </c>
    </row>
    <row r="392" spans="1:3" x14ac:dyDescent="0.25">
      <c r="A392" s="11">
        <v>0.39</v>
      </c>
      <c r="B392" s="12">
        <f>(General_Model!$D$6/General_Model!$D$7)-1/(1+General_Model!$D$26/((1.2+0.2*(General_Model!$D$26/A392)+0.35*SQRT(9.80665*(General_Model!$D$4/1000))/A392)*A392))-(A392^2/(2*9.80665*General_Model!$D$7))*((4*(0.3164/((General_Model!$D$14*A392*(General_Model!$D$4/1000)/General_Model!$D$15)^0.25))*General_Model!$D$7/(General_Model!$D$4/1000)+1)+(4*(0.3164/((General_Model!$D$14*A392*(General_Model!$D$4/1000)/General_Model!$D$15)^0.25))*General_Model!$D$7/(General_Model!$D$4/1000)+2)*(General_Model!$D$26/A392))</f>
        <v>-6.4614641206702114E-2</v>
      </c>
      <c r="C392" s="13">
        <f t="shared" si="6"/>
        <v>0</v>
      </c>
    </row>
    <row r="393" spans="1:3" x14ac:dyDescent="0.25">
      <c r="A393" s="11">
        <v>0.39100000000000001</v>
      </c>
      <c r="B393" s="12">
        <f>(General_Model!$D$6/General_Model!$D$7)-1/(1+General_Model!$D$26/((1.2+0.2*(General_Model!$D$26/A393)+0.35*SQRT(9.80665*(General_Model!$D$4/1000))/A393)*A393))-(A393^2/(2*9.80665*General_Model!$D$7))*((4*(0.3164/((General_Model!$D$14*A393*(General_Model!$D$4/1000)/General_Model!$D$15)^0.25))*General_Model!$D$7/(General_Model!$D$4/1000)+1)+(4*(0.3164/((General_Model!$D$14*A393*(General_Model!$D$4/1000)/General_Model!$D$15)^0.25))*General_Model!$D$7/(General_Model!$D$4/1000)+2)*(General_Model!$D$26/A393))</f>
        <v>-6.5157744852319233E-2</v>
      </c>
      <c r="C393" s="13">
        <f t="shared" si="6"/>
        <v>0</v>
      </c>
    </row>
    <row r="394" spans="1:3" x14ac:dyDescent="0.25">
      <c r="A394" s="11">
        <v>0.39200000000000002</v>
      </c>
      <c r="B394" s="12">
        <f>(General_Model!$D$6/General_Model!$D$7)-1/(1+General_Model!$D$26/((1.2+0.2*(General_Model!$D$26/A394)+0.35*SQRT(9.80665*(General_Model!$D$4/1000))/A394)*A394))-(A394^2/(2*9.80665*General_Model!$D$7))*((4*(0.3164/((General_Model!$D$14*A394*(General_Model!$D$4/1000)/General_Model!$D$15)^0.25))*General_Model!$D$7/(General_Model!$D$4/1000)+1)+(4*(0.3164/((General_Model!$D$14*A394*(General_Model!$D$4/1000)/General_Model!$D$15)^0.25))*General_Model!$D$7/(General_Model!$D$4/1000)+2)*(General_Model!$D$26/A394))</f>
        <v>-6.5700458297830902E-2</v>
      </c>
      <c r="C394" s="13">
        <f t="shared" si="6"/>
        <v>0</v>
      </c>
    </row>
    <row r="395" spans="1:3" x14ac:dyDescent="0.25">
      <c r="A395" s="11">
        <v>0.39300000000000002</v>
      </c>
      <c r="B395" s="12">
        <f>(General_Model!$D$6/General_Model!$D$7)-1/(1+General_Model!$D$26/((1.2+0.2*(General_Model!$D$26/A395)+0.35*SQRT(9.80665*(General_Model!$D$4/1000))/A395)*A395))-(A395^2/(2*9.80665*General_Model!$D$7))*((4*(0.3164/((General_Model!$D$14*A395*(General_Model!$D$4/1000)/General_Model!$D$15)^0.25))*General_Model!$D$7/(General_Model!$D$4/1000)+1)+(4*(0.3164/((General_Model!$D$14*A395*(General_Model!$D$4/1000)/General_Model!$D$15)^0.25))*General_Model!$D$7/(General_Model!$D$4/1000)+2)*(General_Model!$D$26/A395))</f>
        <v>-6.6242783061779761E-2</v>
      </c>
      <c r="C395" s="13">
        <f t="shared" si="6"/>
        <v>0</v>
      </c>
    </row>
    <row r="396" spans="1:3" x14ac:dyDescent="0.25">
      <c r="A396" s="11">
        <v>0.39400000000000002</v>
      </c>
      <c r="B396" s="12">
        <f>(General_Model!$D$6/General_Model!$D$7)-1/(1+General_Model!$D$26/((1.2+0.2*(General_Model!$D$26/A396)+0.35*SQRT(9.80665*(General_Model!$D$4/1000))/A396)*A396))-(A396^2/(2*9.80665*General_Model!$D$7))*((4*(0.3164/((General_Model!$D$14*A396*(General_Model!$D$4/1000)/General_Model!$D$15)^0.25))*General_Model!$D$7/(General_Model!$D$4/1000)+1)+(4*(0.3164/((General_Model!$D$14*A396*(General_Model!$D$4/1000)/General_Model!$D$15)^0.25))*General_Model!$D$7/(General_Model!$D$4/1000)+2)*(General_Model!$D$26/A396))</f>
        <v>-6.6784720657301733E-2</v>
      </c>
      <c r="C396" s="13">
        <f t="shared" si="6"/>
        <v>0</v>
      </c>
    </row>
    <row r="397" spans="1:3" x14ac:dyDescent="0.25">
      <c r="A397" s="11">
        <v>0.39500000000000002</v>
      </c>
      <c r="B397" s="12">
        <f>(General_Model!$D$6/General_Model!$D$7)-1/(1+General_Model!$D$26/((1.2+0.2*(General_Model!$D$26/A397)+0.35*SQRT(9.80665*(General_Model!$D$4/1000))/A397)*A397))-(A397^2/(2*9.80665*General_Model!$D$7))*((4*(0.3164/((General_Model!$D$14*A397*(General_Model!$D$4/1000)/General_Model!$D$15)^0.25))*General_Model!$D$7/(General_Model!$D$4/1000)+1)+(4*(0.3164/((General_Model!$D$14*A397*(General_Model!$D$4/1000)/General_Model!$D$15)^0.25))*General_Model!$D$7/(General_Model!$D$4/1000)+2)*(General_Model!$D$26/A397))</f>
        <v>-6.7326272592150641E-2</v>
      </c>
      <c r="C397" s="13">
        <f t="shared" si="6"/>
        <v>0</v>
      </c>
    </row>
    <row r="398" spans="1:3" x14ac:dyDescent="0.25">
      <c r="A398" s="11">
        <v>0.39600000000000002</v>
      </c>
      <c r="B398" s="12">
        <f>(General_Model!$D$6/General_Model!$D$7)-1/(1+General_Model!$D$26/((1.2+0.2*(General_Model!$D$26/A398)+0.35*SQRT(9.80665*(General_Model!$D$4/1000))/A398)*A398))-(A398^2/(2*9.80665*General_Model!$D$7))*((4*(0.3164/((General_Model!$D$14*A398*(General_Model!$D$4/1000)/General_Model!$D$15)^0.25))*General_Model!$D$7/(General_Model!$D$4/1000)+1)+(4*(0.3164/((General_Model!$D$14*A398*(General_Model!$D$4/1000)/General_Model!$D$15)^0.25))*General_Model!$D$7/(General_Model!$D$4/1000)+2)*(General_Model!$D$26/A398))</f>
        <v>-6.7867440368723289E-2</v>
      </c>
      <c r="C398" s="13">
        <f t="shared" si="6"/>
        <v>0</v>
      </c>
    </row>
    <row r="399" spans="1:3" x14ac:dyDescent="0.25">
      <c r="A399" s="11">
        <v>0.39700000000000002</v>
      </c>
      <c r="B399" s="12">
        <f>(General_Model!$D$6/General_Model!$D$7)-1/(1+General_Model!$D$26/((1.2+0.2*(General_Model!$D$26/A399)+0.35*SQRT(9.80665*(General_Model!$D$4/1000))/A399)*A399))-(A399^2/(2*9.80665*General_Model!$D$7))*((4*(0.3164/((General_Model!$D$14*A399*(General_Model!$D$4/1000)/General_Model!$D$15)^0.25))*General_Model!$D$7/(General_Model!$D$4/1000)+1)+(4*(0.3164/((General_Model!$D$14*A399*(General_Model!$D$4/1000)/General_Model!$D$15)^0.25))*General_Model!$D$7/(General_Model!$D$4/1000)+2)*(General_Model!$D$26/A399))</f>
        <v>-6.8408225484082957E-2</v>
      </c>
      <c r="C399" s="13">
        <f t="shared" si="6"/>
        <v>0</v>
      </c>
    </row>
    <row r="400" spans="1:3" x14ac:dyDescent="0.25">
      <c r="A400" s="11">
        <v>0.39800000000000002</v>
      </c>
      <c r="B400" s="12">
        <f>(General_Model!$D$6/General_Model!$D$7)-1/(1+General_Model!$D$26/((1.2+0.2*(General_Model!$D$26/A400)+0.35*SQRT(9.80665*(General_Model!$D$4/1000))/A400)*A400))-(A400^2/(2*9.80665*General_Model!$D$7))*((4*(0.3164/((General_Model!$D$14*A400*(General_Model!$D$4/1000)/General_Model!$D$15)^0.25))*General_Model!$D$7/(General_Model!$D$4/1000)+1)+(4*(0.3164/((General_Model!$D$14*A400*(General_Model!$D$4/1000)/General_Model!$D$15)^0.25))*General_Model!$D$7/(General_Model!$D$4/1000)+2)*(General_Model!$D$26/A400))</f>
        <v>-6.894862942998381E-2</v>
      </c>
      <c r="C400" s="13">
        <f t="shared" si="6"/>
        <v>0</v>
      </c>
    </row>
    <row r="401" spans="1:3" x14ac:dyDescent="0.25">
      <c r="A401" s="11">
        <v>0.39900000000000002</v>
      </c>
      <c r="B401" s="12">
        <f>(General_Model!$D$6/General_Model!$D$7)-1/(1+General_Model!$D$26/((1.2+0.2*(General_Model!$D$26/A401)+0.35*SQRT(9.80665*(General_Model!$D$4/1000))/A401)*A401))-(A401^2/(2*9.80665*General_Model!$D$7))*((4*(0.3164/((General_Model!$D$14*A401*(General_Model!$D$4/1000)/General_Model!$D$15)^0.25))*General_Model!$D$7/(General_Model!$D$4/1000)+1)+(4*(0.3164/((General_Model!$D$14*A401*(General_Model!$D$4/1000)/General_Model!$D$15)^0.25))*General_Model!$D$7/(General_Model!$D$4/1000)+2)*(General_Model!$D$26/A401))</f>
        <v>-6.9488653692895433E-2</v>
      </c>
      <c r="C401" s="13">
        <f t="shared" si="6"/>
        <v>0</v>
      </c>
    </row>
    <row r="402" spans="1:3" x14ac:dyDescent="0.25">
      <c r="A402" s="11">
        <v>0.4</v>
      </c>
      <c r="B402" s="12">
        <f>(General_Model!$D$6/General_Model!$D$7)-1/(1+General_Model!$D$26/((1.2+0.2*(General_Model!$D$26/A402)+0.35*SQRT(9.80665*(General_Model!$D$4/1000))/A402)*A402))-(A402^2/(2*9.80665*General_Model!$D$7))*((4*(0.3164/((General_Model!$D$14*A402*(General_Model!$D$4/1000)/General_Model!$D$15)^0.25))*General_Model!$D$7/(General_Model!$D$4/1000)+1)+(4*(0.3164/((General_Model!$D$14*A402*(General_Model!$D$4/1000)/General_Model!$D$15)^0.25))*General_Model!$D$7/(General_Model!$D$4/1000)+2)*(General_Model!$D$26/A402))</f>
        <v>-7.0028299754025955E-2</v>
      </c>
      <c r="C402" s="13">
        <f t="shared" si="6"/>
        <v>0</v>
      </c>
    </row>
    <row r="403" spans="1:3" x14ac:dyDescent="0.25">
      <c r="A403" s="11">
        <v>0.40100000000000002</v>
      </c>
      <c r="B403" s="12">
        <f>(General_Model!$D$6/General_Model!$D$7)-1/(1+General_Model!$D$26/((1.2+0.2*(General_Model!$D$26/A403)+0.35*SQRT(9.80665*(General_Model!$D$4/1000))/A403)*A403))-(A403^2/(2*9.80665*General_Model!$D$7))*((4*(0.3164/((General_Model!$D$14*A403*(General_Model!$D$4/1000)/General_Model!$D$15)^0.25))*General_Model!$D$7/(General_Model!$D$4/1000)+1)+(4*(0.3164/((General_Model!$D$14*A403*(General_Model!$D$4/1000)/General_Model!$D$15)^0.25))*General_Model!$D$7/(General_Model!$D$4/1000)+2)*(General_Model!$D$26/A403))</f>
        <v>-7.0567569089346346E-2</v>
      </c>
      <c r="C403" s="13">
        <f t="shared" si="6"/>
        <v>0</v>
      </c>
    </row>
    <row r="404" spans="1:3" x14ac:dyDescent="0.25">
      <c r="A404" s="11">
        <v>0.40200000000000002</v>
      </c>
      <c r="B404" s="12">
        <f>(General_Model!$D$6/General_Model!$D$7)-1/(1+General_Model!$D$26/((1.2+0.2*(General_Model!$D$26/A404)+0.35*SQRT(9.80665*(General_Model!$D$4/1000))/A404)*A404))-(A404^2/(2*9.80665*General_Model!$D$7))*((4*(0.3164/((General_Model!$D$14*A404*(General_Model!$D$4/1000)/General_Model!$D$15)^0.25))*General_Model!$D$7/(General_Model!$D$4/1000)+1)+(4*(0.3164/((General_Model!$D$14*A404*(General_Model!$D$4/1000)/General_Model!$D$15)^0.25))*General_Model!$D$7/(General_Model!$D$4/1000)+2)*(General_Model!$D$26/A404))</f>
        <v>-7.1106463169613651E-2</v>
      </c>
      <c r="C404" s="13">
        <f t="shared" si="6"/>
        <v>0</v>
      </c>
    </row>
    <row r="405" spans="1:3" x14ac:dyDescent="0.25">
      <c r="A405" s="11">
        <v>0.40300000000000002</v>
      </c>
      <c r="B405" s="12">
        <f>(General_Model!$D$6/General_Model!$D$7)-1/(1+General_Model!$D$26/((1.2+0.2*(General_Model!$D$26/A405)+0.35*SQRT(9.80665*(General_Model!$D$4/1000))/A405)*A405))-(A405^2/(2*9.80665*General_Model!$D$7))*((4*(0.3164/((General_Model!$D$14*A405*(General_Model!$D$4/1000)/General_Model!$D$15)^0.25))*General_Model!$D$7/(General_Model!$D$4/1000)+1)+(4*(0.3164/((General_Model!$D$14*A405*(General_Model!$D$4/1000)/General_Model!$D$15)^0.25))*General_Model!$D$7/(General_Model!$D$4/1000)+2)*(General_Model!$D$26/A405))</f>
        <v>-7.1644983460395037E-2</v>
      </c>
      <c r="C405" s="13">
        <f t="shared" si="6"/>
        <v>0</v>
      </c>
    </row>
    <row r="406" spans="1:3" x14ac:dyDescent="0.25">
      <c r="A406" s="11">
        <v>0.40400000000000003</v>
      </c>
      <c r="B406" s="12">
        <f>(General_Model!$D$6/General_Model!$D$7)-1/(1+General_Model!$D$26/((1.2+0.2*(General_Model!$D$26/A406)+0.35*SQRT(9.80665*(General_Model!$D$4/1000))/A406)*A406))-(A406^2/(2*9.80665*General_Model!$D$7))*((4*(0.3164/((General_Model!$D$14*A406*(General_Model!$D$4/1000)/General_Model!$D$15)^0.25))*General_Model!$D$7/(General_Model!$D$4/1000)+1)+(4*(0.3164/((General_Model!$D$14*A406*(General_Model!$D$4/1000)/General_Model!$D$15)^0.25))*General_Model!$D$7/(General_Model!$D$4/1000)+2)*(General_Model!$D$26/A406))</f>
        <v>-7.2183131422090138E-2</v>
      </c>
      <c r="C406" s="13">
        <f t="shared" si="6"/>
        <v>0</v>
      </c>
    </row>
    <row r="407" spans="1:3" x14ac:dyDescent="0.25">
      <c r="A407" s="11">
        <v>0.40500000000000003</v>
      </c>
      <c r="B407" s="12">
        <f>(General_Model!$D$6/General_Model!$D$7)-1/(1+General_Model!$D$26/((1.2+0.2*(General_Model!$D$26/A407)+0.35*SQRT(9.80665*(General_Model!$D$4/1000))/A407)*A407))-(A407^2/(2*9.80665*General_Model!$D$7))*((4*(0.3164/((General_Model!$D$14*A407*(General_Model!$D$4/1000)/General_Model!$D$15)^0.25))*General_Model!$D$7/(General_Model!$D$4/1000)+1)+(4*(0.3164/((General_Model!$D$14*A407*(General_Model!$D$4/1000)/General_Model!$D$15)^0.25))*General_Model!$D$7/(General_Model!$D$4/1000)+2)*(General_Model!$D$26/A407))</f>
        <v>-7.2720908509955579E-2</v>
      </c>
      <c r="C407" s="13">
        <f t="shared" si="6"/>
        <v>0</v>
      </c>
    </row>
    <row r="408" spans="1:3" x14ac:dyDescent="0.25">
      <c r="A408" s="11">
        <v>0.40600000000000003</v>
      </c>
      <c r="B408" s="12">
        <f>(General_Model!$D$6/General_Model!$D$7)-1/(1+General_Model!$D$26/((1.2+0.2*(General_Model!$D$26/A408)+0.35*SQRT(9.80665*(General_Model!$D$4/1000))/A408)*A408))-(A408^2/(2*9.80665*General_Model!$D$7))*((4*(0.3164/((General_Model!$D$14*A408*(General_Model!$D$4/1000)/General_Model!$D$15)^0.25))*General_Model!$D$7/(General_Model!$D$4/1000)+1)+(4*(0.3164/((General_Model!$D$14*A408*(General_Model!$D$4/1000)/General_Model!$D$15)^0.25))*General_Model!$D$7/(General_Model!$D$4/1000)+2)*(General_Model!$D$26/A408))</f>
        <v>-7.3258316174126967E-2</v>
      </c>
      <c r="C408" s="13">
        <f t="shared" si="6"/>
        <v>0</v>
      </c>
    </row>
    <row r="409" spans="1:3" x14ac:dyDescent="0.25">
      <c r="A409" s="11">
        <v>0.40699999999999997</v>
      </c>
      <c r="B409" s="12">
        <f>(General_Model!$D$6/General_Model!$D$7)-1/(1+General_Model!$D$26/((1.2+0.2*(General_Model!$D$26/A409)+0.35*SQRT(9.80665*(General_Model!$D$4/1000))/A409)*A409))-(A409^2/(2*9.80665*General_Model!$D$7))*((4*(0.3164/((General_Model!$D$14*A409*(General_Model!$D$4/1000)/General_Model!$D$15)^0.25))*General_Model!$D$7/(General_Model!$D$4/1000)+1)+(4*(0.3164/((General_Model!$D$14*A409*(General_Model!$D$4/1000)/General_Model!$D$15)^0.25))*General_Model!$D$7/(General_Model!$D$4/1000)+2)*(General_Model!$D$26/A409))</f>
        <v>-7.379535585964217E-2</v>
      </c>
      <c r="C409" s="13">
        <f t="shared" si="6"/>
        <v>0</v>
      </c>
    </row>
    <row r="410" spans="1:3" x14ac:dyDescent="0.25">
      <c r="A410" s="11">
        <v>0.40799999999999997</v>
      </c>
      <c r="B410" s="12">
        <f>(General_Model!$D$6/General_Model!$D$7)-1/(1+General_Model!$D$26/((1.2+0.2*(General_Model!$D$26/A410)+0.35*SQRT(9.80665*(General_Model!$D$4/1000))/A410)*A410))-(A410^2/(2*9.80665*General_Model!$D$7))*((4*(0.3164/((General_Model!$D$14*A410*(General_Model!$D$4/1000)/General_Model!$D$15)^0.25))*General_Model!$D$7/(General_Model!$D$4/1000)+1)+(4*(0.3164/((General_Model!$D$14*A410*(General_Model!$D$4/1000)/General_Model!$D$15)^0.25))*General_Model!$D$7/(General_Model!$D$4/1000)+2)*(General_Model!$D$26/A410))</f>
        <v>-7.4332029006464462E-2</v>
      </c>
      <c r="C410" s="13">
        <f t="shared" si="6"/>
        <v>0</v>
      </c>
    </row>
    <row r="411" spans="1:3" x14ac:dyDescent="0.25">
      <c r="A411" s="11">
        <v>0.40899999999999997</v>
      </c>
      <c r="B411" s="12">
        <f>(General_Model!$D$6/General_Model!$D$7)-1/(1+General_Model!$D$26/((1.2+0.2*(General_Model!$D$26/A411)+0.35*SQRT(9.80665*(General_Model!$D$4/1000))/A411)*A411))-(A411^2/(2*9.80665*General_Model!$D$7))*((4*(0.3164/((General_Model!$D$14*A411*(General_Model!$D$4/1000)/General_Model!$D$15)^0.25))*General_Model!$D$7/(General_Model!$D$4/1000)+1)+(4*(0.3164/((General_Model!$D$14*A411*(General_Model!$D$4/1000)/General_Model!$D$15)^0.25))*General_Model!$D$7/(General_Model!$D$4/1000)+2)*(General_Model!$D$26/A411))</f>
        <v>-7.4868337049504879E-2</v>
      </c>
      <c r="C411" s="13">
        <f t="shared" si="6"/>
        <v>0</v>
      </c>
    </row>
    <row r="412" spans="1:3" x14ac:dyDescent="0.25">
      <c r="A412" s="11">
        <v>0.41</v>
      </c>
      <c r="B412" s="12">
        <f>(General_Model!$D$6/General_Model!$D$7)-1/(1+General_Model!$D$26/((1.2+0.2*(General_Model!$D$26/A412)+0.35*SQRT(9.80665*(General_Model!$D$4/1000))/A412)*A412))-(A412^2/(2*9.80665*General_Model!$D$7))*((4*(0.3164/((General_Model!$D$14*A412*(General_Model!$D$4/1000)/General_Model!$D$15)^0.25))*General_Model!$D$7/(General_Model!$D$4/1000)+1)+(4*(0.3164/((General_Model!$D$14*A412*(General_Model!$D$4/1000)/General_Model!$D$15)^0.25))*General_Model!$D$7/(General_Model!$D$4/1000)+2)*(General_Model!$D$26/A412))</f>
        <v>-7.5404281418644942E-2</v>
      </c>
      <c r="C412" s="13">
        <f t="shared" si="6"/>
        <v>0</v>
      </c>
    </row>
    <row r="413" spans="1:3" x14ac:dyDescent="0.25">
      <c r="A413" s="11">
        <v>0.41099999999999998</v>
      </c>
      <c r="B413" s="12">
        <f>(General_Model!$D$6/General_Model!$D$7)-1/(1+General_Model!$D$26/((1.2+0.2*(General_Model!$D$26/A413)+0.35*SQRT(9.80665*(General_Model!$D$4/1000))/A413)*A413))-(A413^2/(2*9.80665*General_Model!$D$7))*((4*(0.3164/((General_Model!$D$14*A413*(General_Model!$D$4/1000)/General_Model!$D$15)^0.25))*General_Model!$D$7/(General_Model!$D$4/1000)+1)+(4*(0.3164/((General_Model!$D$14*A413*(General_Model!$D$4/1000)/General_Model!$D$15)^0.25))*General_Model!$D$7/(General_Model!$D$4/1000)+2)*(General_Model!$D$26/A413))</f>
        <v>-7.5939863538758617E-2</v>
      </c>
      <c r="C413" s="13">
        <f t="shared" si="6"/>
        <v>0</v>
      </c>
    </row>
    <row r="414" spans="1:3" x14ac:dyDescent="0.25">
      <c r="A414" s="11">
        <v>0.41199999999999998</v>
      </c>
      <c r="B414" s="12">
        <f>(General_Model!$D$6/General_Model!$D$7)-1/(1+General_Model!$D$26/((1.2+0.2*(General_Model!$D$26/A414)+0.35*SQRT(9.80665*(General_Model!$D$4/1000))/A414)*A414))-(A414^2/(2*9.80665*General_Model!$D$7))*((4*(0.3164/((General_Model!$D$14*A414*(General_Model!$D$4/1000)/General_Model!$D$15)^0.25))*General_Model!$D$7/(General_Model!$D$4/1000)+1)+(4*(0.3164/((General_Model!$D$14*A414*(General_Model!$D$4/1000)/General_Model!$D$15)^0.25))*General_Model!$D$7/(General_Model!$D$4/1000)+2)*(General_Model!$D$26/A414))</f>
        <v>-7.6475084829735251E-2</v>
      </c>
      <c r="C414" s="13">
        <f t="shared" si="6"/>
        <v>0</v>
      </c>
    </row>
    <row r="415" spans="1:3" x14ac:dyDescent="0.25">
      <c r="A415" s="11">
        <v>0.41299999999999998</v>
      </c>
      <c r="B415" s="12">
        <f>(General_Model!$D$6/General_Model!$D$7)-1/(1+General_Model!$D$26/((1.2+0.2*(General_Model!$D$26/A415)+0.35*SQRT(9.80665*(General_Model!$D$4/1000))/A415)*A415))-(A415^2/(2*9.80665*General_Model!$D$7))*((4*(0.3164/((General_Model!$D$14*A415*(General_Model!$D$4/1000)/General_Model!$D$15)^0.25))*General_Model!$D$7/(General_Model!$D$4/1000)+1)+(4*(0.3164/((General_Model!$D$14*A415*(General_Model!$D$4/1000)/General_Model!$D$15)^0.25))*General_Model!$D$7/(General_Model!$D$4/1000)+2)*(General_Model!$D$26/A415))</f>
        <v>-7.7009946706501617E-2</v>
      </c>
      <c r="C415" s="13">
        <f t="shared" si="6"/>
        <v>0</v>
      </c>
    </row>
    <row r="416" spans="1:3" x14ac:dyDescent="0.25">
      <c r="A416" s="11">
        <v>0.41399999999999998</v>
      </c>
      <c r="B416" s="12">
        <f>(General_Model!$D$6/General_Model!$D$7)-1/(1+General_Model!$D$26/((1.2+0.2*(General_Model!$D$26/A416)+0.35*SQRT(9.80665*(General_Model!$D$4/1000))/A416)*A416))-(A416^2/(2*9.80665*General_Model!$D$7))*((4*(0.3164/((General_Model!$D$14*A416*(General_Model!$D$4/1000)/General_Model!$D$15)^0.25))*General_Model!$D$7/(General_Model!$D$4/1000)+1)+(4*(0.3164/((General_Model!$D$14*A416*(General_Model!$D$4/1000)/General_Model!$D$15)^0.25))*General_Model!$D$7/(General_Model!$D$4/1000)+2)*(General_Model!$D$26/A416))</f>
        <v>-7.7544450579043855E-2</v>
      </c>
      <c r="C416" s="13">
        <f t="shared" si="6"/>
        <v>0</v>
      </c>
    </row>
    <row r="417" spans="1:3" x14ac:dyDescent="0.25">
      <c r="A417" s="11">
        <v>0.41499999999999998</v>
      </c>
      <c r="B417" s="12">
        <f>(General_Model!$D$6/General_Model!$D$7)-1/(1+General_Model!$D$26/((1.2+0.2*(General_Model!$D$26/A417)+0.35*SQRT(9.80665*(General_Model!$D$4/1000))/A417)*A417))-(A417^2/(2*9.80665*General_Model!$D$7))*((4*(0.3164/((General_Model!$D$14*A417*(General_Model!$D$4/1000)/General_Model!$D$15)^0.25))*General_Model!$D$7/(General_Model!$D$4/1000)+1)+(4*(0.3164/((General_Model!$D$14*A417*(General_Model!$D$4/1000)/General_Model!$D$15)^0.25))*General_Model!$D$7/(General_Model!$D$4/1000)+2)*(General_Model!$D$26/A417))</f>
        <v>-7.8078597852428877E-2</v>
      </c>
      <c r="C417" s="13">
        <f t="shared" si="6"/>
        <v>0</v>
      </c>
    </row>
    <row r="418" spans="1:3" x14ac:dyDescent="0.25">
      <c r="A418" s="11">
        <v>0.41599999999999998</v>
      </c>
      <c r="B418" s="12">
        <f>(General_Model!$D$6/General_Model!$D$7)-1/(1+General_Model!$D$26/((1.2+0.2*(General_Model!$D$26/A418)+0.35*SQRT(9.80665*(General_Model!$D$4/1000))/A418)*A418))-(A418^2/(2*9.80665*General_Model!$D$7))*((4*(0.3164/((General_Model!$D$14*A418*(General_Model!$D$4/1000)/General_Model!$D$15)^0.25))*General_Model!$D$7/(General_Model!$D$4/1000)+1)+(4*(0.3164/((General_Model!$D$14*A418*(General_Model!$D$4/1000)/General_Model!$D$15)^0.25))*General_Model!$D$7/(General_Model!$D$4/1000)+2)*(General_Model!$D$26/A418))</f>
        <v>-7.8612389926827231E-2</v>
      </c>
      <c r="C418" s="13">
        <f t="shared" si="6"/>
        <v>0</v>
      </c>
    </row>
    <row r="419" spans="1:3" x14ac:dyDescent="0.25">
      <c r="A419" s="11">
        <v>0.41699999999999998</v>
      </c>
      <c r="B419" s="12">
        <f>(General_Model!$D$6/General_Model!$D$7)-1/(1+General_Model!$D$26/((1.2+0.2*(General_Model!$D$26/A419)+0.35*SQRT(9.80665*(General_Model!$D$4/1000))/A419)*A419))-(A419^2/(2*9.80665*General_Model!$D$7))*((4*(0.3164/((General_Model!$D$14*A419*(General_Model!$D$4/1000)/General_Model!$D$15)^0.25))*General_Model!$D$7/(General_Model!$D$4/1000)+1)+(4*(0.3164/((General_Model!$D$14*A419*(General_Model!$D$4/1000)/General_Model!$D$15)^0.25))*General_Model!$D$7/(General_Model!$D$4/1000)+2)*(General_Model!$D$26/A419))</f>
        <v>-7.9145828197534213E-2</v>
      </c>
      <c r="C419" s="13">
        <f t="shared" si="6"/>
        <v>0</v>
      </c>
    </row>
    <row r="420" spans="1:3" x14ac:dyDescent="0.25">
      <c r="A420" s="11">
        <v>0.41799999999999998</v>
      </c>
      <c r="B420" s="12">
        <f>(General_Model!$D$6/General_Model!$D$7)-1/(1+General_Model!$D$26/((1.2+0.2*(General_Model!$D$26/A420)+0.35*SQRT(9.80665*(General_Model!$D$4/1000))/A420)*A420))-(A420^2/(2*9.80665*General_Model!$D$7))*((4*(0.3164/((General_Model!$D$14*A420*(General_Model!$D$4/1000)/General_Model!$D$15)^0.25))*General_Model!$D$7/(General_Model!$D$4/1000)+1)+(4*(0.3164/((General_Model!$D$14*A420*(General_Model!$D$4/1000)/General_Model!$D$15)^0.25))*General_Model!$D$7/(General_Model!$D$4/1000)+2)*(General_Model!$D$26/A420))</f>
        <v>-7.9678914054991209E-2</v>
      </c>
      <c r="C420" s="13">
        <f t="shared" si="6"/>
        <v>0</v>
      </c>
    </row>
    <row r="421" spans="1:3" x14ac:dyDescent="0.25">
      <c r="A421" s="11">
        <v>0.41899999999999998</v>
      </c>
      <c r="B421" s="12">
        <f>(General_Model!$D$6/General_Model!$D$7)-1/(1+General_Model!$D$26/((1.2+0.2*(General_Model!$D$26/A421)+0.35*SQRT(9.80665*(General_Model!$D$4/1000))/A421)*A421))-(A421^2/(2*9.80665*General_Model!$D$7))*((4*(0.3164/((General_Model!$D$14*A421*(General_Model!$D$4/1000)/General_Model!$D$15)^0.25))*General_Model!$D$7/(General_Model!$D$4/1000)+1)+(4*(0.3164/((General_Model!$D$14*A421*(General_Model!$D$4/1000)/General_Model!$D$15)^0.25))*General_Model!$D$7/(General_Model!$D$4/1000)+2)*(General_Model!$D$26/A421))</f>
        <v>-8.021164888480746E-2</v>
      </c>
      <c r="C421" s="13">
        <f t="shared" si="6"/>
        <v>0</v>
      </c>
    </row>
    <row r="422" spans="1:3" x14ac:dyDescent="0.25">
      <c r="A422" s="11">
        <v>0.42</v>
      </c>
      <c r="B422" s="12">
        <f>(General_Model!$D$6/General_Model!$D$7)-1/(1+General_Model!$D$26/((1.2+0.2*(General_Model!$D$26/A422)+0.35*SQRT(9.80665*(General_Model!$D$4/1000))/A422)*A422))-(A422^2/(2*9.80665*General_Model!$D$7))*((4*(0.3164/((General_Model!$D$14*A422*(General_Model!$D$4/1000)/General_Model!$D$15)^0.25))*General_Model!$D$7/(General_Model!$D$4/1000)+1)+(4*(0.3164/((General_Model!$D$14*A422*(General_Model!$D$4/1000)/General_Model!$D$15)^0.25))*General_Model!$D$7/(General_Model!$D$4/1000)+2)*(General_Model!$D$26/A422))</f>
        <v>-8.0744034067781564E-2</v>
      </c>
      <c r="C422" s="13">
        <f t="shared" si="6"/>
        <v>0</v>
      </c>
    </row>
    <row r="423" spans="1:3" x14ac:dyDescent="0.25">
      <c r="A423" s="11">
        <v>0.42099999999999999</v>
      </c>
      <c r="B423" s="12">
        <f>(General_Model!$D$6/General_Model!$D$7)-1/(1+General_Model!$D$26/((1.2+0.2*(General_Model!$D$26/A423)+0.35*SQRT(9.80665*(General_Model!$D$4/1000))/A423)*A423))-(A423^2/(2*9.80665*General_Model!$D$7))*((4*(0.3164/((General_Model!$D$14*A423*(General_Model!$D$4/1000)/General_Model!$D$15)^0.25))*General_Model!$D$7/(General_Model!$D$4/1000)+1)+(4*(0.3164/((General_Model!$D$14*A423*(General_Model!$D$4/1000)/General_Model!$D$15)^0.25))*General_Model!$D$7/(General_Model!$D$4/1000)+2)*(General_Model!$D$26/A423))</f>
        <v>-8.1276070979922094E-2</v>
      </c>
      <c r="C423" s="13">
        <f t="shared" si="6"/>
        <v>0</v>
      </c>
    </row>
    <row r="424" spans="1:3" x14ac:dyDescent="0.25">
      <c r="A424" s="11">
        <v>0.42199999999999999</v>
      </c>
      <c r="B424" s="12">
        <f>(General_Model!$D$6/General_Model!$D$7)-1/(1+General_Model!$D$26/((1.2+0.2*(General_Model!$D$26/A424)+0.35*SQRT(9.80665*(General_Model!$D$4/1000))/A424)*A424))-(A424^2/(2*9.80665*General_Model!$D$7))*((4*(0.3164/((General_Model!$D$14*A424*(General_Model!$D$4/1000)/General_Model!$D$15)^0.25))*General_Model!$D$7/(General_Model!$D$4/1000)+1)+(4*(0.3164/((General_Model!$D$14*A424*(General_Model!$D$4/1000)/General_Model!$D$15)^0.25))*General_Model!$D$7/(General_Model!$D$4/1000)+2)*(General_Model!$D$26/A424))</f>
        <v>-8.1807760992469281E-2</v>
      </c>
      <c r="C424" s="13">
        <f t="shared" si="6"/>
        <v>0</v>
      </c>
    </row>
    <row r="425" spans="1:3" x14ac:dyDescent="0.25">
      <c r="A425" s="11">
        <v>0.42299999999999999</v>
      </c>
      <c r="B425" s="12">
        <f>(General_Model!$D$6/General_Model!$D$7)-1/(1+General_Model!$D$26/((1.2+0.2*(General_Model!$D$26/A425)+0.35*SQRT(9.80665*(General_Model!$D$4/1000))/A425)*A425))-(A425^2/(2*9.80665*General_Model!$D$7))*((4*(0.3164/((General_Model!$D$14*A425*(General_Model!$D$4/1000)/General_Model!$D$15)^0.25))*General_Model!$D$7/(General_Model!$D$4/1000)+1)+(4*(0.3164/((General_Model!$D$14*A425*(General_Model!$D$4/1000)/General_Model!$D$15)^0.25))*General_Model!$D$7/(General_Model!$D$4/1000)+2)*(General_Model!$D$26/A425))</f>
        <v>-8.2339105471915447E-2</v>
      </c>
      <c r="C425" s="13">
        <f t="shared" si="6"/>
        <v>0</v>
      </c>
    </row>
    <row r="426" spans="1:3" x14ac:dyDescent="0.25">
      <c r="A426" s="11">
        <v>0.42399999999999999</v>
      </c>
      <c r="B426" s="12">
        <f>(General_Model!$D$6/General_Model!$D$7)-1/(1+General_Model!$D$26/((1.2+0.2*(General_Model!$D$26/A426)+0.35*SQRT(9.80665*(General_Model!$D$4/1000))/A426)*A426))-(A426^2/(2*9.80665*General_Model!$D$7))*((4*(0.3164/((General_Model!$D$14*A426*(General_Model!$D$4/1000)/General_Model!$D$15)^0.25))*General_Model!$D$7/(General_Model!$D$4/1000)+1)+(4*(0.3164/((General_Model!$D$14*A426*(General_Model!$D$4/1000)/General_Model!$D$15)^0.25))*General_Model!$D$7/(General_Model!$D$4/1000)+2)*(General_Model!$D$26/A426))</f>
        <v>-8.2870105780026349E-2</v>
      </c>
      <c r="C426" s="13">
        <f t="shared" si="6"/>
        <v>0</v>
      </c>
    </row>
    <row r="427" spans="1:3" x14ac:dyDescent="0.25">
      <c r="A427" s="11">
        <v>0.42499999999999999</v>
      </c>
      <c r="B427" s="12">
        <f>(General_Model!$D$6/General_Model!$D$7)-1/(1+General_Model!$D$26/((1.2+0.2*(General_Model!$D$26/A427)+0.35*SQRT(9.80665*(General_Model!$D$4/1000))/A427)*A427))-(A427^2/(2*9.80665*General_Model!$D$7))*((4*(0.3164/((General_Model!$D$14*A427*(General_Model!$D$4/1000)/General_Model!$D$15)^0.25))*General_Model!$D$7/(General_Model!$D$4/1000)+1)+(4*(0.3164/((General_Model!$D$14*A427*(General_Model!$D$4/1000)/General_Model!$D$15)^0.25))*General_Model!$D$7/(General_Model!$D$4/1000)+2)*(General_Model!$D$26/A427))</f>
        <v>-8.3400763273861589E-2</v>
      </c>
      <c r="C427" s="13">
        <f t="shared" si="6"/>
        <v>0</v>
      </c>
    </row>
    <row r="428" spans="1:3" x14ac:dyDescent="0.25">
      <c r="A428" s="11">
        <v>0.42599999999999999</v>
      </c>
      <c r="B428" s="12">
        <f>(General_Model!$D$6/General_Model!$D$7)-1/(1+General_Model!$D$26/((1.2+0.2*(General_Model!$D$26/A428)+0.35*SQRT(9.80665*(General_Model!$D$4/1000))/A428)*A428))-(A428^2/(2*9.80665*General_Model!$D$7))*((4*(0.3164/((General_Model!$D$14*A428*(General_Model!$D$4/1000)/General_Model!$D$15)^0.25))*General_Model!$D$7/(General_Model!$D$4/1000)+1)+(4*(0.3164/((General_Model!$D$14*A428*(General_Model!$D$4/1000)/General_Model!$D$15)^0.25))*General_Model!$D$7/(General_Model!$D$4/1000)+2)*(General_Model!$D$26/A428))</f>
        <v>-8.3931079305795575E-2</v>
      </c>
      <c r="C428" s="13">
        <f t="shared" si="6"/>
        <v>0</v>
      </c>
    </row>
    <row r="429" spans="1:3" x14ac:dyDescent="0.25">
      <c r="A429" s="11">
        <v>0.42699999999999999</v>
      </c>
      <c r="B429" s="12">
        <f>(General_Model!$D$6/General_Model!$D$7)-1/(1+General_Model!$D$26/((1.2+0.2*(General_Model!$D$26/A429)+0.35*SQRT(9.80665*(General_Model!$D$4/1000))/A429)*A429))-(A429^2/(2*9.80665*General_Model!$D$7))*((4*(0.3164/((General_Model!$D$14*A429*(General_Model!$D$4/1000)/General_Model!$D$15)^0.25))*General_Model!$D$7/(General_Model!$D$4/1000)+1)+(4*(0.3164/((General_Model!$D$14*A429*(General_Model!$D$4/1000)/General_Model!$D$15)^0.25))*General_Model!$D$7/(General_Model!$D$4/1000)+2)*(General_Model!$D$26/A429))</f>
        <v>-8.4461055223537598E-2</v>
      </c>
      <c r="C429" s="13">
        <f t="shared" si="6"/>
        <v>0</v>
      </c>
    </row>
    <row r="430" spans="1:3" x14ac:dyDescent="0.25">
      <c r="A430" s="11">
        <v>0.42799999999999999</v>
      </c>
      <c r="B430" s="12">
        <f>(General_Model!$D$6/General_Model!$D$7)-1/(1+General_Model!$D$26/((1.2+0.2*(General_Model!$D$26/A430)+0.35*SQRT(9.80665*(General_Model!$D$4/1000))/A430)*A430))-(A430^2/(2*9.80665*General_Model!$D$7))*((4*(0.3164/((General_Model!$D$14*A430*(General_Model!$D$4/1000)/General_Model!$D$15)^0.25))*General_Model!$D$7/(General_Model!$D$4/1000)+1)+(4*(0.3164/((General_Model!$D$14*A430*(General_Model!$D$4/1000)/General_Model!$D$15)^0.25))*General_Model!$D$7/(General_Model!$D$4/1000)+2)*(General_Model!$D$26/A430))</f>
        <v>-8.4990692370152443E-2</v>
      </c>
      <c r="C430" s="13">
        <f t="shared" si="6"/>
        <v>0</v>
      </c>
    </row>
    <row r="431" spans="1:3" x14ac:dyDescent="0.25">
      <c r="A431" s="11">
        <v>0.42899999999999999</v>
      </c>
      <c r="B431" s="12">
        <f>(General_Model!$D$6/General_Model!$D$7)-1/(1+General_Model!$D$26/((1.2+0.2*(General_Model!$D$26/A431)+0.35*SQRT(9.80665*(General_Model!$D$4/1000))/A431)*A431))-(A431^2/(2*9.80665*General_Model!$D$7))*((4*(0.3164/((General_Model!$D$14*A431*(General_Model!$D$4/1000)/General_Model!$D$15)^0.25))*General_Model!$D$7/(General_Model!$D$4/1000)+1)+(4*(0.3164/((General_Model!$D$14*A431*(General_Model!$D$4/1000)/General_Model!$D$15)^0.25))*General_Model!$D$7/(General_Model!$D$4/1000)+2)*(General_Model!$D$26/A431))</f>
        <v>-8.5519992084080731E-2</v>
      </c>
      <c r="C431" s="13">
        <f t="shared" si="6"/>
        <v>0</v>
      </c>
    </row>
    <row r="432" spans="1:3" x14ac:dyDescent="0.25">
      <c r="A432" s="11">
        <v>0.43</v>
      </c>
      <c r="B432" s="12">
        <f>(General_Model!$D$6/General_Model!$D$7)-1/(1+General_Model!$D$26/((1.2+0.2*(General_Model!$D$26/A432)+0.35*SQRT(9.80665*(General_Model!$D$4/1000))/A432)*A432))-(A432^2/(2*9.80665*General_Model!$D$7))*((4*(0.3164/((General_Model!$D$14*A432*(General_Model!$D$4/1000)/General_Model!$D$15)^0.25))*General_Model!$D$7/(General_Model!$D$4/1000)+1)+(4*(0.3164/((General_Model!$D$14*A432*(General_Model!$D$4/1000)/General_Model!$D$15)^0.25))*General_Model!$D$7/(General_Model!$D$4/1000)+2)*(General_Model!$D$26/A432))</f>
        <v>-8.604895569915906E-2</v>
      </c>
      <c r="C432" s="13">
        <f t="shared" si="6"/>
        <v>0</v>
      </c>
    </row>
    <row r="433" spans="1:3" x14ac:dyDescent="0.25">
      <c r="A433" s="11">
        <v>0.43099999999999999</v>
      </c>
      <c r="B433" s="12">
        <f>(General_Model!$D$6/General_Model!$D$7)-1/(1+General_Model!$D$26/((1.2+0.2*(General_Model!$D$26/A433)+0.35*SQRT(9.80665*(General_Model!$D$4/1000))/A433)*A433))-(A433^2/(2*9.80665*General_Model!$D$7))*((4*(0.3164/((General_Model!$D$14*A433*(General_Model!$D$4/1000)/General_Model!$D$15)^0.25))*General_Model!$D$7/(General_Model!$D$4/1000)+1)+(4*(0.3164/((General_Model!$D$14*A433*(General_Model!$D$4/1000)/General_Model!$D$15)^0.25))*General_Model!$D$7/(General_Model!$D$4/1000)+2)*(General_Model!$D$26/A433))</f>
        <v>-8.6577584544639818E-2</v>
      </c>
      <c r="C433" s="13">
        <f t="shared" si="6"/>
        <v>0</v>
      </c>
    </row>
    <row r="434" spans="1:3" x14ac:dyDescent="0.25">
      <c r="A434" s="11">
        <v>0.432</v>
      </c>
      <c r="B434" s="12">
        <f>(General_Model!$D$6/General_Model!$D$7)-1/(1+General_Model!$D$26/((1.2+0.2*(General_Model!$D$26/A434)+0.35*SQRT(9.80665*(General_Model!$D$4/1000))/A434)*A434))-(A434^2/(2*9.80665*General_Model!$D$7))*((4*(0.3164/((General_Model!$D$14*A434*(General_Model!$D$4/1000)/General_Model!$D$15)^0.25))*General_Model!$D$7/(General_Model!$D$4/1000)+1)+(4*(0.3164/((General_Model!$D$14*A434*(General_Model!$D$4/1000)/General_Model!$D$15)^0.25))*General_Model!$D$7/(General_Model!$D$4/1000)+2)*(General_Model!$D$26/A434))</f>
        <v>-8.7105879945211892E-2</v>
      </c>
      <c r="C434" s="13">
        <f t="shared" si="6"/>
        <v>0</v>
      </c>
    </row>
    <row r="435" spans="1:3" x14ac:dyDescent="0.25">
      <c r="A435" s="11">
        <v>0.433</v>
      </c>
      <c r="B435" s="12">
        <f>(General_Model!$D$6/General_Model!$D$7)-1/(1+General_Model!$D$26/((1.2+0.2*(General_Model!$D$26/A435)+0.35*SQRT(9.80665*(General_Model!$D$4/1000))/A435)*A435))-(A435^2/(2*9.80665*General_Model!$D$7))*((4*(0.3164/((General_Model!$D$14*A435*(General_Model!$D$4/1000)/General_Model!$D$15)^0.25))*General_Model!$D$7/(General_Model!$D$4/1000)+1)+(4*(0.3164/((General_Model!$D$14*A435*(General_Model!$D$4/1000)/General_Model!$D$15)^0.25))*General_Model!$D$7/(General_Model!$D$4/1000)+2)*(General_Model!$D$26/A435))</f>
        <v>-8.7633843221019275E-2</v>
      </c>
      <c r="C435" s="13">
        <f t="shared" si="6"/>
        <v>0</v>
      </c>
    </row>
    <row r="436" spans="1:3" x14ac:dyDescent="0.25">
      <c r="A436" s="11">
        <v>0.434</v>
      </c>
      <c r="B436" s="12">
        <f>(General_Model!$D$6/General_Model!$D$7)-1/(1+General_Model!$D$26/((1.2+0.2*(General_Model!$D$26/A436)+0.35*SQRT(9.80665*(General_Model!$D$4/1000))/A436)*A436))-(A436^2/(2*9.80665*General_Model!$D$7))*((4*(0.3164/((General_Model!$D$14*A436*(General_Model!$D$4/1000)/General_Model!$D$15)^0.25))*General_Model!$D$7/(General_Model!$D$4/1000)+1)+(4*(0.3164/((General_Model!$D$14*A436*(General_Model!$D$4/1000)/General_Model!$D$15)^0.25))*General_Model!$D$7/(General_Model!$D$4/1000)+2)*(General_Model!$D$26/A436))</f>
        <v>-8.8161475687681998E-2</v>
      </c>
      <c r="C436" s="13">
        <f t="shared" si="6"/>
        <v>0</v>
      </c>
    </row>
    <row r="437" spans="1:3" x14ac:dyDescent="0.25">
      <c r="A437" s="11">
        <v>0.435</v>
      </c>
      <c r="B437" s="12">
        <f>(General_Model!$D$6/General_Model!$D$7)-1/(1+General_Model!$D$26/((1.2+0.2*(General_Model!$D$26/A437)+0.35*SQRT(9.80665*(General_Model!$D$4/1000))/A437)*A437))-(A437^2/(2*9.80665*General_Model!$D$7))*((4*(0.3164/((General_Model!$D$14*A437*(General_Model!$D$4/1000)/General_Model!$D$15)^0.25))*General_Model!$D$7/(General_Model!$D$4/1000)+1)+(4*(0.3164/((General_Model!$D$14*A437*(General_Model!$D$4/1000)/General_Model!$D$15)^0.25))*General_Model!$D$7/(General_Model!$D$4/1000)+2)*(General_Model!$D$26/A437))</f>
        <v>-8.8688778656315151E-2</v>
      </c>
      <c r="C437" s="13">
        <f t="shared" si="6"/>
        <v>0</v>
      </c>
    </row>
    <row r="438" spans="1:3" x14ac:dyDescent="0.25">
      <c r="A438" s="11">
        <v>0.436</v>
      </c>
      <c r="B438" s="12">
        <f>(General_Model!$D$6/General_Model!$D$7)-1/(1+General_Model!$D$26/((1.2+0.2*(General_Model!$D$26/A438)+0.35*SQRT(9.80665*(General_Model!$D$4/1000))/A438)*A438))-(A438^2/(2*9.80665*General_Model!$D$7))*((4*(0.3164/((General_Model!$D$14*A438*(General_Model!$D$4/1000)/General_Model!$D$15)^0.25))*General_Model!$D$7/(General_Model!$D$4/1000)+1)+(4*(0.3164/((General_Model!$D$14*A438*(General_Model!$D$4/1000)/General_Model!$D$15)^0.25))*General_Model!$D$7/(General_Model!$D$4/1000)+2)*(General_Model!$D$26/A438))</f>
        <v>-8.9215753433548373E-2</v>
      </c>
      <c r="C438" s="13">
        <f t="shared" si="6"/>
        <v>0</v>
      </c>
    </row>
    <row r="439" spans="1:3" x14ac:dyDescent="0.25">
      <c r="A439" s="11">
        <v>0.437</v>
      </c>
      <c r="B439" s="12">
        <f>(General_Model!$D$6/General_Model!$D$7)-1/(1+General_Model!$D$26/((1.2+0.2*(General_Model!$D$26/A439)+0.35*SQRT(9.80665*(General_Model!$D$4/1000))/A439)*A439))-(A439^2/(2*9.80665*General_Model!$D$7))*((4*(0.3164/((General_Model!$D$14*A439*(General_Model!$D$4/1000)/General_Model!$D$15)^0.25))*General_Model!$D$7/(General_Model!$D$4/1000)+1)+(4*(0.3164/((General_Model!$D$14*A439*(General_Model!$D$4/1000)/General_Model!$D$15)^0.25))*General_Model!$D$7/(General_Model!$D$4/1000)+2)*(General_Model!$D$26/A439))</f>
        <v>-8.9742401321545748E-2</v>
      </c>
      <c r="C439" s="13">
        <f t="shared" si="6"/>
        <v>0</v>
      </c>
    </row>
    <row r="440" spans="1:3" x14ac:dyDescent="0.25">
      <c r="A440" s="11">
        <v>0.438</v>
      </c>
      <c r="B440" s="12">
        <f>(General_Model!$D$6/General_Model!$D$7)-1/(1+General_Model!$D$26/((1.2+0.2*(General_Model!$D$26/A440)+0.35*SQRT(9.80665*(General_Model!$D$4/1000))/A440)*A440))-(A440^2/(2*9.80665*General_Model!$D$7))*((4*(0.3164/((General_Model!$D$14*A440*(General_Model!$D$4/1000)/General_Model!$D$15)^0.25))*General_Model!$D$7/(General_Model!$D$4/1000)+1)+(4*(0.3164/((General_Model!$D$14*A440*(General_Model!$D$4/1000)/General_Model!$D$15)^0.25))*General_Model!$D$7/(General_Model!$D$4/1000)+2)*(General_Model!$D$26/A440))</f>
        <v>-9.0268723618024155E-2</v>
      </c>
      <c r="C440" s="13">
        <f t="shared" si="6"/>
        <v>0</v>
      </c>
    </row>
    <row r="441" spans="1:3" x14ac:dyDescent="0.25">
      <c r="A441" s="11">
        <v>0.439</v>
      </c>
      <c r="B441" s="12">
        <f>(General_Model!$D$6/General_Model!$D$7)-1/(1+General_Model!$D$26/((1.2+0.2*(General_Model!$D$26/A441)+0.35*SQRT(9.80665*(General_Model!$D$4/1000))/A441)*A441))-(A441^2/(2*9.80665*General_Model!$D$7))*((4*(0.3164/((General_Model!$D$14*A441*(General_Model!$D$4/1000)/General_Model!$D$15)^0.25))*General_Model!$D$7/(General_Model!$D$4/1000)+1)+(4*(0.3164/((General_Model!$D$14*A441*(General_Model!$D$4/1000)/General_Model!$D$15)^0.25))*General_Model!$D$7/(General_Model!$D$4/1000)+2)*(General_Model!$D$26/A441))</f>
        <v>-9.0794721616273985E-2</v>
      </c>
      <c r="C441" s="13">
        <f t="shared" si="6"/>
        <v>0</v>
      </c>
    </row>
    <row r="442" spans="1:3" x14ac:dyDescent="0.25">
      <c r="A442" s="11">
        <v>0.44</v>
      </c>
      <c r="B442" s="12">
        <f>(General_Model!$D$6/General_Model!$D$7)-1/(1+General_Model!$D$26/((1.2+0.2*(General_Model!$D$26/A442)+0.35*SQRT(9.80665*(General_Model!$D$4/1000))/A442)*A442))-(A442^2/(2*9.80665*General_Model!$D$7))*((4*(0.3164/((General_Model!$D$14*A442*(General_Model!$D$4/1000)/General_Model!$D$15)^0.25))*General_Model!$D$7/(General_Model!$D$4/1000)+1)+(4*(0.3164/((General_Model!$D$14*A442*(General_Model!$D$4/1000)/General_Model!$D$15)^0.25))*General_Model!$D$7/(General_Model!$D$4/1000)+2)*(General_Model!$D$26/A442))</f>
        <v>-9.132039660517656E-2</v>
      </c>
      <c r="C442" s="13">
        <f t="shared" si="6"/>
        <v>0</v>
      </c>
    </row>
    <row r="443" spans="1:3" x14ac:dyDescent="0.25">
      <c r="A443" s="11">
        <v>0.441</v>
      </c>
      <c r="B443" s="12">
        <f>(General_Model!$D$6/General_Model!$D$7)-1/(1+General_Model!$D$26/((1.2+0.2*(General_Model!$D$26/A443)+0.35*SQRT(9.80665*(General_Model!$D$4/1000))/A443)*A443))-(A443^2/(2*9.80665*General_Model!$D$7))*((4*(0.3164/((General_Model!$D$14*A443*(General_Model!$D$4/1000)/General_Model!$D$15)^0.25))*General_Model!$D$7/(General_Model!$D$4/1000)+1)+(4*(0.3164/((General_Model!$D$14*A443*(General_Model!$D$4/1000)/General_Model!$D$15)^0.25))*General_Model!$D$7/(General_Model!$D$4/1000)+2)*(General_Model!$D$26/A443))</f>
        <v>-9.1845749869224141E-2</v>
      </c>
      <c r="C443" s="13">
        <f t="shared" si="6"/>
        <v>0</v>
      </c>
    </row>
    <row r="444" spans="1:3" x14ac:dyDescent="0.25">
      <c r="A444" s="11">
        <v>0.442</v>
      </c>
      <c r="B444" s="12">
        <f>(General_Model!$D$6/General_Model!$D$7)-1/(1+General_Model!$D$26/((1.2+0.2*(General_Model!$D$26/A444)+0.35*SQRT(9.80665*(General_Model!$D$4/1000))/A444)*A444))-(A444^2/(2*9.80665*General_Model!$D$7))*((4*(0.3164/((General_Model!$D$14*A444*(General_Model!$D$4/1000)/General_Model!$D$15)^0.25))*General_Model!$D$7/(General_Model!$D$4/1000)+1)+(4*(0.3164/((General_Model!$D$14*A444*(General_Model!$D$4/1000)/General_Model!$D$15)^0.25))*General_Model!$D$7/(General_Model!$D$4/1000)+2)*(General_Model!$D$26/A444))</f>
        <v>-9.2370782688539238E-2</v>
      </c>
      <c r="C444" s="13">
        <f t="shared" si="6"/>
        <v>0</v>
      </c>
    </row>
    <row r="445" spans="1:3" x14ac:dyDescent="0.25">
      <c r="A445" s="11">
        <v>0.443</v>
      </c>
      <c r="B445" s="12">
        <f>(General_Model!$D$6/General_Model!$D$7)-1/(1+General_Model!$D$26/((1.2+0.2*(General_Model!$D$26/A445)+0.35*SQRT(9.80665*(General_Model!$D$4/1000))/A445)*A445))-(A445^2/(2*9.80665*General_Model!$D$7))*((4*(0.3164/((General_Model!$D$14*A445*(General_Model!$D$4/1000)/General_Model!$D$15)^0.25))*General_Model!$D$7/(General_Model!$D$4/1000)+1)+(4*(0.3164/((General_Model!$D$14*A445*(General_Model!$D$4/1000)/General_Model!$D$15)^0.25))*General_Model!$D$7/(General_Model!$D$4/1000)+2)*(General_Model!$D$26/A445))</f>
        <v>-9.2895496338891798E-2</v>
      </c>
      <c r="C445" s="13">
        <f t="shared" si="6"/>
        <v>0</v>
      </c>
    </row>
    <row r="446" spans="1:3" x14ac:dyDescent="0.25">
      <c r="A446" s="11">
        <v>0.44400000000000001</v>
      </c>
      <c r="B446" s="12">
        <f>(General_Model!$D$6/General_Model!$D$7)-1/(1+General_Model!$D$26/((1.2+0.2*(General_Model!$D$26/A446)+0.35*SQRT(9.80665*(General_Model!$D$4/1000))/A446)*A446))-(A446^2/(2*9.80665*General_Model!$D$7))*((4*(0.3164/((General_Model!$D$14*A446*(General_Model!$D$4/1000)/General_Model!$D$15)^0.25))*General_Model!$D$7/(General_Model!$D$4/1000)+1)+(4*(0.3164/((General_Model!$D$14*A446*(General_Model!$D$4/1000)/General_Model!$D$15)^0.25))*General_Model!$D$7/(General_Model!$D$4/1000)+2)*(General_Model!$D$26/A446))</f>
        <v>-9.3419892091719525E-2</v>
      </c>
      <c r="C446" s="13">
        <f t="shared" si="6"/>
        <v>0</v>
      </c>
    </row>
    <row r="447" spans="1:3" x14ac:dyDescent="0.25">
      <c r="A447" s="11">
        <v>0.44500000000000001</v>
      </c>
      <c r="B447" s="12">
        <f>(General_Model!$D$6/General_Model!$D$7)-1/(1+General_Model!$D$26/((1.2+0.2*(General_Model!$D$26/A447)+0.35*SQRT(9.80665*(General_Model!$D$4/1000))/A447)*A447))-(A447^2/(2*9.80665*General_Model!$D$7))*((4*(0.3164/((General_Model!$D$14*A447*(General_Model!$D$4/1000)/General_Model!$D$15)^0.25))*General_Model!$D$7/(General_Model!$D$4/1000)+1)+(4*(0.3164/((General_Model!$D$14*A447*(General_Model!$D$4/1000)/General_Model!$D$15)^0.25))*General_Model!$D$7/(General_Model!$D$4/1000)+2)*(General_Model!$D$26/A447))</f>
        <v>-9.394397121414555E-2</v>
      </c>
      <c r="C447" s="13">
        <f t="shared" si="6"/>
        <v>0</v>
      </c>
    </row>
    <row r="448" spans="1:3" x14ac:dyDescent="0.25">
      <c r="A448" s="11">
        <v>0.44600000000000001</v>
      </c>
      <c r="B448" s="12">
        <f>(General_Model!$D$6/General_Model!$D$7)-1/(1+General_Model!$D$26/((1.2+0.2*(General_Model!$D$26/A448)+0.35*SQRT(9.80665*(General_Model!$D$4/1000))/A448)*A448))-(A448^2/(2*9.80665*General_Model!$D$7))*((4*(0.3164/((General_Model!$D$14*A448*(General_Model!$D$4/1000)/General_Model!$D$15)^0.25))*General_Model!$D$7/(General_Model!$D$4/1000)+1)+(4*(0.3164/((General_Model!$D$14*A448*(General_Model!$D$4/1000)/General_Model!$D$15)^0.25))*General_Model!$D$7/(General_Model!$D$4/1000)+2)*(General_Model!$D$26/A448))</f>
        <v>-9.4467734968997311E-2</v>
      </c>
      <c r="C448" s="13">
        <f t="shared" si="6"/>
        <v>0</v>
      </c>
    </row>
    <row r="449" spans="1:3" x14ac:dyDescent="0.25">
      <c r="A449" s="11">
        <v>0.44700000000000001</v>
      </c>
      <c r="B449" s="12">
        <f>(General_Model!$D$6/General_Model!$D$7)-1/(1+General_Model!$D$26/((1.2+0.2*(General_Model!$D$26/A449)+0.35*SQRT(9.80665*(General_Model!$D$4/1000))/A449)*A449))-(A449^2/(2*9.80665*General_Model!$D$7))*((4*(0.3164/((General_Model!$D$14*A449*(General_Model!$D$4/1000)/General_Model!$D$15)^0.25))*General_Model!$D$7/(General_Model!$D$4/1000)+1)+(4*(0.3164/((General_Model!$D$14*A449*(General_Model!$D$4/1000)/General_Model!$D$15)^0.25))*General_Model!$D$7/(General_Model!$D$4/1000)+2)*(General_Model!$D$26/A449))</f>
        <v>-9.4991184614824781E-2</v>
      </c>
      <c r="C449" s="13">
        <f t="shared" si="6"/>
        <v>0</v>
      </c>
    </row>
    <row r="450" spans="1:3" x14ac:dyDescent="0.25">
      <c r="A450" s="11">
        <v>0.44800000000000001</v>
      </c>
      <c r="B450" s="12">
        <f>(General_Model!$D$6/General_Model!$D$7)-1/(1+General_Model!$D$26/((1.2+0.2*(General_Model!$D$26/A450)+0.35*SQRT(9.80665*(General_Model!$D$4/1000))/A450)*A450))-(A450^2/(2*9.80665*General_Model!$D$7))*((4*(0.3164/((General_Model!$D$14*A450*(General_Model!$D$4/1000)/General_Model!$D$15)^0.25))*General_Model!$D$7/(General_Model!$D$4/1000)+1)+(4*(0.3164/((General_Model!$D$14*A450*(General_Model!$D$4/1000)/General_Model!$D$15)^0.25))*General_Model!$D$7/(General_Model!$D$4/1000)+2)*(General_Model!$D$26/A450))</f>
        <v>-9.5514321405919117E-2</v>
      </c>
      <c r="C450" s="13">
        <f t="shared" si="6"/>
        <v>0</v>
      </c>
    </row>
    <row r="451" spans="1:3" x14ac:dyDescent="0.25">
      <c r="A451" s="11">
        <v>0.44900000000000001</v>
      </c>
      <c r="B451" s="12">
        <f>(General_Model!$D$6/General_Model!$D$7)-1/(1+General_Model!$D$26/((1.2+0.2*(General_Model!$D$26/A451)+0.35*SQRT(9.80665*(General_Model!$D$4/1000))/A451)*A451))-(A451^2/(2*9.80665*General_Model!$D$7))*((4*(0.3164/((General_Model!$D$14*A451*(General_Model!$D$4/1000)/General_Model!$D$15)^0.25))*General_Model!$D$7/(General_Model!$D$4/1000)+1)+(4*(0.3164/((General_Model!$D$14*A451*(General_Model!$D$4/1000)/General_Model!$D$15)^0.25))*General_Model!$D$7/(General_Model!$D$4/1000)+2)*(General_Model!$D$26/A451))</f>
        <v>-9.6037146592330147E-2</v>
      </c>
      <c r="C451" s="13">
        <f t="shared" ref="C451:C514" si="7">IF(B451*B452&lt;=0,1,0)</f>
        <v>0</v>
      </c>
    </row>
    <row r="452" spans="1:3" x14ac:dyDescent="0.25">
      <c r="A452" s="11">
        <v>0.45</v>
      </c>
      <c r="B452" s="12">
        <f>(General_Model!$D$6/General_Model!$D$7)-1/(1+General_Model!$D$26/((1.2+0.2*(General_Model!$D$26/A452)+0.35*SQRT(9.80665*(General_Model!$D$4/1000))/A452)*A452))-(A452^2/(2*9.80665*General_Model!$D$7))*((4*(0.3164/((General_Model!$D$14*A452*(General_Model!$D$4/1000)/General_Model!$D$15)^0.25))*General_Model!$D$7/(General_Model!$D$4/1000)+1)+(4*(0.3164/((General_Model!$D$14*A452*(General_Model!$D$4/1000)/General_Model!$D$15)^0.25))*General_Model!$D$7/(General_Model!$D$4/1000)+2)*(General_Model!$D$26/A452))</f>
        <v>-9.6559661419884951E-2</v>
      </c>
      <c r="C452" s="13">
        <f t="shared" si="7"/>
        <v>0</v>
      </c>
    </row>
    <row r="453" spans="1:3" x14ac:dyDescent="0.25">
      <c r="A453" s="11">
        <v>0.45100000000000001</v>
      </c>
      <c r="B453" s="12">
        <f>(General_Model!$D$6/General_Model!$D$7)-1/(1+General_Model!$D$26/((1.2+0.2*(General_Model!$D$26/A453)+0.35*SQRT(9.80665*(General_Model!$D$4/1000))/A453)*A453))-(A453^2/(2*9.80665*General_Model!$D$7))*((4*(0.3164/((General_Model!$D$14*A453*(General_Model!$D$4/1000)/General_Model!$D$15)^0.25))*General_Model!$D$7/(General_Model!$D$4/1000)+1)+(4*(0.3164/((General_Model!$D$14*A453*(General_Model!$D$4/1000)/General_Model!$D$15)^0.25))*General_Model!$D$7/(General_Model!$D$4/1000)+2)*(General_Model!$D$26/A453))</f>
        <v>-9.7081867130206154E-2</v>
      </c>
      <c r="C453" s="13">
        <f t="shared" si="7"/>
        <v>0</v>
      </c>
    </row>
    <row r="454" spans="1:3" x14ac:dyDescent="0.25">
      <c r="A454" s="11">
        <v>0.45200000000000001</v>
      </c>
      <c r="B454" s="12">
        <f>(General_Model!$D$6/General_Model!$D$7)-1/(1+General_Model!$D$26/((1.2+0.2*(General_Model!$D$26/A454)+0.35*SQRT(9.80665*(General_Model!$D$4/1000))/A454)*A454))-(A454^2/(2*9.80665*General_Model!$D$7))*((4*(0.3164/((General_Model!$D$14*A454*(General_Model!$D$4/1000)/General_Model!$D$15)^0.25))*General_Model!$D$7/(General_Model!$D$4/1000)+1)+(4*(0.3164/((General_Model!$D$14*A454*(General_Model!$D$4/1000)/General_Model!$D$15)^0.25))*General_Model!$D$7/(General_Model!$D$4/1000)+2)*(General_Model!$D$26/A454))</f>
        <v>-9.760376496072895E-2</v>
      </c>
      <c r="C454" s="13">
        <f t="shared" si="7"/>
        <v>0</v>
      </c>
    </row>
    <row r="455" spans="1:3" x14ac:dyDescent="0.25">
      <c r="A455" s="11">
        <v>0.45300000000000001</v>
      </c>
      <c r="B455" s="12">
        <f>(General_Model!$D$6/General_Model!$D$7)-1/(1+General_Model!$D$26/((1.2+0.2*(General_Model!$D$26/A455)+0.35*SQRT(9.80665*(General_Model!$D$4/1000))/A455)*A455))-(A455^2/(2*9.80665*General_Model!$D$7))*((4*(0.3164/((General_Model!$D$14*A455*(General_Model!$D$4/1000)/General_Model!$D$15)^0.25))*General_Model!$D$7/(General_Model!$D$4/1000)+1)+(4*(0.3164/((General_Model!$D$14*A455*(General_Model!$D$4/1000)/General_Model!$D$15)^0.25))*General_Model!$D$7/(General_Model!$D$4/1000)+2)*(General_Model!$D$26/A455))</f>
        <v>-9.8125356144719997E-2</v>
      </c>
      <c r="C455" s="13">
        <f t="shared" si="7"/>
        <v>0</v>
      </c>
    </row>
    <row r="456" spans="1:3" x14ac:dyDescent="0.25">
      <c r="A456" s="11">
        <v>0.45400000000000001</v>
      </c>
      <c r="B456" s="12">
        <f>(General_Model!$D$6/General_Model!$D$7)-1/(1+General_Model!$D$26/((1.2+0.2*(General_Model!$D$26/A456)+0.35*SQRT(9.80665*(General_Model!$D$4/1000))/A456)*A456))-(A456^2/(2*9.80665*General_Model!$D$7))*((4*(0.3164/((General_Model!$D$14*A456*(General_Model!$D$4/1000)/General_Model!$D$15)^0.25))*General_Model!$D$7/(General_Model!$D$4/1000)+1)+(4*(0.3164/((General_Model!$D$14*A456*(General_Model!$D$4/1000)/General_Model!$D$15)^0.25))*General_Model!$D$7/(General_Model!$D$4/1000)+2)*(General_Model!$D$26/A456))</f>
        <v>-9.8646641911294283E-2</v>
      </c>
      <c r="C456" s="13">
        <f t="shared" si="7"/>
        <v>0</v>
      </c>
    </row>
    <row r="457" spans="1:3" x14ac:dyDescent="0.25">
      <c r="A457" s="11">
        <v>0.45500000000000002</v>
      </c>
      <c r="B457" s="12">
        <f>(General_Model!$D$6/General_Model!$D$7)-1/(1+General_Model!$D$26/((1.2+0.2*(General_Model!$D$26/A457)+0.35*SQRT(9.80665*(General_Model!$D$4/1000))/A457)*A457))-(A457^2/(2*9.80665*General_Model!$D$7))*((4*(0.3164/((General_Model!$D$14*A457*(General_Model!$D$4/1000)/General_Model!$D$15)^0.25))*General_Model!$D$7/(General_Model!$D$4/1000)+1)+(4*(0.3164/((General_Model!$D$14*A457*(General_Model!$D$4/1000)/General_Model!$D$15)^0.25))*General_Model!$D$7/(General_Model!$D$4/1000)+2)*(General_Model!$D$26/A457))</f>
        <v>-9.916762348543319E-2</v>
      </c>
      <c r="C457" s="13">
        <f t="shared" si="7"/>
        <v>0</v>
      </c>
    </row>
    <row r="458" spans="1:3" x14ac:dyDescent="0.25">
      <c r="A458" s="11">
        <v>0.45600000000000002</v>
      </c>
      <c r="B458" s="12">
        <f>(General_Model!$D$6/General_Model!$D$7)-1/(1+General_Model!$D$26/((1.2+0.2*(General_Model!$D$26/A458)+0.35*SQRT(9.80665*(General_Model!$D$4/1000))/A458)*A458))-(A458^2/(2*9.80665*General_Model!$D$7))*((4*(0.3164/((General_Model!$D$14*A458*(General_Model!$D$4/1000)/General_Model!$D$15)^0.25))*General_Model!$D$7/(General_Model!$D$4/1000)+1)+(4*(0.3164/((General_Model!$D$14*A458*(General_Model!$D$4/1000)/General_Model!$D$15)^0.25))*General_Model!$D$7/(General_Model!$D$4/1000)+2)*(General_Model!$D$26/A458))</f>
        <v>-9.9688302088001668E-2</v>
      </c>
      <c r="C458" s="13">
        <f t="shared" si="7"/>
        <v>0</v>
      </c>
    </row>
    <row r="459" spans="1:3" x14ac:dyDescent="0.25">
      <c r="A459" s="11">
        <v>0.45700000000000002</v>
      </c>
      <c r="B459" s="12">
        <f>(General_Model!$D$6/General_Model!$D$7)-1/(1+General_Model!$D$26/((1.2+0.2*(General_Model!$D$26/A459)+0.35*SQRT(9.80665*(General_Model!$D$4/1000))/A459)*A459))-(A459^2/(2*9.80665*General_Model!$D$7))*((4*(0.3164/((General_Model!$D$14*A459*(General_Model!$D$4/1000)/General_Model!$D$15)^0.25))*General_Model!$D$7/(General_Model!$D$4/1000)+1)+(4*(0.3164/((General_Model!$D$14*A459*(General_Model!$D$4/1000)/General_Model!$D$15)^0.25))*General_Model!$D$7/(General_Model!$D$4/1000)+2)*(General_Model!$D$26/A459))</f>
        <v>-0.1002086789357662</v>
      </c>
      <c r="C459" s="13">
        <f t="shared" si="7"/>
        <v>0</v>
      </c>
    </row>
    <row r="460" spans="1:3" x14ac:dyDescent="0.25">
      <c r="A460" s="11">
        <v>0.45800000000000002</v>
      </c>
      <c r="B460" s="12">
        <f>(General_Model!$D$6/General_Model!$D$7)-1/(1+General_Model!$D$26/((1.2+0.2*(General_Model!$D$26/A460)+0.35*SQRT(9.80665*(General_Model!$D$4/1000))/A460)*A460))-(A460^2/(2*9.80665*General_Model!$D$7))*((4*(0.3164/((General_Model!$D$14*A460*(General_Model!$D$4/1000)/General_Model!$D$15)^0.25))*General_Model!$D$7/(General_Model!$D$4/1000)+1)+(4*(0.3164/((General_Model!$D$14*A460*(General_Model!$D$4/1000)/General_Model!$D$15)^0.25))*General_Model!$D$7/(General_Model!$D$4/1000)+2)*(General_Model!$D$26/A460))</f>
        <v>-0.10072875524141184</v>
      </c>
      <c r="C460" s="13">
        <f t="shared" si="7"/>
        <v>0</v>
      </c>
    </row>
    <row r="461" spans="1:3" x14ac:dyDescent="0.25">
      <c r="A461" s="11">
        <v>0.45900000000000002</v>
      </c>
      <c r="B461" s="12">
        <f>(General_Model!$D$6/General_Model!$D$7)-1/(1+General_Model!$D$26/((1.2+0.2*(General_Model!$D$26/A461)+0.35*SQRT(9.80665*(General_Model!$D$4/1000))/A461)*A461))-(A461^2/(2*9.80665*General_Model!$D$7))*((4*(0.3164/((General_Model!$D$14*A461*(General_Model!$D$4/1000)/General_Model!$D$15)^0.25))*General_Model!$D$7/(General_Model!$D$4/1000)+1)+(4*(0.3164/((General_Model!$D$14*A461*(General_Model!$D$4/1000)/General_Model!$D$15)^0.25))*General_Model!$D$7/(General_Model!$D$4/1000)+2)*(General_Model!$D$26/A461))</f>
        <v>-0.10124853221355909</v>
      </c>
      <c r="C461" s="13">
        <f t="shared" si="7"/>
        <v>0</v>
      </c>
    </row>
    <row r="462" spans="1:3" x14ac:dyDescent="0.25">
      <c r="A462" s="11">
        <v>0.46</v>
      </c>
      <c r="B462" s="12">
        <f>(General_Model!$D$6/General_Model!$D$7)-1/(1+General_Model!$D$26/((1.2+0.2*(General_Model!$D$26/A462)+0.35*SQRT(9.80665*(General_Model!$D$4/1000))/A462)*A462))-(A462^2/(2*9.80665*General_Model!$D$7))*((4*(0.3164/((General_Model!$D$14*A462*(General_Model!$D$4/1000)/General_Model!$D$15)^0.25))*General_Model!$D$7/(General_Model!$D$4/1000)+1)+(4*(0.3164/((General_Model!$D$14*A462*(General_Model!$D$4/1000)/General_Model!$D$15)^0.25))*General_Model!$D$7/(General_Model!$D$4/1000)+2)*(General_Model!$D$26/A462))</f>
        <v>-0.10176801105678202</v>
      </c>
      <c r="C462" s="13">
        <f t="shared" si="7"/>
        <v>0</v>
      </c>
    </row>
    <row r="463" spans="1:3" x14ac:dyDescent="0.25">
      <c r="A463" s="11">
        <v>0.46100000000000002</v>
      </c>
      <c r="B463" s="12">
        <f>(General_Model!$D$6/General_Model!$D$7)-1/(1+General_Model!$D$26/((1.2+0.2*(General_Model!$D$26/A463)+0.35*SQRT(9.80665*(General_Model!$D$4/1000))/A463)*A463))-(A463^2/(2*9.80665*General_Model!$D$7))*((4*(0.3164/((General_Model!$D$14*A463*(General_Model!$D$4/1000)/General_Model!$D$15)^0.25))*General_Model!$D$7/(General_Model!$D$4/1000)+1)+(4*(0.3164/((General_Model!$D$14*A463*(General_Model!$D$4/1000)/General_Model!$D$15)^0.25))*General_Model!$D$7/(General_Model!$D$4/1000)+2)*(General_Model!$D$26/A463))</f>
        <v>-0.10228719297162447</v>
      </c>
      <c r="C463" s="13">
        <f t="shared" si="7"/>
        <v>0</v>
      </c>
    </row>
    <row r="464" spans="1:3" x14ac:dyDescent="0.25">
      <c r="A464" s="11">
        <v>0.46200000000000002</v>
      </c>
      <c r="B464" s="12">
        <f>(General_Model!$D$6/General_Model!$D$7)-1/(1+General_Model!$D$26/((1.2+0.2*(General_Model!$D$26/A464)+0.35*SQRT(9.80665*(General_Model!$D$4/1000))/A464)*A464))-(A464^2/(2*9.80665*General_Model!$D$7))*((4*(0.3164/((General_Model!$D$14*A464*(General_Model!$D$4/1000)/General_Model!$D$15)^0.25))*General_Model!$D$7/(General_Model!$D$4/1000)+1)+(4*(0.3164/((General_Model!$D$14*A464*(General_Model!$D$4/1000)/General_Model!$D$15)^0.25))*General_Model!$D$7/(General_Model!$D$4/1000)+2)*(General_Model!$D$26/A464))</f>
        <v>-0.10280607915461759</v>
      </c>
      <c r="C464" s="13">
        <f t="shared" si="7"/>
        <v>0</v>
      </c>
    </row>
    <row r="465" spans="1:3" x14ac:dyDescent="0.25">
      <c r="A465" s="11">
        <v>0.46300000000000002</v>
      </c>
      <c r="B465" s="12">
        <f>(General_Model!$D$6/General_Model!$D$7)-1/(1+General_Model!$D$26/((1.2+0.2*(General_Model!$D$26/A465)+0.35*SQRT(9.80665*(General_Model!$D$4/1000))/A465)*A465))-(A465^2/(2*9.80665*General_Model!$D$7))*((4*(0.3164/((General_Model!$D$14*A465*(General_Model!$D$4/1000)/General_Model!$D$15)^0.25))*General_Model!$D$7/(General_Model!$D$4/1000)+1)+(4*(0.3164/((General_Model!$D$14*A465*(General_Model!$D$4/1000)/General_Model!$D$15)^0.25))*General_Model!$D$7/(General_Model!$D$4/1000)+2)*(General_Model!$D$26/A465))</f>
        <v>-0.10332467079829599</v>
      </c>
      <c r="C465" s="13">
        <f t="shared" si="7"/>
        <v>0</v>
      </c>
    </row>
    <row r="466" spans="1:3" x14ac:dyDescent="0.25">
      <c r="A466" s="11">
        <v>0.46400000000000002</v>
      </c>
      <c r="B466" s="12">
        <f>(General_Model!$D$6/General_Model!$D$7)-1/(1+General_Model!$D$26/((1.2+0.2*(General_Model!$D$26/A466)+0.35*SQRT(9.80665*(General_Model!$D$4/1000))/A466)*A466))-(A466^2/(2*9.80665*General_Model!$D$7))*((4*(0.3164/((General_Model!$D$14*A466*(General_Model!$D$4/1000)/General_Model!$D$15)^0.25))*General_Model!$D$7/(General_Model!$D$4/1000)+1)+(4*(0.3164/((General_Model!$D$14*A466*(General_Model!$D$4/1000)/General_Model!$D$15)^0.25))*General_Model!$D$7/(General_Model!$D$4/1000)+2)*(General_Model!$D$26/A466))</f>
        <v>-0.10384296909121567</v>
      </c>
      <c r="C466" s="13">
        <f t="shared" si="7"/>
        <v>0</v>
      </c>
    </row>
    <row r="467" spans="1:3" x14ac:dyDescent="0.25">
      <c r="A467" s="11">
        <v>0.46500000000000002</v>
      </c>
      <c r="B467" s="12">
        <f>(General_Model!$D$6/General_Model!$D$7)-1/(1+General_Model!$D$26/((1.2+0.2*(General_Model!$D$26/A467)+0.35*SQRT(9.80665*(General_Model!$D$4/1000))/A467)*A467))-(A467^2/(2*9.80665*General_Model!$D$7))*((4*(0.3164/((General_Model!$D$14*A467*(General_Model!$D$4/1000)/General_Model!$D$15)^0.25))*General_Model!$D$7/(General_Model!$D$4/1000)+1)+(4*(0.3164/((General_Model!$D$14*A467*(General_Model!$D$4/1000)/General_Model!$D$15)^0.25))*General_Model!$D$7/(General_Model!$D$4/1000)+2)*(General_Model!$D$26/A467))</f>
        <v>-0.10436097521796975</v>
      </c>
      <c r="C467" s="13">
        <f t="shared" si="7"/>
        <v>0</v>
      </c>
    </row>
    <row r="468" spans="1:3" x14ac:dyDescent="0.25">
      <c r="A468" s="11">
        <v>0.46600000000000003</v>
      </c>
      <c r="B468" s="12">
        <f>(General_Model!$D$6/General_Model!$D$7)-1/(1+General_Model!$D$26/((1.2+0.2*(General_Model!$D$26/A468)+0.35*SQRT(9.80665*(General_Model!$D$4/1000))/A468)*A468))-(A468^2/(2*9.80665*General_Model!$D$7))*((4*(0.3164/((General_Model!$D$14*A468*(General_Model!$D$4/1000)/General_Model!$D$15)^0.25))*General_Model!$D$7/(General_Model!$D$4/1000)+1)+(4*(0.3164/((General_Model!$D$14*A468*(General_Model!$D$4/1000)/General_Model!$D$15)^0.25))*General_Model!$D$7/(General_Model!$D$4/1000)+2)*(General_Model!$D$26/A468))</f>
        <v>-0.10487869035920604</v>
      </c>
      <c r="C468" s="13">
        <f t="shared" si="7"/>
        <v>0</v>
      </c>
    </row>
    <row r="469" spans="1:3" x14ac:dyDescent="0.25">
      <c r="A469" s="11">
        <v>0.46700000000000003</v>
      </c>
      <c r="B469" s="12">
        <f>(General_Model!$D$6/General_Model!$D$7)-1/(1+General_Model!$D$26/((1.2+0.2*(General_Model!$D$26/A469)+0.35*SQRT(9.80665*(General_Model!$D$4/1000))/A469)*A469))-(A469^2/(2*9.80665*General_Model!$D$7))*((4*(0.3164/((General_Model!$D$14*A469*(General_Model!$D$4/1000)/General_Model!$D$15)^0.25))*General_Model!$D$7/(General_Model!$D$4/1000)+1)+(4*(0.3164/((General_Model!$D$14*A469*(General_Model!$D$4/1000)/General_Model!$D$15)^0.25))*General_Model!$D$7/(General_Model!$D$4/1000)+2)*(General_Model!$D$26/A469))</f>
        <v>-0.10539611569164201</v>
      </c>
      <c r="C469" s="13">
        <f t="shared" si="7"/>
        <v>0</v>
      </c>
    </row>
    <row r="470" spans="1:3" x14ac:dyDescent="0.25">
      <c r="A470" s="11">
        <v>0.46800000000000003</v>
      </c>
      <c r="B470" s="12">
        <f>(General_Model!$D$6/General_Model!$D$7)-1/(1+General_Model!$D$26/((1.2+0.2*(General_Model!$D$26/A470)+0.35*SQRT(9.80665*(General_Model!$D$4/1000))/A470)*A470))-(A470^2/(2*9.80665*General_Model!$D$7))*((4*(0.3164/((General_Model!$D$14*A470*(General_Model!$D$4/1000)/General_Model!$D$15)^0.25))*General_Model!$D$7/(General_Model!$D$4/1000)+1)+(4*(0.3164/((General_Model!$D$14*A470*(General_Model!$D$4/1000)/General_Model!$D$15)^0.25))*General_Model!$D$7/(General_Model!$D$4/1000)+2)*(General_Model!$D$26/A470))</f>
        <v>-0.10591325238808338</v>
      </c>
      <c r="C470" s="13">
        <f t="shared" si="7"/>
        <v>0</v>
      </c>
    </row>
    <row r="471" spans="1:3" x14ac:dyDescent="0.25">
      <c r="A471" s="11">
        <v>0.46899999999999997</v>
      </c>
      <c r="B471" s="12">
        <f>(General_Model!$D$6/General_Model!$D$7)-1/(1+General_Model!$D$26/((1.2+0.2*(General_Model!$D$26/A471)+0.35*SQRT(9.80665*(General_Model!$D$4/1000))/A471)*A471))-(A471^2/(2*9.80665*General_Model!$D$7))*((4*(0.3164/((General_Model!$D$14*A471*(General_Model!$D$4/1000)/General_Model!$D$15)^0.25))*General_Model!$D$7/(General_Model!$D$4/1000)+1)+(4*(0.3164/((General_Model!$D$14*A471*(General_Model!$D$4/1000)/General_Model!$D$15)^0.25))*General_Model!$D$7/(General_Model!$D$4/1000)+2)*(General_Model!$D$26/A471))</f>
        <v>-0.10643010161743867</v>
      </c>
      <c r="C471" s="13">
        <f t="shared" si="7"/>
        <v>0</v>
      </c>
    </row>
    <row r="472" spans="1:3" x14ac:dyDescent="0.25">
      <c r="A472" s="11">
        <v>0.47</v>
      </c>
      <c r="B472" s="12">
        <f>(General_Model!$D$6/General_Model!$D$7)-1/(1+General_Model!$D$26/((1.2+0.2*(General_Model!$D$26/A472)+0.35*SQRT(9.80665*(General_Model!$D$4/1000))/A472)*A472))-(A472^2/(2*9.80665*General_Model!$D$7))*((4*(0.3164/((General_Model!$D$14*A472*(General_Model!$D$4/1000)/General_Model!$D$15)^0.25))*General_Model!$D$7/(General_Model!$D$4/1000)+1)+(4*(0.3164/((General_Model!$D$14*A472*(General_Model!$D$4/1000)/General_Model!$D$15)^0.25))*General_Model!$D$7/(General_Model!$D$4/1000)+2)*(General_Model!$D$26/A472))</f>
        <v>-0.10694666454473666</v>
      </c>
      <c r="C472" s="13">
        <f t="shared" si="7"/>
        <v>0</v>
      </c>
    </row>
    <row r="473" spans="1:3" x14ac:dyDescent="0.25">
      <c r="A473" s="11">
        <v>0.47099999999999997</v>
      </c>
      <c r="B473" s="12">
        <f>(General_Model!$D$6/General_Model!$D$7)-1/(1+General_Model!$D$26/((1.2+0.2*(General_Model!$D$26/A473)+0.35*SQRT(9.80665*(General_Model!$D$4/1000))/A473)*A473))-(A473^2/(2*9.80665*General_Model!$D$7))*((4*(0.3164/((General_Model!$D$14*A473*(General_Model!$D$4/1000)/General_Model!$D$15)^0.25))*General_Model!$D$7/(General_Model!$D$4/1000)+1)+(4*(0.3164/((General_Model!$D$14*A473*(General_Model!$D$4/1000)/General_Model!$D$15)^0.25))*General_Model!$D$7/(General_Model!$D$4/1000)+2)*(General_Model!$D$26/A473))</f>
        <v>-0.10746294233114198</v>
      </c>
      <c r="C473" s="13">
        <f t="shared" si="7"/>
        <v>0</v>
      </c>
    </row>
    <row r="474" spans="1:3" x14ac:dyDescent="0.25">
      <c r="A474" s="11">
        <v>0.47199999999999998</v>
      </c>
      <c r="B474" s="12">
        <f>(General_Model!$D$6/General_Model!$D$7)-1/(1+General_Model!$D$26/((1.2+0.2*(General_Model!$D$26/A474)+0.35*SQRT(9.80665*(General_Model!$D$4/1000))/A474)*A474))-(A474^2/(2*9.80665*General_Model!$D$7))*((4*(0.3164/((General_Model!$D$14*A474*(General_Model!$D$4/1000)/General_Model!$D$15)^0.25))*General_Model!$D$7/(General_Model!$D$4/1000)+1)+(4*(0.3164/((General_Model!$D$14*A474*(General_Model!$D$4/1000)/General_Model!$D$15)^0.25))*General_Model!$D$7/(General_Model!$D$4/1000)+2)*(General_Model!$D$26/A474))</f>
        <v>-0.10797893613397118</v>
      </c>
      <c r="C474" s="13">
        <f t="shared" si="7"/>
        <v>0</v>
      </c>
    </row>
    <row r="475" spans="1:3" x14ac:dyDescent="0.25">
      <c r="A475" s="11">
        <v>0.47299999999999998</v>
      </c>
      <c r="B475" s="12">
        <f>(General_Model!$D$6/General_Model!$D$7)-1/(1+General_Model!$D$26/((1.2+0.2*(General_Model!$D$26/A475)+0.35*SQRT(9.80665*(General_Model!$D$4/1000))/A475)*A475))-(A475^2/(2*9.80665*General_Model!$D$7))*((4*(0.3164/((General_Model!$D$14*A475*(General_Model!$D$4/1000)/General_Model!$D$15)^0.25))*General_Model!$D$7/(General_Model!$D$4/1000)+1)+(4*(0.3164/((General_Model!$D$14*A475*(General_Model!$D$4/1000)/General_Model!$D$15)^0.25))*General_Model!$D$7/(General_Model!$D$4/1000)+2)*(General_Model!$D$26/A475))</f>
        <v>-0.10849464710670939</v>
      </c>
      <c r="C475" s="13">
        <f t="shared" si="7"/>
        <v>0</v>
      </c>
    </row>
    <row r="476" spans="1:3" x14ac:dyDescent="0.25">
      <c r="A476" s="11">
        <v>0.47399999999999998</v>
      </c>
      <c r="B476" s="12">
        <f>(General_Model!$D$6/General_Model!$D$7)-1/(1+General_Model!$D$26/((1.2+0.2*(General_Model!$D$26/A476)+0.35*SQRT(9.80665*(General_Model!$D$4/1000))/A476)*A476))-(A476^2/(2*9.80665*General_Model!$D$7))*((4*(0.3164/((General_Model!$D$14*A476*(General_Model!$D$4/1000)/General_Model!$D$15)^0.25))*General_Model!$D$7/(General_Model!$D$4/1000)+1)+(4*(0.3164/((General_Model!$D$14*A476*(General_Model!$D$4/1000)/General_Model!$D$15)^0.25))*General_Model!$D$7/(General_Model!$D$4/1000)+2)*(General_Model!$D$26/A476))</f>
        <v>-0.10901007639902581</v>
      </c>
      <c r="C476" s="13">
        <f t="shared" si="7"/>
        <v>0</v>
      </c>
    </row>
    <row r="477" spans="1:3" x14ac:dyDescent="0.25">
      <c r="A477" s="11">
        <v>0.47499999999999998</v>
      </c>
      <c r="B477" s="12">
        <f>(General_Model!$D$6/General_Model!$D$7)-1/(1+General_Model!$D$26/((1.2+0.2*(General_Model!$D$26/A477)+0.35*SQRT(9.80665*(General_Model!$D$4/1000))/A477)*A477))-(A477^2/(2*9.80665*General_Model!$D$7))*((4*(0.3164/((General_Model!$D$14*A477*(General_Model!$D$4/1000)/General_Model!$D$15)^0.25))*General_Model!$D$7/(General_Model!$D$4/1000)+1)+(4*(0.3164/((General_Model!$D$14*A477*(General_Model!$D$4/1000)/General_Model!$D$15)^0.25))*General_Model!$D$7/(General_Model!$D$4/1000)+2)*(General_Model!$D$26/A477))</f>
        <v>-0.10952522515678949</v>
      </c>
      <c r="C477" s="13">
        <f t="shared" si="7"/>
        <v>0</v>
      </c>
    </row>
    <row r="478" spans="1:3" x14ac:dyDescent="0.25">
      <c r="A478" s="11">
        <v>0.47599999999999998</v>
      </c>
      <c r="B478" s="12">
        <f>(General_Model!$D$6/General_Model!$D$7)-1/(1+General_Model!$D$26/((1.2+0.2*(General_Model!$D$26/A478)+0.35*SQRT(9.80665*(General_Model!$D$4/1000))/A478)*A478))-(A478^2/(2*9.80665*General_Model!$D$7))*((4*(0.3164/((General_Model!$D$14*A478*(General_Model!$D$4/1000)/General_Model!$D$15)^0.25))*General_Model!$D$7/(General_Model!$D$4/1000)+1)+(4*(0.3164/((General_Model!$D$14*A478*(General_Model!$D$4/1000)/General_Model!$D$15)^0.25))*General_Model!$D$7/(General_Model!$D$4/1000)+2)*(General_Model!$D$26/A478))</f>
        <v>-0.11004009452208552</v>
      </c>
      <c r="C478" s="13">
        <f t="shared" si="7"/>
        <v>0</v>
      </c>
    </row>
    <row r="479" spans="1:3" x14ac:dyDescent="0.25">
      <c r="A479" s="11">
        <v>0.47699999999999998</v>
      </c>
      <c r="B479" s="12">
        <f>(General_Model!$D$6/General_Model!$D$7)-1/(1+General_Model!$D$26/((1.2+0.2*(General_Model!$D$26/A479)+0.35*SQRT(9.80665*(General_Model!$D$4/1000))/A479)*A479))-(A479^2/(2*9.80665*General_Model!$D$7))*((4*(0.3164/((General_Model!$D$14*A479*(General_Model!$D$4/1000)/General_Model!$D$15)^0.25))*General_Model!$D$7/(General_Model!$D$4/1000)+1)+(4*(0.3164/((General_Model!$D$14*A479*(General_Model!$D$4/1000)/General_Model!$D$15)^0.25))*General_Model!$D$7/(General_Model!$D$4/1000)+2)*(General_Model!$D$26/A479))</f>
        <v>-0.1105546856332303</v>
      </c>
      <c r="C479" s="13">
        <f t="shared" si="7"/>
        <v>0</v>
      </c>
    </row>
    <row r="480" spans="1:3" x14ac:dyDescent="0.25">
      <c r="A480" s="11">
        <v>0.47799999999999998</v>
      </c>
      <c r="B480" s="12">
        <f>(General_Model!$D$6/General_Model!$D$7)-1/(1+General_Model!$D$26/((1.2+0.2*(General_Model!$D$26/A480)+0.35*SQRT(9.80665*(General_Model!$D$4/1000))/A480)*A480))-(A480^2/(2*9.80665*General_Model!$D$7))*((4*(0.3164/((General_Model!$D$14*A480*(General_Model!$D$4/1000)/General_Model!$D$15)^0.25))*General_Model!$D$7/(General_Model!$D$4/1000)+1)+(4*(0.3164/((General_Model!$D$14*A480*(General_Model!$D$4/1000)/General_Model!$D$15)^0.25))*General_Model!$D$7/(General_Model!$D$4/1000)+2)*(General_Model!$D$26/A480))</f>
        <v>-0.11106899962478758</v>
      </c>
      <c r="C480" s="13">
        <f t="shared" si="7"/>
        <v>0</v>
      </c>
    </row>
    <row r="481" spans="1:3" x14ac:dyDescent="0.25">
      <c r="A481" s="11">
        <v>0.47899999999999998</v>
      </c>
      <c r="B481" s="12">
        <f>(General_Model!$D$6/General_Model!$D$7)-1/(1+General_Model!$D$26/((1.2+0.2*(General_Model!$D$26/A481)+0.35*SQRT(9.80665*(General_Model!$D$4/1000))/A481)*A481))-(A481^2/(2*9.80665*General_Model!$D$7))*((4*(0.3164/((General_Model!$D$14*A481*(General_Model!$D$4/1000)/General_Model!$D$15)^0.25))*General_Model!$D$7/(General_Model!$D$4/1000)+1)+(4*(0.3164/((General_Model!$D$14*A481*(General_Model!$D$4/1000)/General_Model!$D$15)^0.25))*General_Model!$D$7/(General_Model!$D$4/1000)+2)*(General_Model!$D$26/A481))</f>
        <v>-0.11158303762758345</v>
      </c>
      <c r="C481" s="13">
        <f t="shared" si="7"/>
        <v>0</v>
      </c>
    </row>
    <row r="482" spans="1:3" x14ac:dyDescent="0.25">
      <c r="A482" s="11">
        <v>0.48</v>
      </c>
      <c r="B482" s="12">
        <f>(General_Model!$D$6/General_Model!$D$7)-1/(1+General_Model!$D$26/((1.2+0.2*(General_Model!$D$26/A482)+0.35*SQRT(9.80665*(General_Model!$D$4/1000))/A482)*A482))-(A482^2/(2*9.80665*General_Model!$D$7))*((4*(0.3164/((General_Model!$D$14*A482*(General_Model!$D$4/1000)/General_Model!$D$15)^0.25))*General_Model!$D$7/(General_Model!$D$4/1000)+1)+(4*(0.3164/((General_Model!$D$14*A482*(General_Model!$D$4/1000)/General_Model!$D$15)^0.25))*General_Model!$D$7/(General_Model!$D$4/1000)+2)*(General_Model!$D$26/A482))</f>
        <v>-0.11209680076872286</v>
      </c>
      <c r="C482" s="13">
        <f t="shared" si="7"/>
        <v>0</v>
      </c>
    </row>
    <row r="483" spans="1:3" x14ac:dyDescent="0.25">
      <c r="A483" s="11">
        <v>0.48099999999999998</v>
      </c>
      <c r="B483" s="12">
        <f>(General_Model!$D$6/General_Model!$D$7)-1/(1+General_Model!$D$26/((1.2+0.2*(General_Model!$D$26/A483)+0.35*SQRT(9.80665*(General_Model!$D$4/1000))/A483)*A483))-(A483^2/(2*9.80665*General_Model!$D$7))*((4*(0.3164/((General_Model!$D$14*A483*(General_Model!$D$4/1000)/General_Model!$D$15)^0.25))*General_Model!$D$7/(General_Model!$D$4/1000)+1)+(4*(0.3164/((General_Model!$D$14*A483*(General_Model!$D$4/1000)/General_Model!$D$15)^0.25))*General_Model!$D$7/(General_Model!$D$4/1000)+2)*(General_Model!$D$26/A483))</f>
        <v>-0.11261029017160373</v>
      </c>
      <c r="C483" s="13">
        <f t="shared" si="7"/>
        <v>0</v>
      </c>
    </row>
    <row r="484" spans="1:3" x14ac:dyDescent="0.25">
      <c r="A484" s="11">
        <v>0.48199999999999998</v>
      </c>
      <c r="B484" s="12">
        <f>(General_Model!$D$6/General_Model!$D$7)-1/(1+General_Model!$D$26/((1.2+0.2*(General_Model!$D$26/A484)+0.35*SQRT(9.80665*(General_Model!$D$4/1000))/A484)*A484))-(A484^2/(2*9.80665*General_Model!$D$7))*((4*(0.3164/((General_Model!$D$14*A484*(General_Model!$D$4/1000)/General_Model!$D$15)^0.25))*General_Model!$D$7/(General_Model!$D$4/1000)+1)+(4*(0.3164/((General_Model!$D$14*A484*(General_Model!$D$4/1000)/General_Model!$D$15)^0.25))*General_Model!$D$7/(General_Model!$D$4/1000)+2)*(General_Model!$D$26/A484))</f>
        <v>-0.11312350695593301</v>
      </c>
      <c r="C484" s="13">
        <f t="shared" si="7"/>
        <v>0</v>
      </c>
    </row>
    <row r="485" spans="1:3" x14ac:dyDescent="0.25">
      <c r="A485" s="11">
        <v>0.48299999999999998</v>
      </c>
      <c r="B485" s="12">
        <f>(General_Model!$D$6/General_Model!$D$7)-1/(1+General_Model!$D$26/((1.2+0.2*(General_Model!$D$26/A485)+0.35*SQRT(9.80665*(General_Model!$D$4/1000))/A485)*A485))-(A485^2/(2*9.80665*General_Model!$D$7))*((4*(0.3164/((General_Model!$D$14*A485*(General_Model!$D$4/1000)/General_Model!$D$15)^0.25))*General_Model!$D$7/(General_Model!$D$4/1000)+1)+(4*(0.3164/((General_Model!$D$14*A485*(General_Model!$D$4/1000)/General_Model!$D$15)^0.25))*General_Model!$D$7/(General_Model!$D$4/1000)+2)*(General_Model!$D$26/A485))</f>
        <v>-0.11363645223774212</v>
      </c>
      <c r="C485" s="13">
        <f t="shared" si="7"/>
        <v>0</v>
      </c>
    </row>
    <row r="486" spans="1:3" x14ac:dyDescent="0.25">
      <c r="A486" s="11">
        <v>0.48399999999999999</v>
      </c>
      <c r="B486" s="12">
        <f>(General_Model!$D$6/General_Model!$D$7)-1/(1+General_Model!$D$26/((1.2+0.2*(General_Model!$D$26/A486)+0.35*SQRT(9.80665*(General_Model!$D$4/1000))/A486)*A486))-(A486^2/(2*9.80665*General_Model!$D$7))*((4*(0.3164/((General_Model!$D$14*A486*(General_Model!$D$4/1000)/General_Model!$D$15)^0.25))*General_Model!$D$7/(General_Model!$D$4/1000)+1)+(4*(0.3164/((General_Model!$D$14*A486*(General_Model!$D$4/1000)/General_Model!$D$15)^0.25))*General_Model!$D$7/(General_Model!$D$4/1000)+2)*(General_Model!$D$26/A486))</f>
        <v>-0.11414912712940137</v>
      </c>
      <c r="C486" s="13">
        <f t="shared" si="7"/>
        <v>0</v>
      </c>
    </row>
    <row r="487" spans="1:3" x14ac:dyDescent="0.25">
      <c r="A487" s="11">
        <v>0.48499999999999999</v>
      </c>
      <c r="B487" s="12">
        <f>(General_Model!$D$6/General_Model!$D$7)-1/(1+General_Model!$D$26/((1.2+0.2*(General_Model!$D$26/A487)+0.35*SQRT(9.80665*(General_Model!$D$4/1000))/A487)*A487))-(A487^2/(2*9.80665*General_Model!$D$7))*((4*(0.3164/((General_Model!$D$14*A487*(General_Model!$D$4/1000)/General_Model!$D$15)^0.25))*General_Model!$D$7/(General_Model!$D$4/1000)+1)+(4*(0.3164/((General_Model!$D$14*A487*(General_Model!$D$4/1000)/General_Model!$D$15)^0.25))*General_Model!$D$7/(General_Model!$D$4/1000)+2)*(General_Model!$D$26/A487))</f>
        <v>-0.11466153273963532</v>
      </c>
      <c r="C487" s="13">
        <f t="shared" si="7"/>
        <v>0</v>
      </c>
    </row>
    <row r="488" spans="1:3" x14ac:dyDescent="0.25">
      <c r="A488" s="11">
        <v>0.48599999999999999</v>
      </c>
      <c r="B488" s="12">
        <f>(General_Model!$D$6/General_Model!$D$7)-1/(1+General_Model!$D$26/((1.2+0.2*(General_Model!$D$26/A488)+0.35*SQRT(9.80665*(General_Model!$D$4/1000))/A488)*A488))-(A488^2/(2*9.80665*General_Model!$D$7))*((4*(0.3164/((General_Model!$D$14*A488*(General_Model!$D$4/1000)/General_Model!$D$15)^0.25))*General_Model!$D$7/(General_Model!$D$4/1000)+1)+(4*(0.3164/((General_Model!$D$14*A488*(General_Model!$D$4/1000)/General_Model!$D$15)^0.25))*General_Model!$D$7/(General_Model!$D$4/1000)+2)*(General_Model!$D$26/A488))</f>
        <v>-0.11517367017353844</v>
      </c>
      <c r="C488" s="13">
        <f t="shared" si="7"/>
        <v>0</v>
      </c>
    </row>
    <row r="489" spans="1:3" x14ac:dyDescent="0.25">
      <c r="A489" s="11">
        <v>0.48699999999999999</v>
      </c>
      <c r="B489" s="12">
        <f>(General_Model!$D$6/General_Model!$D$7)-1/(1+General_Model!$D$26/((1.2+0.2*(General_Model!$D$26/A489)+0.35*SQRT(9.80665*(General_Model!$D$4/1000))/A489)*A489))-(A489^2/(2*9.80665*General_Model!$D$7))*((4*(0.3164/((General_Model!$D$14*A489*(General_Model!$D$4/1000)/General_Model!$D$15)^0.25))*General_Model!$D$7/(General_Model!$D$4/1000)+1)+(4*(0.3164/((General_Model!$D$14*A489*(General_Model!$D$4/1000)/General_Model!$D$15)^0.25))*General_Model!$D$7/(General_Model!$D$4/1000)+2)*(General_Model!$D$26/A489))</f>
        <v>-0.115685540532589</v>
      </c>
      <c r="C489" s="13">
        <f t="shared" si="7"/>
        <v>0</v>
      </c>
    </row>
    <row r="490" spans="1:3" x14ac:dyDescent="0.25">
      <c r="A490" s="11">
        <v>0.48799999999999999</v>
      </c>
      <c r="B490" s="12">
        <f>(General_Model!$D$6/General_Model!$D$7)-1/(1+General_Model!$D$26/((1.2+0.2*(General_Model!$D$26/A490)+0.35*SQRT(9.80665*(General_Model!$D$4/1000))/A490)*A490))-(A490^2/(2*9.80665*General_Model!$D$7))*((4*(0.3164/((General_Model!$D$14*A490*(General_Model!$D$4/1000)/General_Model!$D$15)^0.25))*General_Model!$D$7/(General_Model!$D$4/1000)+1)+(4*(0.3164/((General_Model!$D$14*A490*(General_Model!$D$4/1000)/General_Model!$D$15)^0.25))*General_Model!$D$7/(General_Model!$D$4/1000)+2)*(General_Model!$D$26/A490))</f>
        <v>-0.11619714491466468</v>
      </c>
      <c r="C490" s="13">
        <f t="shared" si="7"/>
        <v>0</v>
      </c>
    </row>
    <row r="491" spans="1:3" x14ac:dyDescent="0.25">
      <c r="A491" s="11">
        <v>0.48899999999999999</v>
      </c>
      <c r="B491" s="12">
        <f>(General_Model!$D$6/General_Model!$D$7)-1/(1+General_Model!$D$26/((1.2+0.2*(General_Model!$D$26/A491)+0.35*SQRT(9.80665*(General_Model!$D$4/1000))/A491)*A491))-(A491^2/(2*9.80665*General_Model!$D$7))*((4*(0.3164/((General_Model!$D$14*A491*(General_Model!$D$4/1000)/General_Model!$D$15)^0.25))*General_Model!$D$7/(General_Model!$D$4/1000)+1)+(4*(0.3164/((General_Model!$D$14*A491*(General_Model!$D$4/1000)/General_Model!$D$15)^0.25))*General_Model!$D$7/(General_Model!$D$4/1000)+2)*(General_Model!$D$26/A491))</f>
        <v>-0.11670848441405708</v>
      </c>
      <c r="C491" s="13">
        <f t="shared" si="7"/>
        <v>0</v>
      </c>
    </row>
    <row r="492" spans="1:3" x14ac:dyDescent="0.25">
      <c r="A492" s="11">
        <v>0.49</v>
      </c>
      <c r="B492" s="12">
        <f>(General_Model!$D$6/General_Model!$D$7)-1/(1+General_Model!$D$26/((1.2+0.2*(General_Model!$D$26/A492)+0.35*SQRT(9.80665*(General_Model!$D$4/1000))/A492)*A492))-(A492^2/(2*9.80665*General_Model!$D$7))*((4*(0.3164/((General_Model!$D$14*A492*(General_Model!$D$4/1000)/General_Model!$D$15)^0.25))*General_Model!$D$7/(General_Model!$D$4/1000)+1)+(4*(0.3164/((General_Model!$D$14*A492*(General_Model!$D$4/1000)/General_Model!$D$15)^0.25))*General_Model!$D$7/(General_Model!$D$4/1000)+2)*(General_Model!$D$26/A492))</f>
        <v>-0.1172195601214862</v>
      </c>
      <c r="C492" s="13">
        <f t="shared" si="7"/>
        <v>0</v>
      </c>
    </row>
    <row r="493" spans="1:3" x14ac:dyDescent="0.25">
      <c r="A493" s="11">
        <v>0.49099999999999999</v>
      </c>
      <c r="B493" s="12">
        <f>(General_Model!$D$6/General_Model!$D$7)-1/(1+General_Model!$D$26/((1.2+0.2*(General_Model!$D$26/A493)+0.35*SQRT(9.80665*(General_Model!$D$4/1000))/A493)*A493))-(A493^2/(2*9.80665*General_Model!$D$7))*((4*(0.3164/((General_Model!$D$14*A493*(General_Model!$D$4/1000)/General_Model!$D$15)^0.25))*General_Model!$D$7/(General_Model!$D$4/1000)+1)+(4*(0.3164/((General_Model!$D$14*A493*(General_Model!$D$4/1000)/General_Model!$D$15)^0.25))*General_Model!$D$7/(General_Model!$D$4/1000)+2)*(General_Model!$D$26/A493))</f>
        <v>-0.11773037312411563</v>
      </c>
      <c r="C493" s="13">
        <f t="shared" si="7"/>
        <v>0</v>
      </c>
    </row>
    <row r="494" spans="1:3" x14ac:dyDescent="0.25">
      <c r="A494" s="11">
        <v>0.49199999999999999</v>
      </c>
      <c r="B494" s="12">
        <f>(General_Model!$D$6/General_Model!$D$7)-1/(1+General_Model!$D$26/((1.2+0.2*(General_Model!$D$26/A494)+0.35*SQRT(9.80665*(General_Model!$D$4/1000))/A494)*A494))-(A494^2/(2*9.80665*General_Model!$D$7))*((4*(0.3164/((General_Model!$D$14*A494*(General_Model!$D$4/1000)/General_Model!$D$15)^0.25))*General_Model!$D$7/(General_Model!$D$4/1000)+1)+(4*(0.3164/((General_Model!$D$14*A494*(General_Model!$D$4/1000)/General_Model!$D$15)^0.25))*General_Model!$D$7/(General_Model!$D$4/1000)+2)*(General_Model!$D$26/A494))</f>
        <v>-0.11824092450556623</v>
      </c>
      <c r="C494" s="13">
        <f t="shared" si="7"/>
        <v>0</v>
      </c>
    </row>
    <row r="495" spans="1:3" x14ac:dyDescent="0.25">
      <c r="A495" s="11">
        <v>0.49299999999999999</v>
      </c>
      <c r="B495" s="12">
        <f>(General_Model!$D$6/General_Model!$D$7)-1/(1+General_Model!$D$26/((1.2+0.2*(General_Model!$D$26/A495)+0.35*SQRT(9.80665*(General_Model!$D$4/1000))/A495)*A495))-(A495^2/(2*9.80665*General_Model!$D$7))*((4*(0.3164/((General_Model!$D$14*A495*(General_Model!$D$4/1000)/General_Model!$D$15)^0.25))*General_Model!$D$7/(General_Model!$D$4/1000)+1)+(4*(0.3164/((General_Model!$D$14*A495*(General_Model!$D$4/1000)/General_Model!$D$15)^0.25))*General_Model!$D$7/(General_Model!$D$4/1000)+2)*(General_Model!$D$26/A495))</f>
        <v>-0.11875121534593198</v>
      </c>
      <c r="C495" s="13">
        <f t="shared" si="7"/>
        <v>0</v>
      </c>
    </row>
    <row r="496" spans="1:3" x14ac:dyDescent="0.25">
      <c r="A496" s="11">
        <v>0.49399999999999999</v>
      </c>
      <c r="B496" s="12">
        <f>(General_Model!$D$6/General_Model!$D$7)-1/(1+General_Model!$D$26/((1.2+0.2*(General_Model!$D$26/A496)+0.35*SQRT(9.80665*(General_Model!$D$4/1000))/A496)*A496))-(A496^2/(2*9.80665*General_Model!$D$7))*((4*(0.3164/((General_Model!$D$14*A496*(General_Model!$D$4/1000)/General_Model!$D$15)^0.25))*General_Model!$D$7/(General_Model!$D$4/1000)+1)+(4*(0.3164/((General_Model!$D$14*A496*(General_Model!$D$4/1000)/General_Model!$D$15)^0.25))*General_Model!$D$7/(General_Model!$D$4/1000)+2)*(General_Model!$D$26/A496))</f>
        <v>-0.11926124672179271</v>
      </c>
      <c r="C496" s="13">
        <f t="shared" si="7"/>
        <v>0</v>
      </c>
    </row>
    <row r="497" spans="1:3" x14ac:dyDescent="0.25">
      <c r="A497" s="11">
        <v>0.495</v>
      </c>
      <c r="B497" s="12">
        <f>(General_Model!$D$6/General_Model!$D$7)-1/(1+General_Model!$D$26/((1.2+0.2*(General_Model!$D$26/A497)+0.35*SQRT(9.80665*(General_Model!$D$4/1000))/A497)*A497))-(A497^2/(2*9.80665*General_Model!$D$7))*((4*(0.3164/((General_Model!$D$14*A497*(General_Model!$D$4/1000)/General_Model!$D$15)^0.25))*General_Model!$D$7/(General_Model!$D$4/1000)+1)+(4*(0.3164/((General_Model!$D$14*A497*(General_Model!$D$4/1000)/General_Model!$D$15)^0.25))*General_Model!$D$7/(General_Model!$D$4/1000)+2)*(General_Model!$D$26/A497))</f>
        <v>-0.11977101970622976</v>
      </c>
      <c r="C497" s="13">
        <f t="shared" si="7"/>
        <v>0</v>
      </c>
    </row>
    <row r="498" spans="1:3" x14ac:dyDescent="0.25">
      <c r="A498" s="11">
        <v>0.496</v>
      </c>
      <c r="B498" s="12">
        <f>(General_Model!$D$6/General_Model!$D$7)-1/(1+General_Model!$D$26/((1.2+0.2*(General_Model!$D$26/A498)+0.35*SQRT(9.80665*(General_Model!$D$4/1000))/A498)*A498))-(A498^2/(2*9.80665*General_Model!$D$7))*((4*(0.3164/((General_Model!$D$14*A498*(General_Model!$D$4/1000)/General_Model!$D$15)^0.25))*General_Model!$D$7/(General_Model!$D$4/1000)+1)+(4*(0.3164/((General_Model!$D$14*A498*(General_Model!$D$4/1000)/General_Model!$D$15)^0.25))*General_Model!$D$7/(General_Model!$D$4/1000)+2)*(General_Model!$D$26/A498))</f>
        <v>-0.12028053536883968</v>
      </c>
      <c r="C498" s="13">
        <f t="shared" si="7"/>
        <v>0</v>
      </c>
    </row>
    <row r="499" spans="1:3" x14ac:dyDescent="0.25">
      <c r="A499" s="11">
        <v>0.497</v>
      </c>
      <c r="B499" s="12">
        <f>(General_Model!$D$6/General_Model!$D$7)-1/(1+General_Model!$D$26/((1.2+0.2*(General_Model!$D$26/A499)+0.35*SQRT(9.80665*(General_Model!$D$4/1000))/A499)*A499))-(A499^2/(2*9.80665*General_Model!$D$7))*((4*(0.3164/((General_Model!$D$14*A499*(General_Model!$D$4/1000)/General_Model!$D$15)^0.25))*General_Model!$D$7/(General_Model!$D$4/1000)+1)+(4*(0.3164/((General_Model!$D$14*A499*(General_Model!$D$4/1000)/General_Model!$D$15)^0.25))*General_Model!$D$7/(General_Model!$D$4/1000)+2)*(General_Model!$D$26/A499))</f>
        <v>-0.12078979477574837</v>
      </c>
      <c r="C499" s="13">
        <f t="shared" si="7"/>
        <v>0</v>
      </c>
    </row>
    <row r="500" spans="1:3" x14ac:dyDescent="0.25">
      <c r="A500" s="11">
        <v>0.498</v>
      </c>
      <c r="B500" s="12">
        <f>(General_Model!$D$6/General_Model!$D$7)-1/(1+General_Model!$D$26/((1.2+0.2*(General_Model!$D$26/A500)+0.35*SQRT(9.80665*(General_Model!$D$4/1000))/A500)*A500))-(A500^2/(2*9.80665*General_Model!$D$7))*((4*(0.3164/((General_Model!$D$14*A500*(General_Model!$D$4/1000)/General_Model!$D$15)^0.25))*General_Model!$D$7/(General_Model!$D$4/1000)+1)+(4*(0.3164/((General_Model!$D$14*A500*(General_Model!$D$4/1000)/General_Model!$D$15)^0.25))*General_Model!$D$7/(General_Model!$D$4/1000)+2)*(General_Model!$D$26/A500))</f>
        <v>-0.12129879898962566</v>
      </c>
      <c r="C500" s="13">
        <f t="shared" si="7"/>
        <v>0</v>
      </c>
    </row>
    <row r="501" spans="1:3" x14ac:dyDescent="0.25">
      <c r="A501" s="11">
        <v>0.499</v>
      </c>
      <c r="B501" s="12">
        <f>(General_Model!$D$6/General_Model!$D$7)-1/(1+General_Model!$D$26/((1.2+0.2*(General_Model!$D$26/A501)+0.35*SQRT(9.80665*(General_Model!$D$4/1000))/A501)*A501))-(A501^2/(2*9.80665*General_Model!$D$7))*((4*(0.3164/((General_Model!$D$14*A501*(General_Model!$D$4/1000)/General_Model!$D$15)^0.25))*General_Model!$D$7/(General_Model!$D$4/1000)+1)+(4*(0.3164/((General_Model!$D$14*A501*(General_Model!$D$4/1000)/General_Model!$D$15)^0.25))*General_Model!$D$7/(General_Model!$D$4/1000)+2)*(General_Model!$D$26/A501))</f>
        <v>-0.12180754906969841</v>
      </c>
      <c r="C501" s="13">
        <f t="shared" si="7"/>
        <v>0</v>
      </c>
    </row>
    <row r="502" spans="1:3" x14ac:dyDescent="0.25">
      <c r="A502" s="11">
        <v>0.5</v>
      </c>
      <c r="B502" s="12">
        <f>(General_Model!$D$6/General_Model!$D$7)-1/(1+General_Model!$D$26/((1.2+0.2*(General_Model!$D$26/A502)+0.35*SQRT(9.80665*(General_Model!$D$4/1000))/A502)*A502))-(A502^2/(2*9.80665*General_Model!$D$7))*((4*(0.3164/((General_Model!$D$14*A502*(General_Model!$D$4/1000)/General_Model!$D$15)^0.25))*General_Model!$D$7/(General_Model!$D$4/1000)+1)+(4*(0.3164/((General_Model!$D$14*A502*(General_Model!$D$4/1000)/General_Model!$D$15)^0.25))*General_Model!$D$7/(General_Model!$D$4/1000)+2)*(General_Model!$D$26/A502))</f>
        <v>-0.12231604607176583</v>
      </c>
      <c r="C502" s="13">
        <f t="shared" si="7"/>
        <v>0</v>
      </c>
    </row>
    <row r="503" spans="1:3" x14ac:dyDescent="0.25">
      <c r="A503" s="11">
        <v>0.501</v>
      </c>
      <c r="B503" s="12">
        <f>(General_Model!$D$6/General_Model!$D$7)-1/(1+General_Model!$D$26/((1.2+0.2*(General_Model!$D$26/A503)+0.35*SQRT(9.80665*(General_Model!$D$4/1000))/A503)*A503))-(A503^2/(2*9.80665*General_Model!$D$7))*((4*(0.3164/((General_Model!$D$14*A503*(General_Model!$D$4/1000)/General_Model!$D$15)^0.25))*General_Model!$D$7/(General_Model!$D$4/1000)+1)+(4*(0.3164/((General_Model!$D$14*A503*(General_Model!$D$4/1000)/General_Model!$D$15)^0.25))*General_Model!$D$7/(General_Model!$D$4/1000)+2)*(General_Model!$D$26/A503))</f>
        <v>-0.12282429104821217</v>
      </c>
      <c r="C503" s="13">
        <f t="shared" si="7"/>
        <v>0</v>
      </c>
    </row>
    <row r="504" spans="1:3" x14ac:dyDescent="0.25">
      <c r="A504" s="11">
        <v>0.502</v>
      </c>
      <c r="B504" s="12">
        <f>(General_Model!$D$6/General_Model!$D$7)-1/(1+General_Model!$D$26/((1.2+0.2*(General_Model!$D$26/A504)+0.35*SQRT(9.80665*(General_Model!$D$4/1000))/A504)*A504))-(A504^2/(2*9.80665*General_Model!$D$7))*((4*(0.3164/((General_Model!$D$14*A504*(General_Model!$D$4/1000)/General_Model!$D$15)^0.25))*General_Model!$D$7/(General_Model!$D$4/1000)+1)+(4*(0.3164/((General_Model!$D$14*A504*(General_Model!$D$4/1000)/General_Model!$D$15)^0.25))*General_Model!$D$7/(General_Model!$D$4/1000)+2)*(General_Model!$D$26/A504))</f>
        <v>-0.1233322850480213</v>
      </c>
      <c r="C504" s="13">
        <f t="shared" si="7"/>
        <v>0</v>
      </c>
    </row>
    <row r="505" spans="1:3" x14ac:dyDescent="0.25">
      <c r="A505" s="11">
        <v>0.503</v>
      </c>
      <c r="B505" s="12">
        <f>(General_Model!$D$6/General_Model!$D$7)-1/(1+General_Model!$D$26/((1.2+0.2*(General_Model!$D$26/A505)+0.35*SQRT(9.80665*(General_Model!$D$4/1000))/A505)*A505))-(A505^2/(2*9.80665*General_Model!$D$7))*((4*(0.3164/((General_Model!$D$14*A505*(General_Model!$D$4/1000)/General_Model!$D$15)^0.25))*General_Model!$D$7/(General_Model!$D$4/1000)+1)+(4*(0.3164/((General_Model!$D$14*A505*(General_Model!$D$4/1000)/General_Model!$D$15)^0.25))*General_Model!$D$7/(General_Model!$D$4/1000)+2)*(General_Model!$D$26/A505))</f>
        <v>-0.12384002911679029</v>
      </c>
      <c r="C505" s="13">
        <f t="shared" si="7"/>
        <v>0</v>
      </c>
    </row>
    <row r="506" spans="1:3" x14ac:dyDescent="0.25">
      <c r="A506" s="11">
        <v>0.504</v>
      </c>
      <c r="B506" s="12">
        <f>(General_Model!$D$6/General_Model!$D$7)-1/(1+General_Model!$D$26/((1.2+0.2*(General_Model!$D$26/A506)+0.35*SQRT(9.80665*(General_Model!$D$4/1000))/A506)*A506))-(A506^2/(2*9.80665*General_Model!$D$7))*((4*(0.3164/((General_Model!$D$14*A506*(General_Model!$D$4/1000)/General_Model!$D$15)^0.25))*General_Model!$D$7/(General_Model!$D$4/1000)+1)+(4*(0.3164/((General_Model!$D$14*A506*(General_Model!$D$4/1000)/General_Model!$D$15)^0.25))*General_Model!$D$7/(General_Model!$D$4/1000)+2)*(General_Model!$D$26/A506))</f>
        <v>-0.12434752429674276</v>
      </c>
      <c r="C506" s="13">
        <f t="shared" si="7"/>
        <v>0</v>
      </c>
    </row>
    <row r="507" spans="1:3" x14ac:dyDescent="0.25">
      <c r="A507" s="11">
        <v>0.505</v>
      </c>
      <c r="B507" s="12">
        <f>(General_Model!$D$6/General_Model!$D$7)-1/(1+General_Model!$D$26/((1.2+0.2*(General_Model!$D$26/A507)+0.35*SQRT(9.80665*(General_Model!$D$4/1000))/A507)*A507))-(A507^2/(2*9.80665*General_Model!$D$7))*((4*(0.3164/((General_Model!$D$14*A507*(General_Model!$D$4/1000)/General_Model!$D$15)^0.25))*General_Model!$D$7/(General_Model!$D$4/1000)+1)+(4*(0.3164/((General_Model!$D$14*A507*(General_Model!$D$4/1000)/General_Model!$D$15)^0.25))*General_Model!$D$7/(General_Model!$D$4/1000)+2)*(General_Model!$D$26/A507))</f>
        <v>-0.12485477162674304</v>
      </c>
      <c r="C507" s="13">
        <f t="shared" si="7"/>
        <v>0</v>
      </c>
    </row>
    <row r="508" spans="1:3" x14ac:dyDescent="0.25">
      <c r="A508" s="11">
        <v>0.50600000000000001</v>
      </c>
      <c r="B508" s="12">
        <f>(General_Model!$D$6/General_Model!$D$7)-1/(1+General_Model!$D$26/((1.2+0.2*(General_Model!$D$26/A508)+0.35*SQRT(9.80665*(General_Model!$D$4/1000))/A508)*A508))-(A508^2/(2*9.80665*General_Model!$D$7))*((4*(0.3164/((General_Model!$D$14*A508*(General_Model!$D$4/1000)/General_Model!$D$15)^0.25))*General_Model!$D$7/(General_Model!$D$4/1000)+1)+(4*(0.3164/((General_Model!$D$14*A508*(General_Model!$D$4/1000)/General_Model!$D$15)^0.25))*General_Model!$D$7/(General_Model!$D$4/1000)+2)*(General_Model!$D$26/A508))</f>
        <v>-0.12536177214230954</v>
      </c>
      <c r="C508" s="13">
        <f t="shared" si="7"/>
        <v>0</v>
      </c>
    </row>
    <row r="509" spans="1:3" x14ac:dyDescent="0.25">
      <c r="A509" s="11">
        <v>0.50700000000000001</v>
      </c>
      <c r="B509" s="12">
        <f>(General_Model!$D$6/General_Model!$D$7)-1/(1+General_Model!$D$26/((1.2+0.2*(General_Model!$D$26/A509)+0.35*SQRT(9.80665*(General_Model!$D$4/1000))/A509)*A509))-(A509^2/(2*9.80665*General_Model!$D$7))*((4*(0.3164/((General_Model!$D$14*A509*(General_Model!$D$4/1000)/General_Model!$D$15)^0.25))*General_Model!$D$7/(General_Model!$D$4/1000)+1)+(4*(0.3164/((General_Model!$D$14*A509*(General_Model!$D$4/1000)/General_Model!$D$15)^0.25))*General_Model!$D$7/(General_Model!$D$4/1000)+2)*(General_Model!$D$26/A509))</f>
        <v>-0.12586852687562822</v>
      </c>
      <c r="C509" s="13">
        <f t="shared" si="7"/>
        <v>0</v>
      </c>
    </row>
    <row r="510" spans="1:3" x14ac:dyDescent="0.25">
      <c r="A510" s="11">
        <v>0.50800000000000001</v>
      </c>
      <c r="B510" s="12">
        <f>(General_Model!$D$6/General_Model!$D$7)-1/(1+General_Model!$D$26/((1.2+0.2*(General_Model!$D$26/A510)+0.35*SQRT(9.80665*(General_Model!$D$4/1000))/A510)*A510))-(A510^2/(2*9.80665*General_Model!$D$7))*((4*(0.3164/((General_Model!$D$14*A510*(General_Model!$D$4/1000)/General_Model!$D$15)^0.25))*General_Model!$D$7/(General_Model!$D$4/1000)+1)+(4*(0.3164/((General_Model!$D$14*A510*(General_Model!$D$4/1000)/General_Model!$D$15)^0.25))*General_Model!$D$7/(General_Model!$D$4/1000)+2)*(General_Model!$D$26/A510))</f>
        <v>-0.12637503685556567</v>
      </c>
      <c r="C510" s="13">
        <f t="shared" si="7"/>
        <v>0</v>
      </c>
    </row>
    <row r="511" spans="1:3" x14ac:dyDescent="0.25">
      <c r="A511" s="11">
        <v>0.50900000000000001</v>
      </c>
      <c r="B511" s="12">
        <f>(General_Model!$D$6/General_Model!$D$7)-1/(1+General_Model!$D$26/((1.2+0.2*(General_Model!$D$26/A511)+0.35*SQRT(9.80665*(General_Model!$D$4/1000))/A511)*A511))-(A511^2/(2*9.80665*General_Model!$D$7))*((4*(0.3164/((General_Model!$D$14*A511*(General_Model!$D$4/1000)/General_Model!$D$15)^0.25))*General_Model!$D$7/(General_Model!$D$4/1000)+1)+(4*(0.3164/((General_Model!$D$14*A511*(General_Model!$D$4/1000)/General_Model!$D$15)^0.25))*General_Model!$D$7/(General_Model!$D$4/1000)+2)*(General_Model!$D$26/A511))</f>
        <v>-0.12688130310768356</v>
      </c>
      <c r="C511" s="13">
        <f t="shared" si="7"/>
        <v>0</v>
      </c>
    </row>
    <row r="512" spans="1:3" x14ac:dyDescent="0.25">
      <c r="A512" s="11">
        <v>0.51</v>
      </c>
      <c r="B512" s="12">
        <f>(General_Model!$D$6/General_Model!$D$7)-1/(1+General_Model!$D$26/((1.2+0.2*(General_Model!$D$26/A512)+0.35*SQRT(9.80665*(General_Model!$D$4/1000))/A512)*A512))-(A512^2/(2*9.80665*General_Model!$D$7))*((4*(0.3164/((General_Model!$D$14*A512*(General_Model!$D$4/1000)/General_Model!$D$15)^0.25))*General_Model!$D$7/(General_Model!$D$4/1000)+1)+(4*(0.3164/((General_Model!$D$14*A512*(General_Model!$D$4/1000)/General_Model!$D$15)^0.25))*General_Model!$D$7/(General_Model!$D$4/1000)+2)*(General_Model!$D$26/A512))</f>
        <v>-0.12738732665425045</v>
      </c>
      <c r="C512" s="13">
        <f t="shared" si="7"/>
        <v>0</v>
      </c>
    </row>
    <row r="513" spans="1:3" x14ac:dyDescent="0.25">
      <c r="A513" s="11">
        <v>0.51100000000000001</v>
      </c>
      <c r="B513" s="12">
        <f>(General_Model!$D$6/General_Model!$D$7)-1/(1+General_Model!$D$26/((1.2+0.2*(General_Model!$D$26/A513)+0.35*SQRT(9.80665*(General_Model!$D$4/1000))/A513)*A513))-(A513^2/(2*9.80665*General_Model!$D$7))*((4*(0.3164/((General_Model!$D$14*A513*(General_Model!$D$4/1000)/General_Model!$D$15)^0.25))*General_Model!$D$7/(General_Model!$D$4/1000)+1)+(4*(0.3164/((General_Model!$D$14*A513*(General_Model!$D$4/1000)/General_Model!$D$15)^0.25))*General_Model!$D$7/(General_Model!$D$4/1000)+2)*(General_Model!$D$26/A513))</f>
        <v>-0.12789310851425623</v>
      </c>
      <c r="C513" s="13">
        <f t="shared" si="7"/>
        <v>0</v>
      </c>
    </row>
    <row r="514" spans="1:3" x14ac:dyDescent="0.25">
      <c r="A514" s="11">
        <v>0.51200000000000001</v>
      </c>
      <c r="B514" s="12">
        <f>(General_Model!$D$6/General_Model!$D$7)-1/(1+General_Model!$D$26/((1.2+0.2*(General_Model!$D$26/A514)+0.35*SQRT(9.80665*(General_Model!$D$4/1000))/A514)*A514))-(A514^2/(2*9.80665*General_Model!$D$7))*((4*(0.3164/((General_Model!$D$14*A514*(General_Model!$D$4/1000)/General_Model!$D$15)^0.25))*General_Model!$D$7/(General_Model!$D$4/1000)+1)+(4*(0.3164/((General_Model!$D$14*A514*(General_Model!$D$4/1000)/General_Model!$D$15)^0.25))*General_Model!$D$7/(General_Model!$D$4/1000)+2)*(General_Model!$D$26/A514))</f>
        <v>-0.12839864970342479</v>
      </c>
      <c r="C514" s="13">
        <f t="shared" si="7"/>
        <v>0</v>
      </c>
    </row>
    <row r="515" spans="1:3" x14ac:dyDescent="0.25">
      <c r="A515" s="11">
        <v>0.51300000000000001</v>
      </c>
      <c r="B515" s="12">
        <f>(General_Model!$D$6/General_Model!$D$7)-1/(1+General_Model!$D$26/((1.2+0.2*(General_Model!$D$26/A515)+0.35*SQRT(9.80665*(General_Model!$D$4/1000))/A515)*A515))-(A515^2/(2*9.80665*General_Model!$D$7))*((4*(0.3164/((General_Model!$D$14*A515*(General_Model!$D$4/1000)/General_Model!$D$15)^0.25))*General_Model!$D$7/(General_Model!$D$4/1000)+1)+(4*(0.3164/((General_Model!$D$14*A515*(General_Model!$D$4/1000)/General_Model!$D$15)^0.25))*General_Model!$D$7/(General_Model!$D$4/1000)+2)*(General_Model!$D$26/A515))</f>
        <v>-0.12890395123422704</v>
      </c>
      <c r="C515" s="13">
        <f t="shared" ref="C515:C578" si="8">IF(B515*B516&lt;=0,1,0)</f>
        <v>0</v>
      </c>
    </row>
    <row r="516" spans="1:3" x14ac:dyDescent="0.25">
      <c r="A516" s="11">
        <v>0.51400000000000001</v>
      </c>
      <c r="B516" s="12">
        <f>(General_Model!$D$6/General_Model!$D$7)-1/(1+General_Model!$D$26/((1.2+0.2*(General_Model!$D$26/A516)+0.35*SQRT(9.80665*(General_Model!$D$4/1000))/A516)*A516))-(A516^2/(2*9.80665*General_Model!$D$7))*((4*(0.3164/((General_Model!$D$14*A516*(General_Model!$D$4/1000)/General_Model!$D$15)^0.25))*General_Model!$D$7/(General_Model!$D$4/1000)+1)+(4*(0.3164/((General_Model!$D$14*A516*(General_Model!$D$4/1000)/General_Model!$D$15)^0.25))*General_Model!$D$7/(General_Model!$D$4/1000)+2)*(General_Model!$D$26/A516))</f>
        <v>-0.12940901411589401</v>
      </c>
      <c r="C516" s="13">
        <f t="shared" si="8"/>
        <v>0</v>
      </c>
    </row>
    <row r="517" spans="1:3" x14ac:dyDescent="0.25">
      <c r="A517" s="11">
        <v>0.51500000000000001</v>
      </c>
      <c r="B517" s="12">
        <f>(General_Model!$D$6/General_Model!$D$7)-1/(1+General_Model!$D$26/((1.2+0.2*(General_Model!$D$26/A517)+0.35*SQRT(9.80665*(General_Model!$D$4/1000))/A517)*A517))-(A517^2/(2*9.80665*General_Model!$D$7))*((4*(0.3164/((General_Model!$D$14*A517*(General_Model!$D$4/1000)/General_Model!$D$15)^0.25))*General_Model!$D$7/(General_Model!$D$4/1000)+1)+(4*(0.3164/((General_Model!$D$14*A517*(General_Model!$D$4/1000)/General_Model!$D$15)^0.25))*General_Model!$D$7/(General_Model!$D$4/1000)+2)*(General_Model!$D$26/A517))</f>
        <v>-0.12991383935443027</v>
      </c>
      <c r="C517" s="13">
        <f t="shared" si="8"/>
        <v>0</v>
      </c>
    </row>
    <row r="518" spans="1:3" x14ac:dyDescent="0.25">
      <c r="A518" s="11">
        <v>0.51600000000000001</v>
      </c>
      <c r="B518" s="12">
        <f>(General_Model!$D$6/General_Model!$D$7)-1/(1+General_Model!$D$26/((1.2+0.2*(General_Model!$D$26/A518)+0.35*SQRT(9.80665*(General_Model!$D$4/1000))/A518)*A518))-(A518^2/(2*9.80665*General_Model!$D$7))*((4*(0.3164/((General_Model!$D$14*A518*(General_Model!$D$4/1000)/General_Model!$D$15)^0.25))*General_Model!$D$7/(General_Model!$D$4/1000)+1)+(4*(0.3164/((General_Model!$D$14*A518*(General_Model!$D$4/1000)/General_Model!$D$15)^0.25))*General_Model!$D$7/(General_Model!$D$4/1000)+2)*(General_Model!$D$26/A518))</f>
        <v>-0.13041842795262629</v>
      </c>
      <c r="C518" s="13">
        <f t="shared" si="8"/>
        <v>0</v>
      </c>
    </row>
    <row r="519" spans="1:3" x14ac:dyDescent="0.25">
      <c r="A519" s="11">
        <v>0.51700000000000002</v>
      </c>
      <c r="B519" s="12">
        <f>(General_Model!$D$6/General_Model!$D$7)-1/(1+General_Model!$D$26/((1.2+0.2*(General_Model!$D$26/A519)+0.35*SQRT(9.80665*(General_Model!$D$4/1000))/A519)*A519))-(A519^2/(2*9.80665*General_Model!$D$7))*((4*(0.3164/((General_Model!$D$14*A519*(General_Model!$D$4/1000)/General_Model!$D$15)^0.25))*General_Model!$D$7/(General_Model!$D$4/1000)+1)+(4*(0.3164/((General_Model!$D$14*A519*(General_Model!$D$4/1000)/General_Model!$D$15)^0.25))*General_Model!$D$7/(General_Model!$D$4/1000)+2)*(General_Model!$D$26/A519))</f>
        <v>-0.1309227809100712</v>
      </c>
      <c r="C519" s="13">
        <f t="shared" si="8"/>
        <v>0</v>
      </c>
    </row>
    <row r="520" spans="1:3" x14ac:dyDescent="0.25">
      <c r="A520" s="11">
        <v>0.51800000000000002</v>
      </c>
      <c r="B520" s="12">
        <f>(General_Model!$D$6/General_Model!$D$7)-1/(1+General_Model!$D$26/((1.2+0.2*(General_Model!$D$26/A520)+0.35*SQRT(9.80665*(General_Model!$D$4/1000))/A520)*A520))-(A520^2/(2*9.80665*General_Model!$D$7))*((4*(0.3164/((General_Model!$D$14*A520*(General_Model!$D$4/1000)/General_Model!$D$15)^0.25))*General_Model!$D$7/(General_Model!$D$4/1000)+1)+(4*(0.3164/((General_Model!$D$14*A520*(General_Model!$D$4/1000)/General_Model!$D$15)^0.25))*General_Model!$D$7/(General_Model!$D$4/1000)+2)*(General_Model!$D$26/A520))</f>
        <v>-0.13142689922316603</v>
      </c>
      <c r="C520" s="13">
        <f t="shared" si="8"/>
        <v>0</v>
      </c>
    </row>
    <row r="521" spans="1:3" x14ac:dyDescent="0.25">
      <c r="A521" s="11">
        <v>0.51900000000000002</v>
      </c>
      <c r="B521" s="12">
        <f>(General_Model!$D$6/General_Model!$D$7)-1/(1+General_Model!$D$26/((1.2+0.2*(General_Model!$D$26/A521)+0.35*SQRT(9.80665*(General_Model!$D$4/1000))/A521)*A521))-(A521^2/(2*9.80665*General_Model!$D$7))*((4*(0.3164/((General_Model!$D$14*A521*(General_Model!$D$4/1000)/General_Model!$D$15)^0.25))*General_Model!$D$7/(General_Model!$D$4/1000)+1)+(4*(0.3164/((General_Model!$D$14*A521*(General_Model!$D$4/1000)/General_Model!$D$15)^0.25))*General_Model!$D$7/(General_Model!$D$4/1000)+2)*(General_Model!$D$26/A521))</f>
        <v>-0.13193078388513654</v>
      </c>
      <c r="C521" s="13">
        <f t="shared" si="8"/>
        <v>0</v>
      </c>
    </row>
    <row r="522" spans="1:3" x14ac:dyDescent="0.25">
      <c r="A522" s="11">
        <v>0.52</v>
      </c>
      <c r="B522" s="12">
        <f>(General_Model!$D$6/General_Model!$D$7)-1/(1+General_Model!$D$26/((1.2+0.2*(General_Model!$D$26/A522)+0.35*SQRT(9.80665*(General_Model!$D$4/1000))/A522)*A522))-(A522^2/(2*9.80665*General_Model!$D$7))*((4*(0.3164/((General_Model!$D$14*A522*(General_Model!$D$4/1000)/General_Model!$D$15)^0.25))*General_Model!$D$7/(General_Model!$D$4/1000)+1)+(4*(0.3164/((General_Model!$D$14*A522*(General_Model!$D$4/1000)/General_Model!$D$15)^0.25))*General_Model!$D$7/(General_Model!$D$4/1000)+2)*(General_Model!$D$26/A522))</f>
        <v>-0.13243443588604531</v>
      </c>
      <c r="C522" s="13">
        <f t="shared" si="8"/>
        <v>0</v>
      </c>
    </row>
    <row r="523" spans="1:3" x14ac:dyDescent="0.25">
      <c r="A523" s="11">
        <v>0.52100000000000002</v>
      </c>
      <c r="B523" s="12">
        <f>(General_Model!$D$6/General_Model!$D$7)-1/(1+General_Model!$D$26/((1.2+0.2*(General_Model!$D$26/A523)+0.35*SQRT(9.80665*(General_Model!$D$4/1000))/A523)*A523))-(A523^2/(2*9.80665*General_Model!$D$7))*((4*(0.3164/((General_Model!$D$14*A523*(General_Model!$D$4/1000)/General_Model!$D$15)^0.25))*General_Model!$D$7/(General_Model!$D$4/1000)+1)+(4*(0.3164/((General_Model!$D$14*A523*(General_Model!$D$4/1000)/General_Model!$D$15)^0.25))*General_Model!$D$7/(General_Model!$D$4/1000)+2)*(General_Model!$D$26/A523))</f>
        <v>-0.13293785621280446</v>
      </c>
      <c r="C523" s="13">
        <f t="shared" si="8"/>
        <v>0</v>
      </c>
    </row>
    <row r="524" spans="1:3" x14ac:dyDescent="0.25">
      <c r="A524" s="11">
        <v>0.52200000000000002</v>
      </c>
      <c r="B524" s="12">
        <f>(General_Model!$D$6/General_Model!$D$7)-1/(1+General_Model!$D$26/((1.2+0.2*(General_Model!$D$26/A524)+0.35*SQRT(9.80665*(General_Model!$D$4/1000))/A524)*A524))-(A524^2/(2*9.80665*General_Model!$D$7))*((4*(0.3164/((General_Model!$D$14*A524*(General_Model!$D$4/1000)/General_Model!$D$15)^0.25))*General_Model!$D$7/(General_Model!$D$4/1000)+1)+(4*(0.3164/((General_Model!$D$14*A524*(General_Model!$D$4/1000)/General_Model!$D$15)^0.25))*General_Model!$D$7/(General_Model!$D$4/1000)+2)*(General_Model!$D$26/A524))</f>
        <v>-0.13344104584918859</v>
      </c>
      <c r="C524" s="13">
        <f t="shared" si="8"/>
        <v>0</v>
      </c>
    </row>
    <row r="525" spans="1:3" x14ac:dyDescent="0.25">
      <c r="A525" s="11">
        <v>0.52300000000000002</v>
      </c>
      <c r="B525" s="12">
        <f>(General_Model!$D$6/General_Model!$D$7)-1/(1+General_Model!$D$26/((1.2+0.2*(General_Model!$D$26/A525)+0.35*SQRT(9.80665*(General_Model!$D$4/1000))/A525)*A525))-(A525^2/(2*9.80665*General_Model!$D$7))*((4*(0.3164/((General_Model!$D$14*A525*(General_Model!$D$4/1000)/General_Model!$D$15)^0.25))*General_Model!$D$7/(General_Model!$D$4/1000)+1)+(4*(0.3164/((General_Model!$D$14*A525*(General_Model!$D$4/1000)/General_Model!$D$15)^0.25))*General_Model!$D$7/(General_Model!$D$4/1000)+2)*(General_Model!$D$26/A525))</f>
        <v>-0.13394400577584689</v>
      </c>
      <c r="C525" s="13">
        <f t="shared" si="8"/>
        <v>0</v>
      </c>
    </row>
    <row r="526" spans="1:3" x14ac:dyDescent="0.25">
      <c r="A526" s="11">
        <v>0.52400000000000002</v>
      </c>
      <c r="B526" s="12">
        <f>(General_Model!$D$6/General_Model!$D$7)-1/(1+General_Model!$D$26/((1.2+0.2*(General_Model!$D$26/A526)+0.35*SQRT(9.80665*(General_Model!$D$4/1000))/A526)*A526))-(A526^2/(2*9.80665*General_Model!$D$7))*((4*(0.3164/((General_Model!$D$14*A526*(General_Model!$D$4/1000)/General_Model!$D$15)^0.25))*General_Model!$D$7/(General_Model!$D$4/1000)+1)+(4*(0.3164/((General_Model!$D$14*A526*(General_Model!$D$4/1000)/General_Model!$D$15)^0.25))*General_Model!$D$7/(General_Model!$D$4/1000)+2)*(General_Model!$D$26/A526))</f>
        <v>-0.13444673697031573</v>
      </c>
      <c r="C526" s="13">
        <f t="shared" si="8"/>
        <v>0</v>
      </c>
    </row>
    <row r="527" spans="1:3" x14ac:dyDescent="0.25">
      <c r="A527" s="11">
        <v>0.52500000000000002</v>
      </c>
      <c r="B527" s="12">
        <f>(General_Model!$D$6/General_Model!$D$7)-1/(1+General_Model!$D$26/((1.2+0.2*(General_Model!$D$26/A527)+0.35*SQRT(9.80665*(General_Model!$D$4/1000))/A527)*A527))-(A527^2/(2*9.80665*General_Model!$D$7))*((4*(0.3164/((General_Model!$D$14*A527*(General_Model!$D$4/1000)/General_Model!$D$15)^0.25))*General_Model!$D$7/(General_Model!$D$4/1000)+1)+(4*(0.3164/((General_Model!$D$14*A527*(General_Model!$D$4/1000)/General_Model!$D$15)^0.25))*General_Model!$D$7/(General_Model!$D$4/1000)+2)*(General_Model!$D$26/A527))</f>
        <v>-0.13494924040703088</v>
      </c>
      <c r="C527" s="13">
        <f t="shared" si="8"/>
        <v>0</v>
      </c>
    </row>
    <row r="528" spans="1:3" x14ac:dyDescent="0.25">
      <c r="A528" s="11">
        <v>0.52600000000000002</v>
      </c>
      <c r="B528" s="12">
        <f>(General_Model!$D$6/General_Model!$D$7)-1/(1+General_Model!$D$26/((1.2+0.2*(General_Model!$D$26/A528)+0.35*SQRT(9.80665*(General_Model!$D$4/1000))/A528)*A528))-(A528^2/(2*9.80665*General_Model!$D$7))*((4*(0.3164/((General_Model!$D$14*A528*(General_Model!$D$4/1000)/General_Model!$D$15)^0.25))*General_Model!$D$7/(General_Model!$D$4/1000)+1)+(4*(0.3164/((General_Model!$D$14*A528*(General_Model!$D$4/1000)/General_Model!$D$15)^0.25))*General_Model!$D$7/(General_Model!$D$4/1000)+2)*(General_Model!$D$26/A528))</f>
        <v>-0.13545151705734024</v>
      </c>
      <c r="C528" s="13">
        <f t="shared" si="8"/>
        <v>0</v>
      </c>
    </row>
    <row r="529" spans="1:3" x14ac:dyDescent="0.25">
      <c r="A529" s="11">
        <v>0.52700000000000002</v>
      </c>
      <c r="B529" s="12">
        <f>(General_Model!$D$6/General_Model!$D$7)-1/(1+General_Model!$D$26/((1.2+0.2*(General_Model!$D$26/A529)+0.35*SQRT(9.80665*(General_Model!$D$4/1000))/A529)*A529))-(A529^2/(2*9.80665*General_Model!$D$7))*((4*(0.3164/((General_Model!$D$14*A529*(General_Model!$D$4/1000)/General_Model!$D$15)^0.25))*General_Model!$D$7/(General_Model!$D$4/1000)+1)+(4*(0.3164/((General_Model!$D$14*A529*(General_Model!$D$4/1000)/General_Model!$D$15)^0.25))*General_Model!$D$7/(General_Model!$D$4/1000)+2)*(General_Model!$D$26/A529))</f>
        <v>-0.13595356788951496</v>
      </c>
      <c r="C529" s="13">
        <f t="shared" si="8"/>
        <v>0</v>
      </c>
    </row>
    <row r="530" spans="1:3" x14ac:dyDescent="0.25">
      <c r="A530" s="11">
        <v>0.52800000000000002</v>
      </c>
      <c r="B530" s="12">
        <f>(General_Model!$D$6/General_Model!$D$7)-1/(1+General_Model!$D$26/((1.2+0.2*(General_Model!$D$26/A530)+0.35*SQRT(9.80665*(General_Model!$D$4/1000))/A530)*A530))-(A530^2/(2*9.80665*General_Model!$D$7))*((4*(0.3164/((General_Model!$D$14*A530*(General_Model!$D$4/1000)/General_Model!$D$15)^0.25))*General_Model!$D$7/(General_Model!$D$4/1000)+1)+(4*(0.3164/((General_Model!$D$14*A530*(General_Model!$D$4/1000)/General_Model!$D$15)^0.25))*General_Model!$D$7/(General_Model!$D$4/1000)+2)*(General_Model!$D$26/A530))</f>
        <v>-0.13645539386876321</v>
      </c>
      <c r="C530" s="13">
        <f t="shared" si="8"/>
        <v>0</v>
      </c>
    </row>
    <row r="531" spans="1:3" x14ac:dyDescent="0.25">
      <c r="A531" s="11">
        <v>0.52900000000000003</v>
      </c>
      <c r="B531" s="12">
        <f>(General_Model!$D$6/General_Model!$D$7)-1/(1+General_Model!$D$26/((1.2+0.2*(General_Model!$D$26/A531)+0.35*SQRT(9.80665*(General_Model!$D$4/1000))/A531)*A531))-(A531^2/(2*9.80665*General_Model!$D$7))*((4*(0.3164/((General_Model!$D$14*A531*(General_Model!$D$4/1000)/General_Model!$D$15)^0.25))*General_Model!$D$7/(General_Model!$D$4/1000)+1)+(4*(0.3164/((General_Model!$D$14*A531*(General_Model!$D$4/1000)/General_Model!$D$15)^0.25))*General_Model!$D$7/(General_Model!$D$4/1000)+2)*(General_Model!$D$26/A531))</f>
        <v>-0.13695699595724078</v>
      </c>
      <c r="C531" s="13">
        <f t="shared" si="8"/>
        <v>0</v>
      </c>
    </row>
    <row r="532" spans="1:3" x14ac:dyDescent="0.25">
      <c r="A532" s="11">
        <v>0.53</v>
      </c>
      <c r="B532" s="12">
        <f>(General_Model!$D$6/General_Model!$D$7)-1/(1+General_Model!$D$26/((1.2+0.2*(General_Model!$D$26/A532)+0.35*SQRT(9.80665*(General_Model!$D$4/1000))/A532)*A532))-(A532^2/(2*9.80665*General_Model!$D$7))*((4*(0.3164/((General_Model!$D$14*A532*(General_Model!$D$4/1000)/General_Model!$D$15)^0.25))*General_Model!$D$7/(General_Model!$D$4/1000)+1)+(4*(0.3164/((General_Model!$D$14*A532*(General_Model!$D$4/1000)/General_Model!$D$15)^0.25))*General_Model!$D$7/(General_Model!$D$4/1000)+2)*(General_Model!$D$26/A532))</f>
        <v>-0.13745837511406417</v>
      </c>
      <c r="C532" s="13">
        <f t="shared" si="8"/>
        <v>0</v>
      </c>
    </row>
    <row r="533" spans="1:3" x14ac:dyDescent="0.25">
      <c r="A533" s="11">
        <v>0.53100000000000003</v>
      </c>
      <c r="B533" s="12">
        <f>(General_Model!$D$6/General_Model!$D$7)-1/(1+General_Model!$D$26/((1.2+0.2*(General_Model!$D$26/A533)+0.35*SQRT(9.80665*(General_Model!$D$4/1000))/A533)*A533))-(A533^2/(2*9.80665*General_Model!$D$7))*((4*(0.3164/((General_Model!$D$14*A533*(General_Model!$D$4/1000)/General_Model!$D$15)^0.25))*General_Model!$D$7/(General_Model!$D$4/1000)+1)+(4*(0.3164/((General_Model!$D$14*A533*(General_Model!$D$4/1000)/General_Model!$D$15)^0.25))*General_Model!$D$7/(General_Model!$D$4/1000)+2)*(General_Model!$D$26/A533))</f>
        <v>-0.13795953229532221</v>
      </c>
      <c r="C533" s="13">
        <f t="shared" si="8"/>
        <v>0</v>
      </c>
    </row>
    <row r="534" spans="1:3" x14ac:dyDescent="0.25">
      <c r="A534" s="11">
        <v>0.53200000000000003</v>
      </c>
      <c r="B534" s="12">
        <f>(General_Model!$D$6/General_Model!$D$7)-1/(1+General_Model!$D$26/((1.2+0.2*(General_Model!$D$26/A534)+0.35*SQRT(9.80665*(General_Model!$D$4/1000))/A534)*A534))-(A534^2/(2*9.80665*General_Model!$D$7))*((4*(0.3164/((General_Model!$D$14*A534*(General_Model!$D$4/1000)/General_Model!$D$15)^0.25))*General_Model!$D$7/(General_Model!$D$4/1000)+1)+(4*(0.3164/((General_Model!$D$14*A534*(General_Model!$D$4/1000)/General_Model!$D$15)^0.25))*General_Model!$D$7/(General_Model!$D$4/1000)+2)*(General_Model!$D$26/A534))</f>
        <v>-0.13846046845408816</v>
      </c>
      <c r="C534" s="13">
        <f t="shared" si="8"/>
        <v>0</v>
      </c>
    </row>
    <row r="535" spans="1:3" x14ac:dyDescent="0.25">
      <c r="A535" s="11">
        <v>0.53300000000000003</v>
      </c>
      <c r="B535" s="12">
        <f>(General_Model!$D$6/General_Model!$D$7)-1/(1+General_Model!$D$26/((1.2+0.2*(General_Model!$D$26/A535)+0.35*SQRT(9.80665*(General_Model!$D$4/1000))/A535)*A535))-(A535^2/(2*9.80665*General_Model!$D$7))*((4*(0.3164/((General_Model!$D$14*A535*(General_Model!$D$4/1000)/General_Model!$D$15)^0.25))*General_Model!$D$7/(General_Model!$D$4/1000)+1)+(4*(0.3164/((General_Model!$D$14*A535*(General_Model!$D$4/1000)/General_Model!$D$15)^0.25))*General_Model!$D$7/(General_Model!$D$4/1000)+2)*(General_Model!$D$26/A535))</f>
        <v>-0.13896118454043083</v>
      </c>
      <c r="C535" s="13">
        <f t="shared" si="8"/>
        <v>0</v>
      </c>
    </row>
    <row r="536" spans="1:3" x14ac:dyDescent="0.25">
      <c r="A536" s="11">
        <v>0.53400000000000003</v>
      </c>
      <c r="B536" s="12">
        <f>(General_Model!$D$6/General_Model!$D$7)-1/(1+General_Model!$D$26/((1.2+0.2*(General_Model!$D$26/A536)+0.35*SQRT(9.80665*(General_Model!$D$4/1000))/A536)*A536))-(A536^2/(2*9.80665*General_Model!$D$7))*((4*(0.3164/((General_Model!$D$14*A536*(General_Model!$D$4/1000)/General_Model!$D$15)^0.25))*General_Model!$D$7/(General_Model!$D$4/1000)+1)+(4*(0.3164/((General_Model!$D$14*A536*(General_Model!$D$4/1000)/General_Model!$D$15)^0.25))*General_Model!$D$7/(General_Model!$D$4/1000)+2)*(General_Model!$D$26/A536))</f>
        <v>-0.13946168150142754</v>
      </c>
      <c r="C536" s="13">
        <f t="shared" si="8"/>
        <v>0</v>
      </c>
    </row>
    <row r="537" spans="1:3" x14ac:dyDescent="0.25">
      <c r="A537" s="11">
        <v>0.53500000000000003</v>
      </c>
      <c r="B537" s="12">
        <f>(General_Model!$D$6/General_Model!$D$7)-1/(1+General_Model!$D$26/((1.2+0.2*(General_Model!$D$26/A537)+0.35*SQRT(9.80665*(General_Model!$D$4/1000))/A537)*A537))-(A537^2/(2*9.80665*General_Model!$D$7))*((4*(0.3164/((General_Model!$D$14*A537*(General_Model!$D$4/1000)/General_Model!$D$15)^0.25))*General_Model!$D$7/(General_Model!$D$4/1000)+1)+(4*(0.3164/((General_Model!$D$14*A537*(General_Model!$D$4/1000)/General_Model!$D$15)^0.25))*General_Model!$D$7/(General_Model!$D$4/1000)+2)*(General_Model!$D$26/A537))</f>
        <v>-0.13996196028117591</v>
      </c>
      <c r="C537" s="13">
        <f t="shared" si="8"/>
        <v>0</v>
      </c>
    </row>
    <row r="538" spans="1:3" x14ac:dyDescent="0.25">
      <c r="A538" s="11">
        <v>0.53600000000000003</v>
      </c>
      <c r="B538" s="12">
        <f>(General_Model!$D$6/General_Model!$D$7)-1/(1+General_Model!$D$26/((1.2+0.2*(General_Model!$D$26/A538)+0.35*SQRT(9.80665*(General_Model!$D$4/1000))/A538)*A538))-(A538^2/(2*9.80665*General_Model!$D$7))*((4*(0.3164/((General_Model!$D$14*A538*(General_Model!$D$4/1000)/General_Model!$D$15)^0.25))*General_Model!$D$7/(General_Model!$D$4/1000)+1)+(4*(0.3164/((General_Model!$D$14*A538*(General_Model!$D$4/1000)/General_Model!$D$15)^0.25))*General_Model!$D$7/(General_Model!$D$4/1000)+2)*(General_Model!$D$26/A538))</f>
        <v>-0.14046202182080378</v>
      </c>
      <c r="C538" s="13">
        <f t="shared" si="8"/>
        <v>0</v>
      </c>
    </row>
    <row r="539" spans="1:3" x14ac:dyDescent="0.25">
      <c r="A539" s="11">
        <v>0.53700000000000003</v>
      </c>
      <c r="B539" s="12">
        <f>(General_Model!$D$6/General_Model!$D$7)-1/(1+General_Model!$D$26/((1.2+0.2*(General_Model!$D$26/A539)+0.35*SQRT(9.80665*(General_Model!$D$4/1000))/A539)*A539))-(A539^2/(2*9.80665*General_Model!$D$7))*((4*(0.3164/((General_Model!$D$14*A539*(General_Model!$D$4/1000)/General_Model!$D$15)^0.25))*General_Model!$D$7/(General_Model!$D$4/1000)+1)+(4*(0.3164/((General_Model!$D$14*A539*(General_Model!$D$4/1000)/General_Model!$D$15)^0.25))*General_Model!$D$7/(General_Model!$D$4/1000)+2)*(General_Model!$D$26/A539))</f>
        <v>-0.14096186705848307</v>
      </c>
      <c r="C539" s="13">
        <f t="shared" si="8"/>
        <v>0</v>
      </c>
    </row>
    <row r="540" spans="1:3" x14ac:dyDescent="0.25">
      <c r="A540" s="11">
        <v>0.53800000000000003</v>
      </c>
      <c r="B540" s="12">
        <f>(General_Model!$D$6/General_Model!$D$7)-1/(1+General_Model!$D$26/((1.2+0.2*(General_Model!$D$26/A540)+0.35*SQRT(9.80665*(General_Model!$D$4/1000))/A540)*A540))-(A540^2/(2*9.80665*General_Model!$D$7))*((4*(0.3164/((General_Model!$D$14*A540*(General_Model!$D$4/1000)/General_Model!$D$15)^0.25))*General_Model!$D$7/(General_Model!$D$4/1000)+1)+(4*(0.3164/((General_Model!$D$14*A540*(General_Model!$D$4/1000)/General_Model!$D$15)^0.25))*General_Model!$D$7/(General_Model!$D$4/1000)+2)*(General_Model!$D$26/A540))</f>
        <v>-0.1414614969294401</v>
      </c>
      <c r="C540" s="13">
        <f t="shared" si="8"/>
        <v>0</v>
      </c>
    </row>
    <row r="541" spans="1:3" x14ac:dyDescent="0.25">
      <c r="A541" s="11">
        <v>0.53900000000000003</v>
      </c>
      <c r="B541" s="12">
        <f>(General_Model!$D$6/General_Model!$D$7)-1/(1+General_Model!$D$26/((1.2+0.2*(General_Model!$D$26/A541)+0.35*SQRT(9.80665*(General_Model!$D$4/1000))/A541)*A541))-(A541^2/(2*9.80665*General_Model!$D$7))*((4*(0.3164/((General_Model!$D$14*A541*(General_Model!$D$4/1000)/General_Model!$D$15)^0.25))*General_Model!$D$7/(General_Model!$D$4/1000)+1)+(4*(0.3164/((General_Model!$D$14*A541*(General_Model!$D$4/1000)/General_Model!$D$15)^0.25))*General_Model!$D$7/(General_Model!$D$4/1000)+2)*(General_Model!$D$26/A541))</f>
        <v>-0.14196091236596764</v>
      </c>
      <c r="C541" s="13">
        <f t="shared" si="8"/>
        <v>0</v>
      </c>
    </row>
    <row r="542" spans="1:3" x14ac:dyDescent="0.25">
      <c r="A542" s="11">
        <v>0.54</v>
      </c>
      <c r="B542" s="12">
        <f>(General_Model!$D$6/General_Model!$D$7)-1/(1+General_Model!$D$26/((1.2+0.2*(General_Model!$D$26/A542)+0.35*SQRT(9.80665*(General_Model!$D$4/1000))/A542)*A542))-(A542^2/(2*9.80665*General_Model!$D$7))*((4*(0.3164/((General_Model!$D$14*A542*(General_Model!$D$4/1000)/General_Model!$D$15)^0.25))*General_Model!$D$7/(General_Model!$D$4/1000)+1)+(4*(0.3164/((General_Model!$D$14*A542*(General_Model!$D$4/1000)/General_Model!$D$15)^0.25))*General_Model!$D$7/(General_Model!$D$4/1000)+2)*(General_Model!$D$26/A542))</f>
        <v>-0.1424601142974361</v>
      </c>
      <c r="C542" s="13">
        <f t="shared" si="8"/>
        <v>0</v>
      </c>
    </row>
    <row r="543" spans="1:3" x14ac:dyDescent="0.25">
      <c r="A543" s="11">
        <v>0.54100000000000004</v>
      </c>
      <c r="B543" s="12">
        <f>(General_Model!$D$6/General_Model!$D$7)-1/(1+General_Model!$D$26/((1.2+0.2*(General_Model!$D$26/A543)+0.35*SQRT(9.80665*(General_Model!$D$4/1000))/A543)*A543))-(A543^2/(2*9.80665*General_Model!$D$7))*((4*(0.3164/((General_Model!$D$14*A543*(General_Model!$D$4/1000)/General_Model!$D$15)^0.25))*General_Model!$D$7/(General_Model!$D$4/1000)+1)+(4*(0.3164/((General_Model!$D$14*A543*(General_Model!$D$4/1000)/General_Model!$D$15)^0.25))*General_Model!$D$7/(General_Model!$D$4/1000)+2)*(General_Model!$D$26/A543))</f>
        <v>-0.14295910365030529</v>
      </c>
      <c r="C543" s="13">
        <f t="shared" si="8"/>
        <v>0</v>
      </c>
    </row>
    <row r="544" spans="1:3" x14ac:dyDescent="0.25">
      <c r="A544" s="11">
        <v>0.54200000000000004</v>
      </c>
      <c r="B544" s="12">
        <f>(General_Model!$D$6/General_Model!$D$7)-1/(1+General_Model!$D$26/((1.2+0.2*(General_Model!$D$26/A544)+0.35*SQRT(9.80665*(General_Model!$D$4/1000))/A544)*A544))-(A544^2/(2*9.80665*General_Model!$D$7))*((4*(0.3164/((General_Model!$D$14*A544*(General_Model!$D$4/1000)/General_Model!$D$15)^0.25))*General_Model!$D$7/(General_Model!$D$4/1000)+1)+(4*(0.3164/((General_Model!$D$14*A544*(General_Model!$D$4/1000)/General_Model!$D$15)^0.25))*General_Model!$D$7/(General_Model!$D$4/1000)+2)*(General_Model!$D$26/A544))</f>
        <v>-0.14345788134813531</v>
      </c>
      <c r="C544" s="13">
        <f t="shared" si="8"/>
        <v>0</v>
      </c>
    </row>
    <row r="545" spans="1:3" x14ac:dyDescent="0.25">
      <c r="A545" s="11">
        <v>0.54300000000000004</v>
      </c>
      <c r="B545" s="12">
        <f>(General_Model!$D$6/General_Model!$D$7)-1/(1+General_Model!$D$26/((1.2+0.2*(General_Model!$D$26/A545)+0.35*SQRT(9.80665*(General_Model!$D$4/1000))/A545)*A545))-(A545^2/(2*9.80665*General_Model!$D$7))*((4*(0.3164/((General_Model!$D$14*A545*(General_Model!$D$4/1000)/General_Model!$D$15)^0.25))*General_Model!$D$7/(General_Model!$D$4/1000)+1)+(4*(0.3164/((General_Model!$D$14*A545*(General_Model!$D$4/1000)/General_Model!$D$15)^0.25))*General_Model!$D$7/(General_Model!$D$4/1000)+2)*(General_Model!$D$26/A545))</f>
        <v>-0.14395644831159857</v>
      </c>
      <c r="C545" s="13">
        <f t="shared" si="8"/>
        <v>0</v>
      </c>
    </row>
    <row r="546" spans="1:3" x14ac:dyDescent="0.25">
      <c r="A546" s="11">
        <v>0.54400000000000004</v>
      </c>
      <c r="B546" s="12">
        <f>(General_Model!$D$6/General_Model!$D$7)-1/(1+General_Model!$D$26/((1.2+0.2*(General_Model!$D$26/A546)+0.35*SQRT(9.80665*(General_Model!$D$4/1000))/A546)*A546))-(A546^2/(2*9.80665*General_Model!$D$7))*((4*(0.3164/((General_Model!$D$14*A546*(General_Model!$D$4/1000)/General_Model!$D$15)^0.25))*General_Model!$D$7/(General_Model!$D$4/1000)+1)+(4*(0.3164/((General_Model!$D$14*A546*(General_Model!$D$4/1000)/General_Model!$D$15)^0.25))*General_Model!$D$7/(General_Model!$D$4/1000)+2)*(General_Model!$D$26/A546))</f>
        <v>-0.14445480545848999</v>
      </c>
      <c r="C546" s="13">
        <f t="shared" si="8"/>
        <v>0</v>
      </c>
    </row>
    <row r="547" spans="1:3" x14ac:dyDescent="0.25">
      <c r="A547" s="11">
        <v>0.54500000000000004</v>
      </c>
      <c r="B547" s="12">
        <f>(General_Model!$D$6/General_Model!$D$7)-1/(1+General_Model!$D$26/((1.2+0.2*(General_Model!$D$26/A547)+0.35*SQRT(9.80665*(General_Model!$D$4/1000))/A547)*A547))-(A547^2/(2*9.80665*General_Model!$D$7))*((4*(0.3164/((General_Model!$D$14*A547*(General_Model!$D$4/1000)/General_Model!$D$15)^0.25))*General_Model!$D$7/(General_Model!$D$4/1000)+1)+(4*(0.3164/((General_Model!$D$14*A547*(General_Model!$D$4/1000)/General_Model!$D$15)^0.25))*General_Model!$D$7/(General_Model!$D$4/1000)+2)*(General_Model!$D$26/A547))</f>
        <v>-0.14495295370373992</v>
      </c>
      <c r="C547" s="13">
        <f t="shared" si="8"/>
        <v>0</v>
      </c>
    </row>
    <row r="548" spans="1:3" x14ac:dyDescent="0.25">
      <c r="A548" s="11">
        <v>0.54600000000000004</v>
      </c>
      <c r="B548" s="12">
        <f>(General_Model!$D$6/General_Model!$D$7)-1/(1+General_Model!$D$26/((1.2+0.2*(General_Model!$D$26/A548)+0.35*SQRT(9.80665*(General_Model!$D$4/1000))/A548)*A548))-(A548^2/(2*9.80665*General_Model!$D$7))*((4*(0.3164/((General_Model!$D$14*A548*(General_Model!$D$4/1000)/General_Model!$D$15)^0.25))*General_Model!$D$7/(General_Model!$D$4/1000)+1)+(4*(0.3164/((General_Model!$D$14*A548*(General_Model!$D$4/1000)/General_Model!$D$15)^0.25))*General_Model!$D$7/(General_Model!$D$4/1000)+2)*(General_Model!$D$26/A548))</f>
        <v>-0.14545089395942334</v>
      </c>
      <c r="C548" s="13">
        <f t="shared" si="8"/>
        <v>0</v>
      </c>
    </row>
    <row r="549" spans="1:3" x14ac:dyDescent="0.25">
      <c r="A549" s="11">
        <v>0.54700000000000004</v>
      </c>
      <c r="B549" s="12">
        <f>(General_Model!$D$6/General_Model!$D$7)-1/(1+General_Model!$D$26/((1.2+0.2*(General_Model!$D$26/A549)+0.35*SQRT(9.80665*(General_Model!$D$4/1000))/A549)*A549))-(A549^2/(2*9.80665*General_Model!$D$7))*((4*(0.3164/((General_Model!$D$14*A549*(General_Model!$D$4/1000)/General_Model!$D$15)^0.25))*General_Model!$D$7/(General_Model!$D$4/1000)+1)+(4*(0.3164/((General_Model!$D$14*A549*(General_Model!$D$4/1000)/General_Model!$D$15)^0.25))*General_Model!$D$7/(General_Model!$D$4/1000)+2)*(General_Model!$D$26/A549))</f>
        <v>-0.14594862713477252</v>
      </c>
      <c r="C549" s="13">
        <f t="shared" si="8"/>
        <v>0</v>
      </c>
    </row>
    <row r="550" spans="1:3" x14ac:dyDescent="0.25">
      <c r="A550" s="11">
        <v>0.54800000000000004</v>
      </c>
      <c r="B550" s="12">
        <f>(General_Model!$D$6/General_Model!$D$7)-1/(1+General_Model!$D$26/((1.2+0.2*(General_Model!$D$26/A550)+0.35*SQRT(9.80665*(General_Model!$D$4/1000))/A550)*A550))-(A550^2/(2*9.80665*General_Model!$D$7))*((4*(0.3164/((General_Model!$D$14*A550*(General_Model!$D$4/1000)/General_Model!$D$15)^0.25))*General_Model!$D$7/(General_Model!$D$4/1000)+1)+(4*(0.3164/((General_Model!$D$14*A550*(General_Model!$D$4/1000)/General_Model!$D$15)^0.25))*General_Model!$D$7/(General_Model!$D$4/1000)+2)*(General_Model!$D$26/A550))</f>
        <v>-0.14644615413618717</v>
      </c>
      <c r="C550" s="13">
        <f t="shared" si="8"/>
        <v>0</v>
      </c>
    </row>
    <row r="551" spans="1:3" x14ac:dyDescent="0.25">
      <c r="A551" s="11">
        <v>0.54900000000000004</v>
      </c>
      <c r="B551" s="12">
        <f>(General_Model!$D$6/General_Model!$D$7)-1/(1+General_Model!$D$26/((1.2+0.2*(General_Model!$D$26/A551)+0.35*SQRT(9.80665*(General_Model!$D$4/1000))/A551)*A551))-(A551^2/(2*9.80665*General_Model!$D$7))*((4*(0.3164/((General_Model!$D$14*A551*(General_Model!$D$4/1000)/General_Model!$D$15)^0.25))*General_Model!$D$7/(General_Model!$D$4/1000)+1)+(4*(0.3164/((General_Model!$D$14*A551*(General_Model!$D$4/1000)/General_Model!$D$15)^0.25))*General_Model!$D$7/(General_Model!$D$4/1000)+2)*(General_Model!$D$26/A551))</f>
        <v>-0.14694347586724571</v>
      </c>
      <c r="C551" s="13">
        <f t="shared" si="8"/>
        <v>0</v>
      </c>
    </row>
    <row r="552" spans="1:3" x14ac:dyDescent="0.25">
      <c r="A552" s="11">
        <v>0.55000000000000004</v>
      </c>
      <c r="B552" s="12">
        <f>(General_Model!$D$6/General_Model!$D$7)-1/(1+General_Model!$D$26/((1.2+0.2*(General_Model!$D$26/A552)+0.35*SQRT(9.80665*(General_Model!$D$4/1000))/A552)*A552))-(A552^2/(2*9.80665*General_Model!$D$7))*((4*(0.3164/((General_Model!$D$14*A552*(General_Model!$D$4/1000)/General_Model!$D$15)^0.25))*General_Model!$D$7/(General_Model!$D$4/1000)+1)+(4*(0.3164/((General_Model!$D$14*A552*(General_Model!$D$4/1000)/General_Model!$D$15)^0.25))*General_Model!$D$7/(General_Model!$D$4/1000)+2)*(General_Model!$D$26/A552))</f>
        <v>-0.14744059322871667</v>
      </c>
      <c r="C552" s="13">
        <f t="shared" si="8"/>
        <v>0</v>
      </c>
    </row>
    <row r="553" spans="1:3" x14ac:dyDescent="0.25">
      <c r="A553" s="11">
        <v>0.55100000000000005</v>
      </c>
      <c r="B553" s="12">
        <f>(General_Model!$D$6/General_Model!$D$7)-1/(1+General_Model!$D$26/((1.2+0.2*(General_Model!$D$26/A553)+0.35*SQRT(9.80665*(General_Model!$D$4/1000))/A553)*A553))-(A553^2/(2*9.80665*General_Model!$D$7))*((4*(0.3164/((General_Model!$D$14*A553*(General_Model!$D$4/1000)/General_Model!$D$15)^0.25))*General_Model!$D$7/(General_Model!$D$4/1000)+1)+(4*(0.3164/((General_Model!$D$14*A553*(General_Model!$D$4/1000)/General_Model!$D$15)^0.25))*General_Model!$D$7/(General_Model!$D$4/1000)+2)*(General_Model!$D$26/A553))</f>
        <v>-0.14793750711856871</v>
      </c>
      <c r="C553" s="13">
        <f t="shared" si="8"/>
        <v>0</v>
      </c>
    </row>
    <row r="554" spans="1:3" x14ac:dyDescent="0.25">
      <c r="A554" s="11">
        <v>0.55200000000000005</v>
      </c>
      <c r="B554" s="12">
        <f>(General_Model!$D$6/General_Model!$D$7)-1/(1+General_Model!$D$26/((1.2+0.2*(General_Model!$D$26/A554)+0.35*SQRT(9.80665*(General_Model!$D$4/1000))/A554)*A554))-(A554^2/(2*9.80665*General_Model!$D$7))*((4*(0.3164/((General_Model!$D$14*A554*(General_Model!$D$4/1000)/General_Model!$D$15)^0.25))*General_Model!$D$7/(General_Model!$D$4/1000)+1)+(4*(0.3164/((General_Model!$D$14*A554*(General_Model!$D$4/1000)/General_Model!$D$15)^0.25))*General_Model!$D$7/(General_Model!$D$4/1000)+2)*(General_Model!$D$26/A554))</f>
        <v>-0.14843421843198218</v>
      </c>
      <c r="C554" s="13">
        <f t="shared" si="8"/>
        <v>0</v>
      </c>
    </row>
    <row r="555" spans="1:3" x14ac:dyDescent="0.25">
      <c r="A555" s="11">
        <v>0.55300000000000005</v>
      </c>
      <c r="B555" s="12">
        <f>(General_Model!$D$6/General_Model!$D$7)-1/(1+General_Model!$D$26/((1.2+0.2*(General_Model!$D$26/A555)+0.35*SQRT(9.80665*(General_Model!$D$4/1000))/A555)*A555))-(A555^2/(2*9.80665*General_Model!$D$7))*((4*(0.3164/((General_Model!$D$14*A555*(General_Model!$D$4/1000)/General_Model!$D$15)^0.25))*General_Model!$D$7/(General_Model!$D$4/1000)+1)+(4*(0.3164/((General_Model!$D$14*A555*(General_Model!$D$4/1000)/General_Model!$D$15)^0.25))*General_Model!$D$7/(General_Model!$D$4/1000)+2)*(General_Model!$D$26/A555))</f>
        <v>-0.14893072806135949</v>
      </c>
      <c r="C555" s="13">
        <f t="shared" si="8"/>
        <v>0</v>
      </c>
    </row>
    <row r="556" spans="1:3" x14ac:dyDescent="0.25">
      <c r="A556" s="11">
        <v>0.55400000000000005</v>
      </c>
      <c r="B556" s="12">
        <f>(General_Model!$D$6/General_Model!$D$7)-1/(1+General_Model!$D$26/((1.2+0.2*(General_Model!$D$26/A556)+0.35*SQRT(9.80665*(General_Model!$D$4/1000))/A556)*A556))-(A556^2/(2*9.80665*General_Model!$D$7))*((4*(0.3164/((General_Model!$D$14*A556*(General_Model!$D$4/1000)/General_Model!$D$15)^0.25))*General_Model!$D$7/(General_Model!$D$4/1000)+1)+(4*(0.3164/((General_Model!$D$14*A556*(General_Model!$D$4/1000)/General_Model!$D$15)^0.25))*General_Model!$D$7/(General_Model!$D$4/1000)+2)*(General_Model!$D$26/A556))</f>
        <v>-0.14942703689633641</v>
      </c>
      <c r="C556" s="13">
        <f t="shared" si="8"/>
        <v>0</v>
      </c>
    </row>
    <row r="557" spans="1:3" x14ac:dyDescent="0.25">
      <c r="A557" s="11">
        <v>0.55500000000000005</v>
      </c>
      <c r="B557" s="12">
        <f>(General_Model!$D$6/General_Model!$D$7)-1/(1+General_Model!$D$26/((1.2+0.2*(General_Model!$D$26/A557)+0.35*SQRT(9.80665*(General_Model!$D$4/1000))/A557)*A557))-(A557^2/(2*9.80665*General_Model!$D$7))*((4*(0.3164/((General_Model!$D$14*A557*(General_Model!$D$4/1000)/General_Model!$D$15)^0.25))*General_Model!$D$7/(General_Model!$D$4/1000)+1)+(4*(0.3164/((General_Model!$D$14*A557*(General_Model!$D$4/1000)/General_Model!$D$15)^0.25))*General_Model!$D$7/(General_Model!$D$4/1000)+2)*(General_Model!$D$26/A557))</f>
        <v>-0.14992314582379229</v>
      </c>
      <c r="C557" s="13">
        <f t="shared" si="8"/>
        <v>0</v>
      </c>
    </row>
    <row r="558" spans="1:3" x14ac:dyDescent="0.25">
      <c r="A558" s="11">
        <v>0.55600000000000005</v>
      </c>
      <c r="B558" s="12">
        <f>(General_Model!$D$6/General_Model!$D$7)-1/(1+General_Model!$D$26/((1.2+0.2*(General_Model!$D$26/A558)+0.35*SQRT(9.80665*(General_Model!$D$4/1000))/A558)*A558))-(A558^2/(2*9.80665*General_Model!$D$7))*((4*(0.3164/((General_Model!$D$14*A558*(General_Model!$D$4/1000)/General_Model!$D$15)^0.25))*General_Model!$D$7/(General_Model!$D$4/1000)+1)+(4*(0.3164/((General_Model!$D$14*A558*(General_Model!$D$4/1000)/General_Model!$D$15)^0.25))*General_Model!$D$7/(General_Model!$D$4/1000)+2)*(General_Model!$D$26/A558))</f>
        <v>-0.15041905572786066</v>
      </c>
      <c r="C558" s="13">
        <f t="shared" si="8"/>
        <v>0</v>
      </c>
    </row>
    <row r="559" spans="1:3" x14ac:dyDescent="0.25">
      <c r="A559" s="11">
        <v>0.55700000000000005</v>
      </c>
      <c r="B559" s="12">
        <f>(General_Model!$D$6/General_Model!$D$7)-1/(1+General_Model!$D$26/((1.2+0.2*(General_Model!$D$26/A559)+0.35*SQRT(9.80665*(General_Model!$D$4/1000))/A559)*A559))-(A559^2/(2*9.80665*General_Model!$D$7))*((4*(0.3164/((General_Model!$D$14*A559*(General_Model!$D$4/1000)/General_Model!$D$15)^0.25))*General_Model!$D$7/(General_Model!$D$4/1000)+1)+(4*(0.3164/((General_Model!$D$14*A559*(General_Model!$D$4/1000)/General_Model!$D$15)^0.25))*General_Model!$D$7/(General_Model!$D$4/1000)+2)*(General_Model!$D$26/A559))</f>
        <v>-0.15091476748993982</v>
      </c>
      <c r="C559" s="13">
        <f t="shared" si="8"/>
        <v>0</v>
      </c>
    </row>
    <row r="560" spans="1:3" x14ac:dyDescent="0.25">
      <c r="A560" s="11">
        <v>0.55800000000000005</v>
      </c>
      <c r="B560" s="12">
        <f>(General_Model!$D$6/General_Model!$D$7)-1/(1+General_Model!$D$26/((1.2+0.2*(General_Model!$D$26/A560)+0.35*SQRT(9.80665*(General_Model!$D$4/1000))/A560)*A560))-(A560^2/(2*9.80665*General_Model!$D$7))*((4*(0.3164/((General_Model!$D$14*A560*(General_Model!$D$4/1000)/General_Model!$D$15)^0.25))*General_Model!$D$7/(General_Model!$D$4/1000)+1)+(4*(0.3164/((General_Model!$D$14*A560*(General_Model!$D$4/1000)/General_Model!$D$15)^0.25))*General_Model!$D$7/(General_Model!$D$4/1000)+2)*(General_Model!$D$26/A560))</f>
        <v>-0.15141028198870432</v>
      </c>
      <c r="C560" s="13">
        <f t="shared" si="8"/>
        <v>0</v>
      </c>
    </row>
    <row r="561" spans="1:3" x14ac:dyDescent="0.25">
      <c r="A561" s="11">
        <v>0.55900000000000005</v>
      </c>
      <c r="B561" s="12">
        <f>(General_Model!$D$6/General_Model!$D$7)-1/(1+General_Model!$D$26/((1.2+0.2*(General_Model!$D$26/A561)+0.35*SQRT(9.80665*(General_Model!$D$4/1000))/A561)*A561))-(A561^2/(2*9.80665*General_Model!$D$7))*((4*(0.3164/((General_Model!$D$14*A561*(General_Model!$D$4/1000)/General_Model!$D$15)^0.25))*General_Model!$D$7/(General_Model!$D$4/1000)+1)+(4*(0.3164/((General_Model!$D$14*A561*(General_Model!$D$4/1000)/General_Model!$D$15)^0.25))*General_Model!$D$7/(General_Model!$D$4/1000)+2)*(General_Model!$D$26/A561))</f>
        <v>-0.15190560010011411</v>
      </c>
      <c r="C561" s="13">
        <f t="shared" si="8"/>
        <v>0</v>
      </c>
    </row>
    <row r="562" spans="1:3" x14ac:dyDescent="0.25">
      <c r="A562" s="11">
        <v>0.56000000000000005</v>
      </c>
      <c r="B562" s="12">
        <f>(General_Model!$D$6/General_Model!$D$7)-1/(1+General_Model!$D$26/((1.2+0.2*(General_Model!$D$26/A562)+0.35*SQRT(9.80665*(General_Model!$D$4/1000))/A562)*A562))-(A562^2/(2*9.80665*General_Model!$D$7))*((4*(0.3164/((General_Model!$D$14*A562*(General_Model!$D$4/1000)/General_Model!$D$15)^0.25))*General_Model!$D$7/(General_Model!$D$4/1000)+1)+(4*(0.3164/((General_Model!$D$14*A562*(General_Model!$D$4/1000)/General_Model!$D$15)^0.25))*General_Model!$D$7/(General_Model!$D$4/1000)+2)*(General_Model!$D$26/A562))</f>
        <v>-0.15240072269742522</v>
      </c>
      <c r="C562" s="13">
        <f t="shared" si="8"/>
        <v>0</v>
      </c>
    </row>
    <row r="563" spans="1:3" x14ac:dyDescent="0.25">
      <c r="A563" s="11">
        <v>0.56100000000000005</v>
      </c>
      <c r="B563" s="12">
        <f>(General_Model!$D$6/General_Model!$D$7)-1/(1+General_Model!$D$26/((1.2+0.2*(General_Model!$D$26/A563)+0.35*SQRT(9.80665*(General_Model!$D$4/1000))/A563)*A563))-(A563^2/(2*9.80665*General_Model!$D$7))*((4*(0.3164/((General_Model!$D$14*A563*(General_Model!$D$4/1000)/General_Model!$D$15)^0.25))*General_Model!$D$7/(General_Model!$D$4/1000)+1)+(4*(0.3164/((General_Model!$D$14*A563*(General_Model!$D$4/1000)/General_Model!$D$15)^0.25))*General_Model!$D$7/(General_Model!$D$4/1000)+2)*(General_Model!$D$26/A563))</f>
        <v>-0.15289565065120153</v>
      </c>
      <c r="C563" s="13">
        <f t="shared" si="8"/>
        <v>0</v>
      </c>
    </row>
    <row r="564" spans="1:3" x14ac:dyDescent="0.25">
      <c r="A564" s="11">
        <v>0.56200000000000006</v>
      </c>
      <c r="B564" s="12">
        <f>(General_Model!$D$6/General_Model!$D$7)-1/(1+General_Model!$D$26/((1.2+0.2*(General_Model!$D$26/A564)+0.35*SQRT(9.80665*(General_Model!$D$4/1000))/A564)*A564))-(A564^2/(2*9.80665*General_Model!$D$7))*((4*(0.3164/((General_Model!$D$14*A564*(General_Model!$D$4/1000)/General_Model!$D$15)^0.25))*General_Model!$D$7/(General_Model!$D$4/1000)+1)+(4*(0.3164/((General_Model!$D$14*A564*(General_Model!$D$4/1000)/General_Model!$D$15)^0.25))*General_Model!$D$7/(General_Model!$D$4/1000)+2)*(General_Model!$D$26/A564))</f>
        <v>-0.15339038482932324</v>
      </c>
      <c r="C564" s="13">
        <f t="shared" si="8"/>
        <v>0</v>
      </c>
    </row>
    <row r="565" spans="1:3" x14ac:dyDescent="0.25">
      <c r="A565" s="11">
        <v>0.56300000000000006</v>
      </c>
      <c r="B565" s="12">
        <f>(General_Model!$D$6/General_Model!$D$7)-1/(1+General_Model!$D$26/((1.2+0.2*(General_Model!$D$26/A565)+0.35*SQRT(9.80665*(General_Model!$D$4/1000))/A565)*A565))-(A565^2/(2*9.80665*General_Model!$D$7))*((4*(0.3164/((General_Model!$D$14*A565*(General_Model!$D$4/1000)/General_Model!$D$15)^0.25))*General_Model!$D$7/(General_Model!$D$4/1000)+1)+(4*(0.3164/((General_Model!$D$14*A565*(General_Model!$D$4/1000)/General_Model!$D$15)^0.25))*General_Model!$D$7/(General_Model!$D$4/1000)+2)*(General_Model!$D$26/A565))</f>
        <v>-0.1538849260969985</v>
      </c>
      <c r="C565" s="13">
        <f t="shared" si="8"/>
        <v>0</v>
      </c>
    </row>
    <row r="566" spans="1:3" x14ac:dyDescent="0.25">
      <c r="A566" s="11">
        <v>0.56400000000000006</v>
      </c>
      <c r="B566" s="12">
        <f>(General_Model!$D$6/General_Model!$D$7)-1/(1+General_Model!$D$26/((1.2+0.2*(General_Model!$D$26/A566)+0.35*SQRT(9.80665*(General_Model!$D$4/1000))/A566)*A566))-(A566^2/(2*9.80665*General_Model!$D$7))*((4*(0.3164/((General_Model!$D$14*A566*(General_Model!$D$4/1000)/General_Model!$D$15)^0.25))*General_Model!$D$7/(General_Model!$D$4/1000)+1)+(4*(0.3164/((General_Model!$D$14*A566*(General_Model!$D$4/1000)/General_Model!$D$15)^0.25))*General_Model!$D$7/(General_Model!$D$4/1000)+2)*(General_Model!$D$26/A566))</f>
        <v>-0.15437927531677309</v>
      </c>
      <c r="C566" s="13">
        <f t="shared" si="8"/>
        <v>0</v>
      </c>
    </row>
    <row r="567" spans="1:3" x14ac:dyDescent="0.25">
      <c r="A567" s="11">
        <v>0.56500000000000006</v>
      </c>
      <c r="B567" s="12">
        <f>(General_Model!$D$6/General_Model!$D$7)-1/(1+General_Model!$D$26/((1.2+0.2*(General_Model!$D$26/A567)+0.35*SQRT(9.80665*(General_Model!$D$4/1000))/A567)*A567))-(A567^2/(2*9.80665*General_Model!$D$7))*((4*(0.3164/((General_Model!$D$14*A567*(General_Model!$D$4/1000)/General_Model!$D$15)^0.25))*General_Model!$D$7/(General_Model!$D$4/1000)+1)+(4*(0.3164/((General_Model!$D$14*A567*(General_Model!$D$4/1000)/General_Model!$D$15)^0.25))*General_Model!$D$7/(General_Model!$D$4/1000)+2)*(General_Model!$D$26/A567))</f>
        <v>-0.15487343334854073</v>
      </c>
      <c r="C567" s="13">
        <f t="shared" si="8"/>
        <v>0</v>
      </c>
    </row>
    <row r="568" spans="1:3" x14ac:dyDescent="0.25">
      <c r="A568" s="11">
        <v>0.56600000000000006</v>
      </c>
      <c r="B568" s="12">
        <f>(General_Model!$D$6/General_Model!$D$7)-1/(1+General_Model!$D$26/((1.2+0.2*(General_Model!$D$26/A568)+0.35*SQRT(9.80665*(General_Model!$D$4/1000))/A568)*A568))-(A568^2/(2*9.80665*General_Model!$D$7))*((4*(0.3164/((General_Model!$D$14*A568*(General_Model!$D$4/1000)/General_Model!$D$15)^0.25))*General_Model!$D$7/(General_Model!$D$4/1000)+1)+(4*(0.3164/((General_Model!$D$14*A568*(General_Model!$D$4/1000)/General_Model!$D$15)^0.25))*General_Model!$D$7/(General_Model!$D$4/1000)+2)*(General_Model!$D$26/A568))</f>
        <v>-0.15536740104955304</v>
      </c>
      <c r="C568" s="13">
        <f t="shared" si="8"/>
        <v>0</v>
      </c>
    </row>
    <row r="569" spans="1:3" x14ac:dyDescent="0.25">
      <c r="A569" s="11">
        <v>0.56700000000000006</v>
      </c>
      <c r="B569" s="12">
        <f>(General_Model!$D$6/General_Model!$D$7)-1/(1+General_Model!$D$26/((1.2+0.2*(General_Model!$D$26/A569)+0.35*SQRT(9.80665*(General_Model!$D$4/1000))/A569)*A569))-(A569^2/(2*9.80665*General_Model!$D$7))*((4*(0.3164/((General_Model!$D$14*A569*(General_Model!$D$4/1000)/General_Model!$D$15)^0.25))*General_Model!$D$7/(General_Model!$D$4/1000)+1)+(4*(0.3164/((General_Model!$D$14*A569*(General_Model!$D$4/1000)/General_Model!$D$15)^0.25))*General_Model!$D$7/(General_Model!$D$4/1000)+2)*(General_Model!$D$26/A569))</f>
        <v>-0.15586117927443038</v>
      </c>
      <c r="C569" s="13">
        <f t="shared" si="8"/>
        <v>0</v>
      </c>
    </row>
    <row r="570" spans="1:3" x14ac:dyDescent="0.25">
      <c r="A570" s="11">
        <v>0.56800000000000006</v>
      </c>
      <c r="B570" s="12">
        <f>(General_Model!$D$6/General_Model!$D$7)-1/(1+General_Model!$D$26/((1.2+0.2*(General_Model!$D$26/A570)+0.35*SQRT(9.80665*(General_Model!$D$4/1000))/A570)*A570))-(A570^2/(2*9.80665*General_Model!$D$7))*((4*(0.3164/((General_Model!$D$14*A570*(General_Model!$D$4/1000)/General_Model!$D$15)^0.25))*General_Model!$D$7/(General_Model!$D$4/1000)+1)+(4*(0.3164/((General_Model!$D$14*A570*(General_Model!$D$4/1000)/General_Model!$D$15)^0.25))*General_Model!$D$7/(General_Model!$D$4/1000)+2)*(General_Model!$D$26/A570))</f>
        <v>-0.15635476887517072</v>
      </c>
      <c r="C570" s="13">
        <f t="shared" si="8"/>
        <v>0</v>
      </c>
    </row>
    <row r="571" spans="1:3" x14ac:dyDescent="0.25">
      <c r="A571" s="11">
        <v>0.56900000000000006</v>
      </c>
      <c r="B571" s="12">
        <f>(General_Model!$D$6/General_Model!$D$7)-1/(1+General_Model!$D$26/((1.2+0.2*(General_Model!$D$26/A571)+0.35*SQRT(9.80665*(General_Model!$D$4/1000))/A571)*A571))-(A571^2/(2*9.80665*General_Model!$D$7))*((4*(0.3164/((General_Model!$D$14*A571*(General_Model!$D$4/1000)/General_Model!$D$15)^0.25))*General_Model!$D$7/(General_Model!$D$4/1000)+1)+(4*(0.3164/((General_Model!$D$14*A571*(General_Model!$D$4/1000)/General_Model!$D$15)^0.25))*General_Model!$D$7/(General_Model!$D$4/1000)+2)*(General_Model!$D$26/A571))</f>
        <v>-0.15684817070116097</v>
      </c>
      <c r="C571" s="13">
        <f t="shared" si="8"/>
        <v>0</v>
      </c>
    </row>
    <row r="572" spans="1:3" x14ac:dyDescent="0.25">
      <c r="A572" s="11">
        <v>0.57000000000000006</v>
      </c>
      <c r="B572" s="12">
        <f>(General_Model!$D$6/General_Model!$D$7)-1/(1+General_Model!$D$26/((1.2+0.2*(General_Model!$D$26/A572)+0.35*SQRT(9.80665*(General_Model!$D$4/1000))/A572)*A572))-(A572^2/(2*9.80665*General_Model!$D$7))*((4*(0.3164/((General_Model!$D$14*A572*(General_Model!$D$4/1000)/General_Model!$D$15)^0.25))*General_Model!$D$7/(General_Model!$D$4/1000)+1)+(4*(0.3164/((General_Model!$D$14*A572*(General_Model!$D$4/1000)/General_Model!$D$15)^0.25))*General_Model!$D$7/(General_Model!$D$4/1000)+2)*(General_Model!$D$26/A572))</f>
        <v>-0.15734138559918581</v>
      </c>
      <c r="C572" s="13">
        <f t="shared" si="8"/>
        <v>0</v>
      </c>
    </row>
    <row r="573" spans="1:3" x14ac:dyDescent="0.25">
      <c r="A573" s="11">
        <v>0.57100000000000006</v>
      </c>
      <c r="B573" s="12">
        <f>(General_Model!$D$6/General_Model!$D$7)-1/(1+General_Model!$D$26/((1.2+0.2*(General_Model!$D$26/A573)+0.35*SQRT(9.80665*(General_Model!$D$4/1000))/A573)*A573))-(A573^2/(2*9.80665*General_Model!$D$7))*((4*(0.3164/((General_Model!$D$14*A573*(General_Model!$D$4/1000)/General_Model!$D$15)^0.25))*General_Model!$D$7/(General_Model!$D$4/1000)+1)+(4*(0.3164/((General_Model!$D$14*A573*(General_Model!$D$4/1000)/General_Model!$D$15)^0.25))*General_Model!$D$7/(General_Model!$D$4/1000)+2)*(General_Model!$D$26/A573))</f>
        <v>-0.15783441441343862</v>
      </c>
      <c r="C573" s="13">
        <f t="shared" si="8"/>
        <v>0</v>
      </c>
    </row>
    <row r="574" spans="1:3" x14ac:dyDescent="0.25">
      <c r="A574" s="11">
        <v>0.57200000000000006</v>
      </c>
      <c r="B574" s="12">
        <f>(General_Model!$D$6/General_Model!$D$7)-1/(1+General_Model!$D$26/((1.2+0.2*(General_Model!$D$26/A574)+0.35*SQRT(9.80665*(General_Model!$D$4/1000))/A574)*A574))-(A574^2/(2*9.80665*General_Model!$D$7))*((4*(0.3164/((General_Model!$D$14*A574*(General_Model!$D$4/1000)/General_Model!$D$15)^0.25))*General_Model!$D$7/(General_Model!$D$4/1000)+1)+(4*(0.3164/((General_Model!$D$14*A574*(General_Model!$D$4/1000)/General_Model!$D$15)^0.25))*General_Model!$D$7/(General_Model!$D$4/1000)+2)*(General_Model!$D$26/A574))</f>
        <v>-0.15832725798553043</v>
      </c>
      <c r="C574" s="13">
        <f t="shared" si="8"/>
        <v>0</v>
      </c>
    </row>
    <row r="575" spans="1:3" x14ac:dyDescent="0.25">
      <c r="A575" s="11">
        <v>0.57300000000000006</v>
      </c>
      <c r="B575" s="12">
        <f>(General_Model!$D$6/General_Model!$D$7)-1/(1+General_Model!$D$26/((1.2+0.2*(General_Model!$D$26/A575)+0.35*SQRT(9.80665*(General_Model!$D$4/1000))/A575)*A575))-(A575^2/(2*9.80665*General_Model!$D$7))*((4*(0.3164/((General_Model!$D$14*A575*(General_Model!$D$4/1000)/General_Model!$D$15)^0.25))*General_Model!$D$7/(General_Model!$D$4/1000)+1)+(4*(0.3164/((General_Model!$D$14*A575*(General_Model!$D$4/1000)/General_Model!$D$15)^0.25))*General_Model!$D$7/(General_Model!$D$4/1000)+2)*(General_Model!$D$26/A575))</f>
        <v>-0.1588199171545002</v>
      </c>
      <c r="C575" s="13">
        <f t="shared" si="8"/>
        <v>0</v>
      </c>
    </row>
    <row r="576" spans="1:3" x14ac:dyDescent="0.25">
      <c r="A576" s="11">
        <v>0.57400000000000007</v>
      </c>
      <c r="B576" s="12">
        <f>(General_Model!$D$6/General_Model!$D$7)-1/(1+General_Model!$D$26/((1.2+0.2*(General_Model!$D$26/A576)+0.35*SQRT(9.80665*(General_Model!$D$4/1000))/A576)*A576))-(A576^2/(2*9.80665*General_Model!$D$7))*((4*(0.3164/((General_Model!$D$14*A576*(General_Model!$D$4/1000)/General_Model!$D$15)^0.25))*General_Model!$D$7/(General_Model!$D$4/1000)+1)+(4*(0.3164/((General_Model!$D$14*A576*(General_Model!$D$4/1000)/General_Model!$D$15)^0.25))*General_Model!$D$7/(General_Model!$D$4/1000)+2)*(General_Model!$D$26/A576))</f>
        <v>-0.15931239275682482</v>
      </c>
      <c r="C576" s="13">
        <f t="shared" si="8"/>
        <v>0</v>
      </c>
    </row>
    <row r="577" spans="1:3" x14ac:dyDescent="0.25">
      <c r="A577" s="11">
        <v>0.57500000000000007</v>
      </c>
      <c r="B577" s="12">
        <f>(General_Model!$D$6/General_Model!$D$7)-1/(1+General_Model!$D$26/((1.2+0.2*(General_Model!$D$26/A577)+0.35*SQRT(9.80665*(General_Model!$D$4/1000))/A577)*A577))-(A577^2/(2*9.80665*General_Model!$D$7))*((4*(0.3164/((General_Model!$D$14*A577*(General_Model!$D$4/1000)/General_Model!$D$15)^0.25))*General_Model!$D$7/(General_Model!$D$4/1000)+1)+(4*(0.3164/((General_Model!$D$14*A577*(General_Model!$D$4/1000)/General_Model!$D$15)^0.25))*General_Model!$D$7/(General_Model!$D$4/1000)+2)*(General_Model!$D$26/A577))</f>
        <v>-0.15980468562642855</v>
      </c>
      <c r="C577" s="13">
        <f t="shared" si="8"/>
        <v>0</v>
      </c>
    </row>
    <row r="578" spans="1:3" x14ac:dyDescent="0.25">
      <c r="A578" s="11">
        <v>0.57600000000000007</v>
      </c>
      <c r="B578" s="12">
        <f>(General_Model!$D$6/General_Model!$D$7)-1/(1+General_Model!$D$26/((1.2+0.2*(General_Model!$D$26/A578)+0.35*SQRT(9.80665*(General_Model!$D$4/1000))/A578)*A578))-(A578^2/(2*9.80665*General_Model!$D$7))*((4*(0.3164/((General_Model!$D$14*A578*(General_Model!$D$4/1000)/General_Model!$D$15)^0.25))*General_Model!$D$7/(General_Model!$D$4/1000)+1)+(4*(0.3164/((General_Model!$D$14*A578*(General_Model!$D$4/1000)/General_Model!$D$15)^0.25))*General_Model!$D$7/(General_Model!$D$4/1000)+2)*(General_Model!$D$26/A578))</f>
        <v>-0.16029679659469259</v>
      </c>
      <c r="C578" s="13">
        <f t="shared" si="8"/>
        <v>0</v>
      </c>
    </row>
    <row r="579" spans="1:3" x14ac:dyDescent="0.25">
      <c r="A579" s="11">
        <v>0.57700000000000007</v>
      </c>
      <c r="B579" s="12">
        <f>(General_Model!$D$6/General_Model!$D$7)-1/(1+General_Model!$D$26/((1.2+0.2*(General_Model!$D$26/A579)+0.35*SQRT(9.80665*(General_Model!$D$4/1000))/A579)*A579))-(A579^2/(2*9.80665*General_Model!$D$7))*((4*(0.3164/((General_Model!$D$14*A579*(General_Model!$D$4/1000)/General_Model!$D$15)^0.25))*General_Model!$D$7/(General_Model!$D$4/1000)+1)+(4*(0.3164/((General_Model!$D$14*A579*(General_Model!$D$4/1000)/General_Model!$D$15)^0.25))*General_Model!$D$7/(General_Model!$D$4/1000)+2)*(General_Model!$D$26/A579))</f>
        <v>-0.16078872649046516</v>
      </c>
      <c r="C579" s="13">
        <f t="shared" ref="C579:C642" si="9">IF(B579*B580&lt;=0,1,0)</f>
        <v>0</v>
      </c>
    </row>
    <row r="580" spans="1:3" x14ac:dyDescent="0.25">
      <c r="A580" s="11">
        <v>0.57799999999999996</v>
      </c>
      <c r="B580" s="12">
        <f>(General_Model!$D$6/General_Model!$D$7)-1/(1+General_Model!$D$26/((1.2+0.2*(General_Model!$D$26/A580)+0.35*SQRT(9.80665*(General_Model!$D$4/1000))/A580)*A580))-(A580^2/(2*9.80665*General_Model!$D$7))*((4*(0.3164/((General_Model!$D$14*A580*(General_Model!$D$4/1000)/General_Model!$D$15)^0.25))*General_Model!$D$7/(General_Model!$D$4/1000)+1)+(4*(0.3164/((General_Model!$D$14*A580*(General_Model!$D$4/1000)/General_Model!$D$15)^0.25))*General_Model!$D$7/(General_Model!$D$4/1000)+2)*(General_Model!$D$26/A580))</f>
        <v>-0.16128047614007057</v>
      </c>
      <c r="C580" s="13">
        <f t="shared" si="9"/>
        <v>0</v>
      </c>
    </row>
    <row r="581" spans="1:3" x14ac:dyDescent="0.25">
      <c r="A581" s="11">
        <v>0.57899999999999996</v>
      </c>
      <c r="B581" s="12">
        <f>(General_Model!$D$6/General_Model!$D$7)-1/(1+General_Model!$D$26/((1.2+0.2*(General_Model!$D$26/A581)+0.35*SQRT(9.80665*(General_Model!$D$4/1000))/A581)*A581))-(A581^2/(2*9.80665*General_Model!$D$7))*((4*(0.3164/((General_Model!$D$14*A581*(General_Model!$D$4/1000)/General_Model!$D$15)^0.25))*General_Model!$D$7/(General_Model!$D$4/1000)+1)+(4*(0.3164/((General_Model!$D$14*A581*(General_Model!$D$4/1000)/General_Model!$D$15)^0.25))*General_Model!$D$7/(General_Model!$D$4/1000)+2)*(General_Model!$D$26/A581))</f>
        <v>-0.16177204636731973</v>
      </c>
      <c r="C581" s="13">
        <f t="shared" si="9"/>
        <v>0</v>
      </c>
    </row>
    <row r="582" spans="1:3" x14ac:dyDescent="0.25">
      <c r="A582" s="11">
        <v>0.57999999999999996</v>
      </c>
      <c r="B582" s="12">
        <f>(General_Model!$D$6/General_Model!$D$7)-1/(1+General_Model!$D$26/((1.2+0.2*(General_Model!$D$26/A582)+0.35*SQRT(9.80665*(General_Model!$D$4/1000))/A582)*A582))-(A582^2/(2*9.80665*General_Model!$D$7))*((4*(0.3164/((General_Model!$D$14*A582*(General_Model!$D$4/1000)/General_Model!$D$15)^0.25))*General_Model!$D$7/(General_Model!$D$4/1000)+1)+(4*(0.3164/((General_Model!$D$14*A582*(General_Model!$D$4/1000)/General_Model!$D$15)^0.25))*General_Model!$D$7/(General_Model!$D$4/1000)+2)*(General_Model!$D$26/A582))</f>
        <v>-0.16226343799351822</v>
      </c>
      <c r="C582" s="13">
        <f t="shared" si="9"/>
        <v>0</v>
      </c>
    </row>
    <row r="583" spans="1:3" x14ac:dyDescent="0.25">
      <c r="A583" s="11">
        <v>0.58099999999999996</v>
      </c>
      <c r="B583" s="12">
        <f>(General_Model!$D$6/General_Model!$D$7)-1/(1+General_Model!$D$26/((1.2+0.2*(General_Model!$D$26/A583)+0.35*SQRT(9.80665*(General_Model!$D$4/1000))/A583)*A583))-(A583^2/(2*9.80665*General_Model!$D$7))*((4*(0.3164/((General_Model!$D$14*A583*(General_Model!$D$4/1000)/General_Model!$D$15)^0.25))*General_Model!$D$7/(General_Model!$D$4/1000)+1)+(4*(0.3164/((General_Model!$D$14*A583*(General_Model!$D$4/1000)/General_Model!$D$15)^0.25))*General_Model!$D$7/(General_Model!$D$4/1000)+2)*(General_Model!$D$26/A583))</f>
        <v>-0.16275465183747698</v>
      </c>
      <c r="C583" s="13">
        <f t="shared" si="9"/>
        <v>0</v>
      </c>
    </row>
    <row r="584" spans="1:3" x14ac:dyDescent="0.25">
      <c r="A584" s="11">
        <v>0.58199999999999996</v>
      </c>
      <c r="B584" s="12">
        <f>(General_Model!$D$6/General_Model!$D$7)-1/(1+General_Model!$D$26/((1.2+0.2*(General_Model!$D$26/A584)+0.35*SQRT(9.80665*(General_Model!$D$4/1000))/A584)*A584))-(A584^2/(2*9.80665*General_Model!$D$7))*((4*(0.3164/((General_Model!$D$14*A584*(General_Model!$D$4/1000)/General_Model!$D$15)^0.25))*General_Model!$D$7/(General_Model!$D$4/1000)+1)+(4*(0.3164/((General_Model!$D$14*A584*(General_Model!$D$4/1000)/General_Model!$D$15)^0.25))*General_Model!$D$7/(General_Model!$D$4/1000)+2)*(General_Model!$D$26/A584))</f>
        <v>-0.16324568871552131</v>
      </c>
      <c r="C584" s="13">
        <f t="shared" si="9"/>
        <v>0</v>
      </c>
    </row>
    <row r="585" spans="1:3" x14ac:dyDescent="0.25">
      <c r="A585" s="11">
        <v>0.58299999999999996</v>
      </c>
      <c r="B585" s="12">
        <f>(General_Model!$D$6/General_Model!$D$7)-1/(1+General_Model!$D$26/((1.2+0.2*(General_Model!$D$26/A585)+0.35*SQRT(9.80665*(General_Model!$D$4/1000))/A585)*A585))-(A585^2/(2*9.80665*General_Model!$D$7))*((4*(0.3164/((General_Model!$D$14*A585*(General_Model!$D$4/1000)/General_Model!$D$15)^0.25))*General_Model!$D$7/(General_Model!$D$4/1000)+1)+(4*(0.3164/((General_Model!$D$14*A585*(General_Model!$D$4/1000)/General_Model!$D$15)^0.25))*General_Model!$D$7/(General_Model!$D$4/1000)+2)*(General_Model!$D$26/A585))</f>
        <v>-0.16373654944150007</v>
      </c>
      <c r="C585" s="13">
        <f t="shared" si="9"/>
        <v>0</v>
      </c>
    </row>
    <row r="586" spans="1:3" x14ac:dyDescent="0.25">
      <c r="A586" s="11">
        <v>0.58399999999999996</v>
      </c>
      <c r="B586" s="12">
        <f>(General_Model!$D$6/General_Model!$D$7)-1/(1+General_Model!$D$26/((1.2+0.2*(General_Model!$D$26/A586)+0.35*SQRT(9.80665*(General_Model!$D$4/1000))/A586)*A586))-(A586^2/(2*9.80665*General_Model!$D$7))*((4*(0.3164/((General_Model!$D$14*A586*(General_Model!$D$4/1000)/General_Model!$D$15)^0.25))*General_Model!$D$7/(General_Model!$D$4/1000)+1)+(4*(0.3164/((General_Model!$D$14*A586*(General_Model!$D$4/1000)/General_Model!$D$15)^0.25))*General_Model!$D$7/(General_Model!$D$4/1000)+2)*(General_Model!$D$26/A586))</f>
        <v>-0.16422723482679563</v>
      </c>
      <c r="C586" s="13">
        <f t="shared" si="9"/>
        <v>0</v>
      </c>
    </row>
    <row r="587" spans="1:3" x14ac:dyDescent="0.25">
      <c r="A587" s="11">
        <v>0.58499999999999996</v>
      </c>
      <c r="B587" s="12">
        <f>(General_Model!$D$6/General_Model!$D$7)-1/(1+General_Model!$D$26/((1.2+0.2*(General_Model!$D$26/A587)+0.35*SQRT(9.80665*(General_Model!$D$4/1000))/A587)*A587))-(A587^2/(2*9.80665*General_Model!$D$7))*((4*(0.3164/((General_Model!$D$14*A587*(General_Model!$D$4/1000)/General_Model!$D$15)^0.25))*General_Model!$D$7/(General_Model!$D$4/1000)+1)+(4*(0.3164/((General_Model!$D$14*A587*(General_Model!$D$4/1000)/General_Model!$D$15)^0.25))*General_Model!$D$7/(General_Model!$D$4/1000)+2)*(General_Model!$D$26/A587))</f>
        <v>-0.16471774568033257</v>
      </c>
      <c r="C587" s="13">
        <f t="shared" si="9"/>
        <v>0</v>
      </c>
    </row>
    <row r="588" spans="1:3" x14ac:dyDescent="0.25">
      <c r="A588" s="11">
        <v>0.58599999999999997</v>
      </c>
      <c r="B588" s="12">
        <f>(General_Model!$D$6/General_Model!$D$7)-1/(1+General_Model!$D$26/((1.2+0.2*(General_Model!$D$26/A588)+0.35*SQRT(9.80665*(General_Model!$D$4/1000))/A588)*A588))-(A588^2/(2*9.80665*General_Model!$D$7))*((4*(0.3164/((General_Model!$D$14*A588*(General_Model!$D$4/1000)/General_Model!$D$15)^0.25))*General_Model!$D$7/(General_Model!$D$4/1000)+1)+(4*(0.3164/((General_Model!$D$14*A588*(General_Model!$D$4/1000)/General_Model!$D$15)^0.25))*General_Model!$D$7/(General_Model!$D$4/1000)+2)*(General_Model!$D$26/A588))</f>
        <v>-0.1652080828085869</v>
      </c>
      <c r="C588" s="13">
        <f t="shared" si="9"/>
        <v>0</v>
      </c>
    </row>
    <row r="589" spans="1:3" x14ac:dyDescent="0.25">
      <c r="A589" s="11">
        <v>0.58699999999999997</v>
      </c>
      <c r="B589" s="12">
        <f>(General_Model!$D$6/General_Model!$D$7)-1/(1+General_Model!$D$26/((1.2+0.2*(General_Model!$D$26/A589)+0.35*SQRT(9.80665*(General_Model!$D$4/1000))/A589)*A589))-(A589^2/(2*9.80665*General_Model!$D$7))*((4*(0.3164/((General_Model!$D$14*A589*(General_Model!$D$4/1000)/General_Model!$D$15)^0.25))*General_Model!$D$7/(General_Model!$D$4/1000)+1)+(4*(0.3164/((General_Model!$D$14*A589*(General_Model!$D$4/1000)/General_Model!$D$15)^0.25))*General_Model!$D$7/(General_Model!$D$4/1000)+2)*(General_Model!$D$26/A589))</f>
        <v>-0.16569824701559588</v>
      </c>
      <c r="C589" s="13">
        <f t="shared" si="9"/>
        <v>0</v>
      </c>
    </row>
    <row r="590" spans="1:3" x14ac:dyDescent="0.25">
      <c r="A590" s="11">
        <v>0.58799999999999997</v>
      </c>
      <c r="B590" s="12">
        <f>(General_Model!$D$6/General_Model!$D$7)-1/(1+General_Model!$D$26/((1.2+0.2*(General_Model!$D$26/A590)+0.35*SQRT(9.80665*(General_Model!$D$4/1000))/A590)*A590))-(A590^2/(2*9.80665*General_Model!$D$7))*((4*(0.3164/((General_Model!$D$14*A590*(General_Model!$D$4/1000)/General_Model!$D$15)^0.25))*General_Model!$D$7/(General_Model!$D$4/1000)+1)+(4*(0.3164/((General_Model!$D$14*A590*(General_Model!$D$4/1000)/General_Model!$D$15)^0.25))*General_Model!$D$7/(General_Model!$D$4/1000)+2)*(General_Model!$D$26/A590))</f>
        <v>-0.1661882391029666</v>
      </c>
      <c r="C590" s="13">
        <f t="shared" si="9"/>
        <v>0</v>
      </c>
    </row>
    <row r="591" spans="1:3" x14ac:dyDescent="0.25">
      <c r="A591" s="11">
        <v>0.58899999999999997</v>
      </c>
      <c r="B591" s="12">
        <f>(General_Model!$D$6/General_Model!$D$7)-1/(1+General_Model!$D$26/((1.2+0.2*(General_Model!$D$26/A591)+0.35*SQRT(9.80665*(General_Model!$D$4/1000))/A591)*A591))-(A591^2/(2*9.80665*General_Model!$D$7))*((4*(0.3164/((General_Model!$D$14*A591*(General_Model!$D$4/1000)/General_Model!$D$15)^0.25))*General_Model!$D$7/(General_Model!$D$4/1000)+1)+(4*(0.3164/((General_Model!$D$14*A591*(General_Model!$D$4/1000)/General_Model!$D$15)^0.25))*General_Model!$D$7/(General_Model!$D$4/1000)+2)*(General_Model!$D$26/A591))</f>
        <v>-0.16667805986988532</v>
      </c>
      <c r="C591" s="13">
        <f t="shared" si="9"/>
        <v>0</v>
      </c>
    </row>
    <row r="592" spans="1:3" x14ac:dyDescent="0.25">
      <c r="A592" s="11">
        <v>0.59</v>
      </c>
      <c r="B592" s="12">
        <f>(General_Model!$D$6/General_Model!$D$7)-1/(1+General_Model!$D$26/((1.2+0.2*(General_Model!$D$26/A592)+0.35*SQRT(9.80665*(General_Model!$D$4/1000))/A592)*A592))-(A592^2/(2*9.80665*General_Model!$D$7))*((4*(0.3164/((General_Model!$D$14*A592*(General_Model!$D$4/1000)/General_Model!$D$15)^0.25))*General_Model!$D$7/(General_Model!$D$4/1000)+1)+(4*(0.3164/((General_Model!$D$14*A592*(General_Model!$D$4/1000)/General_Model!$D$15)^0.25))*General_Model!$D$7/(General_Model!$D$4/1000)+2)*(General_Model!$D$26/A592))</f>
        <v>-0.16716771011312698</v>
      </c>
      <c r="C592" s="13">
        <f t="shared" si="9"/>
        <v>0</v>
      </c>
    </row>
    <row r="593" spans="1:3" x14ac:dyDescent="0.25">
      <c r="A593" s="11">
        <v>0.59099999999999997</v>
      </c>
      <c r="B593" s="12">
        <f>(General_Model!$D$6/General_Model!$D$7)-1/(1+General_Model!$D$26/((1.2+0.2*(General_Model!$D$26/A593)+0.35*SQRT(9.80665*(General_Model!$D$4/1000))/A593)*A593))-(A593^2/(2*9.80665*General_Model!$D$7))*((4*(0.3164/((General_Model!$D$14*A593*(General_Model!$D$4/1000)/General_Model!$D$15)^0.25))*General_Model!$D$7/(General_Model!$D$4/1000)+1)+(4*(0.3164/((General_Model!$D$14*A593*(General_Model!$D$4/1000)/General_Model!$D$15)^0.25))*General_Model!$D$7/(General_Model!$D$4/1000)+2)*(General_Model!$D$26/A593))</f>
        <v>-0.16765719062706333</v>
      </c>
      <c r="C593" s="13">
        <f t="shared" si="9"/>
        <v>0</v>
      </c>
    </row>
    <row r="594" spans="1:3" x14ac:dyDescent="0.25">
      <c r="A594" s="11">
        <v>0.59199999999999997</v>
      </c>
      <c r="B594" s="12">
        <f>(General_Model!$D$6/General_Model!$D$7)-1/(1+General_Model!$D$26/((1.2+0.2*(General_Model!$D$26/A594)+0.35*SQRT(9.80665*(General_Model!$D$4/1000))/A594)*A594))-(A594^2/(2*9.80665*General_Model!$D$7))*((4*(0.3164/((General_Model!$D$14*A594*(General_Model!$D$4/1000)/General_Model!$D$15)^0.25))*General_Model!$D$7/(General_Model!$D$4/1000)+1)+(4*(0.3164/((General_Model!$D$14*A594*(General_Model!$D$4/1000)/General_Model!$D$15)^0.25))*General_Model!$D$7/(General_Model!$D$4/1000)+2)*(General_Model!$D$26/A594))</f>
        <v>-0.16814650220367289</v>
      </c>
      <c r="C594" s="13">
        <f t="shared" si="9"/>
        <v>0</v>
      </c>
    </row>
    <row r="595" spans="1:3" x14ac:dyDescent="0.25">
      <c r="A595" s="11">
        <v>0.59299999999999997</v>
      </c>
      <c r="B595" s="12">
        <f>(General_Model!$D$6/General_Model!$D$7)-1/(1+General_Model!$D$26/((1.2+0.2*(General_Model!$D$26/A595)+0.35*SQRT(9.80665*(General_Model!$D$4/1000))/A595)*A595))-(A595^2/(2*9.80665*General_Model!$D$7))*((4*(0.3164/((General_Model!$D$14*A595*(General_Model!$D$4/1000)/General_Model!$D$15)^0.25))*General_Model!$D$7/(General_Model!$D$4/1000)+1)+(4*(0.3164/((General_Model!$D$14*A595*(General_Model!$D$4/1000)/General_Model!$D$15)^0.25))*General_Model!$D$7/(General_Model!$D$4/1000)+2)*(General_Model!$D$26/A595))</f>
        <v>-0.16863564563254921</v>
      </c>
      <c r="C595" s="13">
        <f t="shared" si="9"/>
        <v>0</v>
      </c>
    </row>
    <row r="596" spans="1:3" x14ac:dyDescent="0.25">
      <c r="A596" s="11">
        <v>0.59399999999999997</v>
      </c>
      <c r="B596" s="12">
        <f>(General_Model!$D$6/General_Model!$D$7)-1/(1+General_Model!$D$26/((1.2+0.2*(General_Model!$D$26/A596)+0.35*SQRT(9.80665*(General_Model!$D$4/1000))/A596)*A596))-(A596^2/(2*9.80665*General_Model!$D$7))*((4*(0.3164/((General_Model!$D$14*A596*(General_Model!$D$4/1000)/General_Model!$D$15)^0.25))*General_Model!$D$7/(General_Model!$D$4/1000)+1)+(4*(0.3164/((General_Model!$D$14*A596*(General_Model!$D$4/1000)/General_Model!$D$15)^0.25))*General_Model!$D$7/(General_Model!$D$4/1000)+2)*(General_Model!$D$26/A596))</f>
        <v>-0.16912462170091025</v>
      </c>
      <c r="C596" s="13">
        <f t="shared" si="9"/>
        <v>0</v>
      </c>
    </row>
    <row r="597" spans="1:3" x14ac:dyDescent="0.25">
      <c r="A597" s="11">
        <v>0.59499999999999997</v>
      </c>
      <c r="B597" s="12">
        <f>(General_Model!$D$6/General_Model!$D$7)-1/(1+General_Model!$D$26/((1.2+0.2*(General_Model!$D$26/A597)+0.35*SQRT(9.80665*(General_Model!$D$4/1000))/A597)*A597))-(A597^2/(2*9.80665*General_Model!$D$7))*((4*(0.3164/((General_Model!$D$14*A597*(General_Model!$D$4/1000)/General_Model!$D$15)^0.25))*General_Model!$D$7/(General_Model!$D$4/1000)+1)+(4*(0.3164/((General_Model!$D$14*A597*(General_Model!$D$4/1000)/General_Model!$D$15)^0.25))*General_Model!$D$7/(General_Model!$D$4/1000)+2)*(General_Model!$D$26/A597))</f>
        <v>-0.16961343119360694</v>
      </c>
      <c r="C597" s="13">
        <f t="shared" si="9"/>
        <v>0</v>
      </c>
    </row>
    <row r="598" spans="1:3" x14ac:dyDescent="0.25">
      <c r="A598" s="11">
        <v>0.59599999999999997</v>
      </c>
      <c r="B598" s="12">
        <f>(General_Model!$D$6/General_Model!$D$7)-1/(1+General_Model!$D$26/((1.2+0.2*(General_Model!$D$26/A598)+0.35*SQRT(9.80665*(General_Model!$D$4/1000))/A598)*A598))-(A598^2/(2*9.80665*General_Model!$D$7))*((4*(0.3164/((General_Model!$D$14*A598*(General_Model!$D$4/1000)/General_Model!$D$15)^0.25))*General_Model!$D$7/(General_Model!$D$4/1000)+1)+(4*(0.3164/((General_Model!$D$14*A598*(General_Model!$D$4/1000)/General_Model!$D$15)^0.25))*General_Model!$D$7/(General_Model!$D$4/1000)+2)*(General_Model!$D$26/A598))</f>
        <v>-0.17010207489313245</v>
      </c>
      <c r="C598" s="13">
        <f t="shared" si="9"/>
        <v>0</v>
      </c>
    </row>
    <row r="599" spans="1:3" x14ac:dyDescent="0.25">
      <c r="A599" s="11">
        <v>0.59699999999999998</v>
      </c>
      <c r="B599" s="12">
        <f>(General_Model!$D$6/General_Model!$D$7)-1/(1+General_Model!$D$26/((1.2+0.2*(General_Model!$D$26/A599)+0.35*SQRT(9.80665*(General_Model!$D$4/1000))/A599)*A599))-(A599^2/(2*9.80665*General_Model!$D$7))*((4*(0.3164/((General_Model!$D$14*A599*(General_Model!$D$4/1000)/General_Model!$D$15)^0.25))*General_Model!$D$7/(General_Model!$D$4/1000)+1)+(4*(0.3164/((General_Model!$D$14*A599*(General_Model!$D$4/1000)/General_Model!$D$15)^0.25))*General_Model!$D$7/(General_Model!$D$4/1000)+2)*(General_Model!$D$26/A599))</f>
        <v>-0.17059055357963038</v>
      </c>
      <c r="C599" s="13">
        <f t="shared" si="9"/>
        <v>0</v>
      </c>
    </row>
    <row r="600" spans="1:3" x14ac:dyDescent="0.25">
      <c r="A600" s="11">
        <v>0.59799999999999998</v>
      </c>
      <c r="B600" s="12">
        <f>(General_Model!$D$6/General_Model!$D$7)-1/(1+General_Model!$D$26/((1.2+0.2*(General_Model!$D$26/A600)+0.35*SQRT(9.80665*(General_Model!$D$4/1000))/A600)*A600))-(A600^2/(2*9.80665*General_Model!$D$7))*((4*(0.3164/((General_Model!$D$14*A600*(General_Model!$D$4/1000)/General_Model!$D$15)^0.25))*General_Model!$D$7/(General_Model!$D$4/1000)+1)+(4*(0.3164/((General_Model!$D$14*A600*(General_Model!$D$4/1000)/General_Model!$D$15)^0.25))*General_Model!$D$7/(General_Model!$D$4/1000)+2)*(General_Model!$D$26/A600))</f>
        <v>-0.17107886803090414</v>
      </c>
      <c r="C600" s="13">
        <f t="shared" si="9"/>
        <v>0</v>
      </c>
    </row>
    <row r="601" spans="1:3" x14ac:dyDescent="0.25">
      <c r="A601" s="11">
        <v>0.59899999999999998</v>
      </c>
      <c r="B601" s="12">
        <f>(General_Model!$D$6/General_Model!$D$7)-1/(1+General_Model!$D$26/((1.2+0.2*(General_Model!$D$26/A601)+0.35*SQRT(9.80665*(General_Model!$D$4/1000))/A601)*A601))-(A601^2/(2*9.80665*General_Model!$D$7))*((4*(0.3164/((General_Model!$D$14*A601*(General_Model!$D$4/1000)/General_Model!$D$15)^0.25))*General_Model!$D$7/(General_Model!$D$4/1000)+1)+(4*(0.3164/((General_Model!$D$14*A601*(General_Model!$D$4/1000)/General_Model!$D$15)^0.25))*General_Model!$D$7/(General_Model!$D$4/1000)+2)*(General_Model!$D$26/A601))</f>
        <v>-0.17156701902242538</v>
      </c>
      <c r="C601" s="13">
        <f t="shared" si="9"/>
        <v>0</v>
      </c>
    </row>
    <row r="602" spans="1:3" x14ac:dyDescent="0.25">
      <c r="A602" s="11">
        <v>0.6</v>
      </c>
      <c r="B602" s="12">
        <f>(General_Model!$D$6/General_Model!$D$7)-1/(1+General_Model!$D$26/((1.2+0.2*(General_Model!$D$26/A602)+0.35*SQRT(9.80665*(General_Model!$D$4/1000))/A602)*A602))-(A602^2/(2*9.80665*General_Model!$D$7))*((4*(0.3164/((General_Model!$D$14*A602*(General_Model!$D$4/1000)/General_Model!$D$15)^0.25))*General_Model!$D$7/(General_Model!$D$4/1000)+1)+(4*(0.3164/((General_Model!$D$14*A602*(General_Model!$D$4/1000)/General_Model!$D$15)^0.25))*General_Model!$D$7/(General_Model!$D$4/1000)+2)*(General_Model!$D$26/A602))</f>
        <v>-0.17205500732734264</v>
      </c>
      <c r="C602" s="13">
        <f t="shared" si="9"/>
        <v>0</v>
      </c>
    </row>
    <row r="603" spans="1:3" x14ac:dyDescent="0.25">
      <c r="A603" s="11">
        <v>0.60099999999999998</v>
      </c>
      <c r="B603" s="12">
        <f>(General_Model!$D$6/General_Model!$D$7)-1/(1+General_Model!$D$26/((1.2+0.2*(General_Model!$D$26/A603)+0.35*SQRT(9.80665*(General_Model!$D$4/1000))/A603)*A603))-(A603^2/(2*9.80665*General_Model!$D$7))*((4*(0.3164/((General_Model!$D$14*A603*(General_Model!$D$4/1000)/General_Model!$D$15)^0.25))*General_Model!$D$7/(General_Model!$D$4/1000)+1)+(4*(0.3164/((General_Model!$D$14*A603*(General_Model!$D$4/1000)/General_Model!$D$15)^0.25))*General_Model!$D$7/(General_Model!$D$4/1000)+2)*(General_Model!$D$26/A603))</f>
        <v>-0.17254283371648993</v>
      </c>
      <c r="C603" s="13">
        <f t="shared" si="9"/>
        <v>0</v>
      </c>
    </row>
    <row r="604" spans="1:3" x14ac:dyDescent="0.25">
      <c r="A604" s="11">
        <v>0.60199999999999998</v>
      </c>
      <c r="B604" s="12">
        <f>(General_Model!$D$6/General_Model!$D$7)-1/(1+General_Model!$D$26/((1.2+0.2*(General_Model!$D$26/A604)+0.35*SQRT(9.80665*(General_Model!$D$4/1000))/A604)*A604))-(A604^2/(2*9.80665*General_Model!$D$7))*((4*(0.3164/((General_Model!$D$14*A604*(General_Model!$D$4/1000)/General_Model!$D$15)^0.25))*General_Model!$D$7/(General_Model!$D$4/1000)+1)+(4*(0.3164/((General_Model!$D$14*A604*(General_Model!$D$4/1000)/General_Model!$D$15)^0.25))*General_Model!$D$7/(General_Model!$D$4/1000)+2)*(General_Model!$D$26/A604))</f>
        <v>-0.17303049895839567</v>
      </c>
      <c r="C604" s="13">
        <f t="shared" si="9"/>
        <v>0</v>
      </c>
    </row>
    <row r="605" spans="1:3" x14ac:dyDescent="0.25">
      <c r="A605" s="11">
        <v>0.60299999999999998</v>
      </c>
      <c r="B605" s="12">
        <f>(General_Model!$D$6/General_Model!$D$7)-1/(1+General_Model!$D$26/((1.2+0.2*(General_Model!$D$26/A605)+0.35*SQRT(9.80665*(General_Model!$D$4/1000))/A605)*A605))-(A605^2/(2*9.80665*General_Model!$D$7))*((4*(0.3164/((General_Model!$D$14*A605*(General_Model!$D$4/1000)/General_Model!$D$15)^0.25))*General_Model!$D$7/(General_Model!$D$4/1000)+1)+(4*(0.3164/((General_Model!$D$14*A605*(General_Model!$D$4/1000)/General_Model!$D$15)^0.25))*General_Model!$D$7/(General_Model!$D$4/1000)+2)*(General_Model!$D$26/A605))</f>
        <v>-0.17351800381929122</v>
      </c>
      <c r="C605" s="13">
        <f t="shared" si="9"/>
        <v>0</v>
      </c>
    </row>
    <row r="606" spans="1:3" x14ac:dyDescent="0.25">
      <c r="A606" s="11">
        <v>0.60399999999999998</v>
      </c>
      <c r="B606" s="12">
        <f>(General_Model!$D$6/General_Model!$D$7)-1/(1+General_Model!$D$26/((1.2+0.2*(General_Model!$D$26/A606)+0.35*SQRT(9.80665*(General_Model!$D$4/1000))/A606)*A606))-(A606^2/(2*9.80665*General_Model!$D$7))*((4*(0.3164/((General_Model!$D$14*A606*(General_Model!$D$4/1000)/General_Model!$D$15)^0.25))*General_Model!$D$7/(General_Model!$D$4/1000)+1)+(4*(0.3164/((General_Model!$D$14*A606*(General_Model!$D$4/1000)/General_Model!$D$15)^0.25))*General_Model!$D$7/(General_Model!$D$4/1000)+2)*(General_Model!$D$26/A606))</f>
        <v>-0.17400534906311893</v>
      </c>
      <c r="C606" s="13">
        <f t="shared" si="9"/>
        <v>0</v>
      </c>
    </row>
    <row r="607" spans="1:3" x14ac:dyDescent="0.25">
      <c r="A607" s="11">
        <v>0.60499999999999998</v>
      </c>
      <c r="B607" s="12">
        <f>(General_Model!$D$6/General_Model!$D$7)-1/(1+General_Model!$D$26/((1.2+0.2*(General_Model!$D$26/A607)+0.35*SQRT(9.80665*(General_Model!$D$4/1000))/A607)*A607))-(A607^2/(2*9.80665*General_Model!$D$7))*((4*(0.3164/((General_Model!$D$14*A607*(General_Model!$D$4/1000)/General_Model!$D$15)^0.25))*General_Model!$D$7/(General_Model!$D$4/1000)+1)+(4*(0.3164/((General_Model!$D$14*A607*(General_Model!$D$4/1000)/General_Model!$D$15)^0.25))*General_Model!$D$7/(General_Model!$D$4/1000)+2)*(General_Model!$D$26/A607))</f>
        <v>-0.17449253545154098</v>
      </c>
      <c r="C607" s="13">
        <f t="shared" si="9"/>
        <v>0</v>
      </c>
    </row>
    <row r="608" spans="1:3" x14ac:dyDescent="0.25">
      <c r="A608" s="11">
        <v>0.60599999999999998</v>
      </c>
      <c r="B608" s="12">
        <f>(General_Model!$D$6/General_Model!$D$7)-1/(1+General_Model!$D$26/((1.2+0.2*(General_Model!$D$26/A608)+0.35*SQRT(9.80665*(General_Model!$D$4/1000))/A608)*A608))-(A608^2/(2*9.80665*General_Model!$D$7))*((4*(0.3164/((General_Model!$D$14*A608*(General_Model!$D$4/1000)/General_Model!$D$15)^0.25))*General_Model!$D$7/(General_Model!$D$4/1000)+1)+(4*(0.3164/((General_Model!$D$14*A608*(General_Model!$D$4/1000)/General_Model!$D$15)^0.25))*General_Model!$D$7/(General_Model!$D$4/1000)+2)*(General_Model!$D$26/A608))</f>
        <v>-0.17497956374394813</v>
      </c>
      <c r="C608" s="13">
        <f t="shared" si="9"/>
        <v>0</v>
      </c>
    </row>
    <row r="609" spans="1:3" x14ac:dyDescent="0.25">
      <c r="A609" s="11">
        <v>0.60699999999999998</v>
      </c>
      <c r="B609" s="12">
        <f>(General_Model!$D$6/General_Model!$D$7)-1/(1+General_Model!$D$26/((1.2+0.2*(General_Model!$D$26/A609)+0.35*SQRT(9.80665*(General_Model!$D$4/1000))/A609)*A609))-(A609^2/(2*9.80665*General_Model!$D$7))*((4*(0.3164/((General_Model!$D$14*A609*(General_Model!$D$4/1000)/General_Model!$D$15)^0.25))*General_Model!$D$7/(General_Model!$D$4/1000)+1)+(4*(0.3164/((General_Model!$D$14*A609*(General_Model!$D$4/1000)/General_Model!$D$15)^0.25))*General_Model!$D$7/(General_Model!$D$4/1000)+2)*(General_Model!$D$26/A609))</f>
        <v>-0.17546643469746723</v>
      </c>
      <c r="C609" s="13">
        <f t="shared" si="9"/>
        <v>0</v>
      </c>
    </row>
    <row r="610" spans="1:3" x14ac:dyDescent="0.25">
      <c r="A610" s="11">
        <v>0.60799999999999998</v>
      </c>
      <c r="B610" s="12">
        <f>(General_Model!$D$6/General_Model!$D$7)-1/(1+General_Model!$D$26/((1.2+0.2*(General_Model!$D$26/A610)+0.35*SQRT(9.80665*(General_Model!$D$4/1000))/A610)*A610))-(A610^2/(2*9.80665*General_Model!$D$7))*((4*(0.3164/((General_Model!$D$14*A610*(General_Model!$D$4/1000)/General_Model!$D$15)^0.25))*General_Model!$D$7/(General_Model!$D$4/1000)+1)+(4*(0.3164/((General_Model!$D$14*A610*(General_Model!$D$4/1000)/General_Model!$D$15)^0.25))*General_Model!$D$7/(General_Model!$D$4/1000)+2)*(General_Model!$D$26/A610))</f>
        <v>-0.17595314906697102</v>
      </c>
      <c r="C610" s="13">
        <f t="shared" si="9"/>
        <v>0</v>
      </c>
    </row>
    <row r="611" spans="1:3" x14ac:dyDescent="0.25">
      <c r="A611" s="11">
        <v>0.60899999999999999</v>
      </c>
      <c r="B611" s="12">
        <f>(General_Model!$D$6/General_Model!$D$7)-1/(1+General_Model!$D$26/((1.2+0.2*(General_Model!$D$26/A611)+0.35*SQRT(9.80665*(General_Model!$D$4/1000))/A611)*A611))-(A611^2/(2*9.80665*General_Model!$D$7))*((4*(0.3164/((General_Model!$D$14*A611*(General_Model!$D$4/1000)/General_Model!$D$15)^0.25))*General_Model!$D$7/(General_Model!$D$4/1000)+1)+(4*(0.3164/((General_Model!$D$14*A611*(General_Model!$D$4/1000)/General_Model!$D$15)^0.25))*General_Model!$D$7/(General_Model!$D$4/1000)+2)*(General_Model!$D$26/A611))</f>
        <v>-0.17643970760508487</v>
      </c>
      <c r="C611" s="13">
        <f t="shared" si="9"/>
        <v>0</v>
      </c>
    </row>
    <row r="612" spans="1:3" x14ac:dyDescent="0.25">
      <c r="A612" s="11">
        <v>0.61</v>
      </c>
      <c r="B612" s="12">
        <f>(General_Model!$D$6/General_Model!$D$7)-1/(1+General_Model!$D$26/((1.2+0.2*(General_Model!$D$26/A612)+0.35*SQRT(9.80665*(General_Model!$D$4/1000))/A612)*A612))-(A612^2/(2*9.80665*General_Model!$D$7))*((4*(0.3164/((General_Model!$D$14*A612*(General_Model!$D$4/1000)/General_Model!$D$15)^0.25))*General_Model!$D$7/(General_Model!$D$4/1000)+1)+(4*(0.3164/((General_Model!$D$14*A612*(General_Model!$D$4/1000)/General_Model!$D$15)^0.25))*General_Model!$D$7/(General_Model!$D$4/1000)+2)*(General_Model!$D$26/A612))</f>
        <v>-0.17692611106219633</v>
      </c>
      <c r="C612" s="13">
        <f t="shared" si="9"/>
        <v>0</v>
      </c>
    </row>
    <row r="613" spans="1:3" x14ac:dyDescent="0.25">
      <c r="A613" s="11">
        <v>0.61099999999999999</v>
      </c>
      <c r="B613" s="12">
        <f>(General_Model!$D$6/General_Model!$D$7)-1/(1+General_Model!$D$26/((1.2+0.2*(General_Model!$D$26/A613)+0.35*SQRT(9.80665*(General_Model!$D$4/1000))/A613)*A613))-(A613^2/(2*9.80665*General_Model!$D$7))*((4*(0.3164/((General_Model!$D$14*A613*(General_Model!$D$4/1000)/General_Model!$D$15)^0.25))*General_Model!$D$7/(General_Model!$D$4/1000)+1)+(4*(0.3164/((General_Model!$D$14*A613*(General_Model!$D$4/1000)/General_Model!$D$15)^0.25))*General_Model!$D$7/(General_Model!$D$4/1000)+2)*(General_Model!$D$26/A613))</f>
        <v>-0.17741236018646242</v>
      </c>
      <c r="C613" s="13">
        <f t="shared" si="9"/>
        <v>0</v>
      </c>
    </row>
    <row r="614" spans="1:3" x14ac:dyDescent="0.25">
      <c r="A614" s="11">
        <v>0.61199999999999999</v>
      </c>
      <c r="B614" s="12">
        <f>(General_Model!$D$6/General_Model!$D$7)-1/(1+General_Model!$D$26/((1.2+0.2*(General_Model!$D$26/A614)+0.35*SQRT(9.80665*(General_Model!$D$4/1000))/A614)*A614))-(A614^2/(2*9.80665*General_Model!$D$7))*((4*(0.3164/((General_Model!$D$14*A614*(General_Model!$D$4/1000)/General_Model!$D$15)^0.25))*General_Model!$D$7/(General_Model!$D$4/1000)+1)+(4*(0.3164/((General_Model!$D$14*A614*(General_Model!$D$4/1000)/General_Model!$D$15)^0.25))*General_Model!$D$7/(General_Model!$D$4/1000)+2)*(General_Model!$D$26/A614))</f>
        <v>-0.17789845572381921</v>
      </c>
      <c r="C614" s="13">
        <f t="shared" si="9"/>
        <v>0</v>
      </c>
    </row>
    <row r="615" spans="1:3" x14ac:dyDescent="0.25">
      <c r="A615" s="11">
        <v>0.61299999999999999</v>
      </c>
      <c r="B615" s="12">
        <f>(General_Model!$D$6/General_Model!$D$7)-1/(1+General_Model!$D$26/((1.2+0.2*(General_Model!$D$26/A615)+0.35*SQRT(9.80665*(General_Model!$D$4/1000))/A615)*A615))-(A615^2/(2*9.80665*General_Model!$D$7))*((4*(0.3164/((General_Model!$D$14*A615*(General_Model!$D$4/1000)/General_Model!$D$15)^0.25))*General_Model!$D$7/(General_Model!$D$4/1000)+1)+(4*(0.3164/((General_Model!$D$14*A615*(General_Model!$D$4/1000)/General_Model!$D$15)^0.25))*General_Model!$D$7/(General_Model!$D$4/1000)+2)*(General_Model!$D$26/A615))</f>
        <v>-0.17838439841798806</v>
      </c>
      <c r="C615" s="13">
        <f t="shared" si="9"/>
        <v>0</v>
      </c>
    </row>
    <row r="616" spans="1:3" x14ac:dyDescent="0.25">
      <c r="A616" s="11">
        <v>0.61399999999999999</v>
      </c>
      <c r="B616" s="12">
        <f>(General_Model!$D$6/General_Model!$D$7)-1/(1+General_Model!$D$26/((1.2+0.2*(General_Model!$D$26/A616)+0.35*SQRT(9.80665*(General_Model!$D$4/1000))/A616)*A616))-(A616^2/(2*9.80665*General_Model!$D$7))*((4*(0.3164/((General_Model!$D$14*A616*(General_Model!$D$4/1000)/General_Model!$D$15)^0.25))*General_Model!$D$7/(General_Model!$D$4/1000)+1)+(4*(0.3164/((General_Model!$D$14*A616*(General_Model!$D$4/1000)/General_Model!$D$15)^0.25))*General_Model!$D$7/(General_Model!$D$4/1000)+2)*(General_Model!$D$26/A616))</f>
        <v>-0.17887018901048579</v>
      </c>
      <c r="C616" s="13">
        <f t="shared" si="9"/>
        <v>0</v>
      </c>
    </row>
    <row r="617" spans="1:3" x14ac:dyDescent="0.25">
      <c r="A617" s="11">
        <v>0.61499999999999999</v>
      </c>
      <c r="B617" s="12">
        <f>(General_Model!$D$6/General_Model!$D$7)-1/(1+General_Model!$D$26/((1.2+0.2*(General_Model!$D$26/A617)+0.35*SQRT(9.80665*(General_Model!$D$4/1000))/A617)*A617))-(A617^2/(2*9.80665*General_Model!$D$7))*((4*(0.3164/((General_Model!$D$14*A617*(General_Model!$D$4/1000)/General_Model!$D$15)^0.25))*General_Model!$D$7/(General_Model!$D$4/1000)+1)+(4*(0.3164/((General_Model!$D$14*A617*(General_Model!$D$4/1000)/General_Model!$D$15)^0.25))*General_Model!$D$7/(General_Model!$D$4/1000)+2)*(General_Model!$D$26/A617))</f>
        <v>-0.17935582824063154</v>
      </c>
      <c r="C617" s="13">
        <f t="shared" si="9"/>
        <v>0</v>
      </c>
    </row>
    <row r="618" spans="1:3" x14ac:dyDescent="0.25">
      <c r="A618" s="11">
        <v>0.61599999999999999</v>
      </c>
      <c r="B618" s="12">
        <f>(General_Model!$D$6/General_Model!$D$7)-1/(1+General_Model!$D$26/((1.2+0.2*(General_Model!$D$26/A618)+0.35*SQRT(9.80665*(General_Model!$D$4/1000))/A618)*A618))-(A618^2/(2*9.80665*General_Model!$D$7))*((4*(0.3164/((General_Model!$D$14*A618*(General_Model!$D$4/1000)/General_Model!$D$15)^0.25))*General_Model!$D$7/(General_Model!$D$4/1000)+1)+(4*(0.3164/((General_Model!$D$14*A618*(General_Model!$D$4/1000)/General_Model!$D$15)^0.25))*General_Model!$D$7/(General_Model!$D$4/1000)+2)*(General_Model!$D$26/A618))</f>
        <v>-0.17984131684555502</v>
      </c>
      <c r="C618" s="13">
        <f t="shared" si="9"/>
        <v>0</v>
      </c>
    </row>
    <row r="619" spans="1:3" x14ac:dyDescent="0.25">
      <c r="A619" s="11">
        <v>0.61699999999999999</v>
      </c>
      <c r="B619" s="12">
        <f>(General_Model!$D$6/General_Model!$D$7)-1/(1+General_Model!$D$26/((1.2+0.2*(General_Model!$D$26/A619)+0.35*SQRT(9.80665*(General_Model!$D$4/1000))/A619)*A619))-(A619^2/(2*9.80665*General_Model!$D$7))*((4*(0.3164/((General_Model!$D$14*A619*(General_Model!$D$4/1000)/General_Model!$D$15)^0.25))*General_Model!$D$7/(General_Model!$D$4/1000)+1)+(4*(0.3164/((General_Model!$D$14*A619*(General_Model!$D$4/1000)/General_Model!$D$15)^0.25))*General_Model!$D$7/(General_Model!$D$4/1000)+2)*(General_Model!$D$26/A619))</f>
        <v>-0.18032665556020502</v>
      </c>
      <c r="C619" s="13">
        <f t="shared" si="9"/>
        <v>0</v>
      </c>
    </row>
    <row r="620" spans="1:3" x14ac:dyDescent="0.25">
      <c r="A620" s="11">
        <v>0.61799999999999999</v>
      </c>
      <c r="B620" s="12">
        <f>(General_Model!$D$6/General_Model!$D$7)-1/(1+General_Model!$D$26/((1.2+0.2*(General_Model!$D$26/A620)+0.35*SQRT(9.80665*(General_Model!$D$4/1000))/A620)*A620))-(A620^2/(2*9.80665*General_Model!$D$7))*((4*(0.3164/((General_Model!$D$14*A620*(General_Model!$D$4/1000)/General_Model!$D$15)^0.25))*General_Model!$D$7/(General_Model!$D$4/1000)+1)+(4*(0.3164/((General_Model!$D$14*A620*(General_Model!$D$4/1000)/General_Model!$D$15)^0.25))*General_Model!$D$7/(General_Model!$D$4/1000)+2)*(General_Model!$D$26/A620))</f>
        <v>-0.18081184511735698</v>
      </c>
      <c r="C620" s="13">
        <f t="shared" si="9"/>
        <v>0</v>
      </c>
    </row>
    <row r="621" spans="1:3" x14ac:dyDescent="0.25">
      <c r="A621" s="11">
        <v>0.61899999999999999</v>
      </c>
      <c r="B621" s="12">
        <f>(General_Model!$D$6/General_Model!$D$7)-1/(1+General_Model!$D$26/((1.2+0.2*(General_Model!$D$26/A621)+0.35*SQRT(9.80665*(General_Model!$D$4/1000))/A621)*A621))-(A621^2/(2*9.80665*General_Model!$D$7))*((4*(0.3164/((General_Model!$D$14*A621*(General_Model!$D$4/1000)/General_Model!$D$15)^0.25))*General_Model!$D$7/(General_Model!$D$4/1000)+1)+(4*(0.3164/((General_Model!$D$14*A621*(General_Model!$D$4/1000)/General_Model!$D$15)^0.25))*General_Model!$D$7/(General_Model!$D$4/1000)+2)*(General_Model!$D$26/A621))</f>
        <v>-0.18129688624762133</v>
      </c>
      <c r="C621" s="13">
        <f t="shared" si="9"/>
        <v>0</v>
      </c>
    </row>
    <row r="622" spans="1:3" x14ac:dyDescent="0.25">
      <c r="A622" s="11">
        <v>0.62</v>
      </c>
      <c r="B622" s="12">
        <f>(General_Model!$D$6/General_Model!$D$7)-1/(1+General_Model!$D$26/((1.2+0.2*(General_Model!$D$26/A622)+0.35*SQRT(9.80665*(General_Model!$D$4/1000))/A622)*A622))-(A622^2/(2*9.80665*General_Model!$D$7))*((4*(0.3164/((General_Model!$D$14*A622*(General_Model!$D$4/1000)/General_Model!$D$15)^0.25))*General_Model!$D$7/(General_Model!$D$4/1000)+1)+(4*(0.3164/((General_Model!$D$14*A622*(General_Model!$D$4/1000)/General_Model!$D$15)^0.25))*General_Model!$D$7/(General_Model!$D$4/1000)+2)*(General_Model!$D$26/A622))</f>
        <v>-0.18178177967945081</v>
      </c>
      <c r="C622" s="13">
        <f t="shared" si="9"/>
        <v>0</v>
      </c>
    </row>
    <row r="623" spans="1:3" x14ac:dyDescent="0.25">
      <c r="A623" s="11">
        <v>0.621</v>
      </c>
      <c r="B623" s="12">
        <f>(General_Model!$D$6/General_Model!$D$7)-1/(1+General_Model!$D$26/((1.2+0.2*(General_Model!$D$26/A623)+0.35*SQRT(9.80665*(General_Model!$D$4/1000))/A623)*A623))-(A623^2/(2*9.80665*General_Model!$D$7))*((4*(0.3164/((General_Model!$D$14*A623*(General_Model!$D$4/1000)/General_Model!$D$15)^0.25))*General_Model!$D$7/(General_Model!$D$4/1000)+1)+(4*(0.3164/((General_Model!$D$14*A623*(General_Model!$D$4/1000)/General_Model!$D$15)^0.25))*General_Model!$D$7/(General_Model!$D$4/1000)+2)*(General_Model!$D$26/A623))</f>
        <v>-0.18226652613914912</v>
      </c>
      <c r="C623" s="13">
        <f t="shared" si="9"/>
        <v>0</v>
      </c>
    </row>
    <row r="624" spans="1:3" x14ac:dyDescent="0.25">
      <c r="A624" s="11">
        <v>0.622</v>
      </c>
      <c r="B624" s="12">
        <f>(General_Model!$D$6/General_Model!$D$7)-1/(1+General_Model!$D$26/((1.2+0.2*(General_Model!$D$26/A624)+0.35*SQRT(9.80665*(General_Model!$D$4/1000))/A624)*A624))-(A624^2/(2*9.80665*General_Model!$D$7))*((4*(0.3164/((General_Model!$D$14*A624*(General_Model!$D$4/1000)/General_Model!$D$15)^0.25))*General_Model!$D$7/(General_Model!$D$4/1000)+1)+(4*(0.3164/((General_Model!$D$14*A624*(General_Model!$D$4/1000)/General_Model!$D$15)^0.25))*General_Model!$D$7/(General_Model!$D$4/1000)+2)*(General_Model!$D$26/A624))</f>
        <v>-0.18275112635087851</v>
      </c>
      <c r="C624" s="13">
        <f t="shared" si="9"/>
        <v>0</v>
      </c>
    </row>
    <row r="625" spans="1:3" x14ac:dyDescent="0.25">
      <c r="A625" s="11">
        <v>0.623</v>
      </c>
      <c r="B625" s="12">
        <f>(General_Model!$D$6/General_Model!$D$7)-1/(1+General_Model!$D$26/((1.2+0.2*(General_Model!$D$26/A625)+0.35*SQRT(9.80665*(General_Model!$D$4/1000))/A625)*A625))-(A625^2/(2*9.80665*General_Model!$D$7))*((4*(0.3164/((General_Model!$D$14*A625*(General_Model!$D$4/1000)/General_Model!$D$15)^0.25))*General_Model!$D$7/(General_Model!$D$4/1000)+1)+(4*(0.3164/((General_Model!$D$14*A625*(General_Model!$D$4/1000)/General_Model!$D$15)^0.25))*General_Model!$D$7/(General_Model!$D$4/1000)+2)*(General_Model!$D$26/A625))</f>
        <v>-0.18323558103666732</v>
      </c>
      <c r="C625" s="13">
        <f t="shared" si="9"/>
        <v>0</v>
      </c>
    </row>
    <row r="626" spans="1:3" x14ac:dyDescent="0.25">
      <c r="A626" s="11">
        <v>0.624</v>
      </c>
      <c r="B626" s="12">
        <f>(General_Model!$D$6/General_Model!$D$7)-1/(1+General_Model!$D$26/((1.2+0.2*(General_Model!$D$26/A626)+0.35*SQRT(9.80665*(General_Model!$D$4/1000))/A626)*A626))-(A626^2/(2*9.80665*General_Model!$D$7))*((4*(0.3164/((General_Model!$D$14*A626*(General_Model!$D$4/1000)/General_Model!$D$15)^0.25))*General_Model!$D$7/(General_Model!$D$4/1000)+1)+(4*(0.3164/((General_Model!$D$14*A626*(General_Model!$D$4/1000)/General_Model!$D$15)^0.25))*General_Model!$D$7/(General_Model!$D$4/1000)+2)*(General_Model!$D$26/A626))</f>
        <v>-0.18371989091641813</v>
      </c>
      <c r="C626" s="13">
        <f t="shared" si="9"/>
        <v>0</v>
      </c>
    </row>
    <row r="627" spans="1:3" x14ac:dyDescent="0.25">
      <c r="A627" s="11">
        <v>0.625</v>
      </c>
      <c r="B627" s="12">
        <f>(General_Model!$D$6/General_Model!$D$7)-1/(1+General_Model!$D$26/((1.2+0.2*(General_Model!$D$26/A627)+0.35*SQRT(9.80665*(General_Model!$D$4/1000))/A627)*A627))-(A627^2/(2*9.80665*General_Model!$D$7))*((4*(0.3164/((General_Model!$D$14*A627*(General_Model!$D$4/1000)/General_Model!$D$15)^0.25))*General_Model!$D$7/(General_Model!$D$4/1000)+1)+(4*(0.3164/((General_Model!$D$14*A627*(General_Model!$D$4/1000)/General_Model!$D$15)^0.25))*General_Model!$D$7/(General_Model!$D$4/1000)+2)*(General_Model!$D$26/A627))</f>
        <v>-0.18420405670791545</v>
      </c>
      <c r="C627" s="13">
        <f t="shared" si="9"/>
        <v>0</v>
      </c>
    </row>
    <row r="628" spans="1:3" x14ac:dyDescent="0.25">
      <c r="A628" s="11">
        <v>0.626</v>
      </c>
      <c r="B628" s="12">
        <f>(General_Model!$D$6/General_Model!$D$7)-1/(1+General_Model!$D$26/((1.2+0.2*(General_Model!$D$26/A628)+0.35*SQRT(9.80665*(General_Model!$D$4/1000))/A628)*A628))-(A628^2/(2*9.80665*General_Model!$D$7))*((4*(0.3164/((General_Model!$D$14*A628*(General_Model!$D$4/1000)/General_Model!$D$15)^0.25))*General_Model!$D$7/(General_Model!$D$4/1000)+1)+(4*(0.3164/((General_Model!$D$14*A628*(General_Model!$D$4/1000)/General_Model!$D$15)^0.25))*General_Model!$D$7/(General_Model!$D$4/1000)+2)*(General_Model!$D$26/A628))</f>
        <v>-0.18468807912683335</v>
      </c>
      <c r="C628" s="13">
        <f t="shared" si="9"/>
        <v>0</v>
      </c>
    </row>
    <row r="629" spans="1:3" x14ac:dyDescent="0.25">
      <c r="A629" s="11">
        <v>0.627</v>
      </c>
      <c r="B629" s="12">
        <f>(General_Model!$D$6/General_Model!$D$7)-1/(1+General_Model!$D$26/((1.2+0.2*(General_Model!$D$26/A629)+0.35*SQRT(9.80665*(General_Model!$D$4/1000))/A629)*A629))-(A629^2/(2*9.80665*General_Model!$D$7))*((4*(0.3164/((General_Model!$D$14*A629*(General_Model!$D$4/1000)/General_Model!$D$15)^0.25))*General_Model!$D$7/(General_Model!$D$4/1000)+1)+(4*(0.3164/((General_Model!$D$14*A629*(General_Model!$D$4/1000)/General_Model!$D$15)^0.25))*General_Model!$D$7/(General_Model!$D$4/1000)+2)*(General_Model!$D$26/A629))</f>
        <v>-0.18517195888674345</v>
      </c>
      <c r="C629" s="13">
        <f t="shared" si="9"/>
        <v>0</v>
      </c>
    </row>
    <row r="630" spans="1:3" x14ac:dyDescent="0.25">
      <c r="A630" s="11">
        <v>0.628</v>
      </c>
      <c r="B630" s="12">
        <f>(General_Model!$D$6/General_Model!$D$7)-1/(1+General_Model!$D$26/((1.2+0.2*(General_Model!$D$26/A630)+0.35*SQRT(9.80665*(General_Model!$D$4/1000))/A630)*A630))-(A630^2/(2*9.80665*General_Model!$D$7))*((4*(0.3164/((General_Model!$D$14*A630*(General_Model!$D$4/1000)/General_Model!$D$15)^0.25))*General_Model!$D$7/(General_Model!$D$4/1000)+1)+(4*(0.3164/((General_Model!$D$14*A630*(General_Model!$D$4/1000)/General_Model!$D$15)^0.25))*General_Model!$D$7/(General_Model!$D$4/1000)+2)*(General_Model!$D$26/A630))</f>
        <v>-0.18565569669912188</v>
      </c>
      <c r="C630" s="13">
        <f t="shared" si="9"/>
        <v>0</v>
      </c>
    </row>
    <row r="631" spans="1:3" x14ac:dyDescent="0.25">
      <c r="A631" s="11">
        <v>0.629</v>
      </c>
      <c r="B631" s="12">
        <f>(General_Model!$D$6/General_Model!$D$7)-1/(1+General_Model!$D$26/((1.2+0.2*(General_Model!$D$26/A631)+0.35*SQRT(9.80665*(General_Model!$D$4/1000))/A631)*A631))-(A631^2/(2*9.80665*General_Model!$D$7))*((4*(0.3164/((General_Model!$D$14*A631*(General_Model!$D$4/1000)/General_Model!$D$15)^0.25))*General_Model!$D$7/(General_Model!$D$4/1000)+1)+(4*(0.3164/((General_Model!$D$14*A631*(General_Model!$D$4/1000)/General_Model!$D$15)^0.25))*General_Model!$D$7/(General_Model!$D$4/1000)+2)*(General_Model!$D$26/A631))</f>
        <v>-0.18613929327335793</v>
      </c>
      <c r="C631" s="13">
        <f t="shared" si="9"/>
        <v>0</v>
      </c>
    </row>
    <row r="632" spans="1:3" x14ac:dyDescent="0.25">
      <c r="A632" s="11">
        <v>0.63</v>
      </c>
      <c r="B632" s="12">
        <f>(General_Model!$D$6/General_Model!$D$7)-1/(1+General_Model!$D$26/((1.2+0.2*(General_Model!$D$26/A632)+0.35*SQRT(9.80665*(General_Model!$D$4/1000))/A632)*A632))-(A632^2/(2*9.80665*General_Model!$D$7))*((4*(0.3164/((General_Model!$D$14*A632*(General_Model!$D$4/1000)/General_Model!$D$15)^0.25))*General_Model!$D$7/(General_Model!$D$4/1000)+1)+(4*(0.3164/((General_Model!$D$14*A632*(General_Model!$D$4/1000)/General_Model!$D$15)^0.25))*General_Model!$D$7/(General_Model!$D$4/1000)+2)*(General_Model!$D$26/A632))</f>
        <v>-0.18662274931676076</v>
      </c>
      <c r="C632" s="13">
        <f t="shared" si="9"/>
        <v>0</v>
      </c>
    </row>
    <row r="633" spans="1:3" x14ac:dyDescent="0.25">
      <c r="A633" s="11">
        <v>0.63100000000000001</v>
      </c>
      <c r="B633" s="12">
        <f>(General_Model!$D$6/General_Model!$D$7)-1/(1+General_Model!$D$26/((1.2+0.2*(General_Model!$D$26/A633)+0.35*SQRT(9.80665*(General_Model!$D$4/1000))/A633)*A633))-(A633^2/(2*9.80665*General_Model!$D$7))*((4*(0.3164/((General_Model!$D$14*A633*(General_Model!$D$4/1000)/General_Model!$D$15)^0.25))*General_Model!$D$7/(General_Model!$D$4/1000)+1)+(4*(0.3164/((General_Model!$D$14*A633*(General_Model!$D$4/1000)/General_Model!$D$15)^0.25))*General_Model!$D$7/(General_Model!$D$4/1000)+2)*(General_Model!$D$26/A633))</f>
        <v>-0.1871060655345676</v>
      </c>
      <c r="C633" s="13">
        <f t="shared" si="9"/>
        <v>0</v>
      </c>
    </row>
    <row r="634" spans="1:3" x14ac:dyDescent="0.25">
      <c r="A634" s="11">
        <v>0.63200000000000001</v>
      </c>
      <c r="B634" s="12">
        <f>(General_Model!$D$6/General_Model!$D$7)-1/(1+General_Model!$D$26/((1.2+0.2*(General_Model!$D$26/A634)+0.35*SQRT(9.80665*(General_Model!$D$4/1000))/A634)*A634))-(A634^2/(2*9.80665*General_Model!$D$7))*((4*(0.3164/((General_Model!$D$14*A634*(General_Model!$D$4/1000)/General_Model!$D$15)^0.25))*General_Model!$D$7/(General_Model!$D$4/1000)+1)+(4*(0.3164/((General_Model!$D$14*A634*(General_Model!$D$4/1000)/General_Model!$D$15)^0.25))*General_Model!$D$7/(General_Model!$D$4/1000)+2)*(General_Model!$D$26/A634))</f>
        <v>-0.18758924262995053</v>
      </c>
      <c r="C634" s="13">
        <f t="shared" si="9"/>
        <v>0</v>
      </c>
    </row>
    <row r="635" spans="1:3" x14ac:dyDescent="0.25">
      <c r="A635" s="11">
        <v>0.63300000000000001</v>
      </c>
      <c r="B635" s="12">
        <f>(General_Model!$D$6/General_Model!$D$7)-1/(1+General_Model!$D$26/((1.2+0.2*(General_Model!$D$26/A635)+0.35*SQRT(9.80665*(General_Model!$D$4/1000))/A635)*A635))-(A635^2/(2*9.80665*General_Model!$D$7))*((4*(0.3164/((General_Model!$D$14*A635*(General_Model!$D$4/1000)/General_Model!$D$15)^0.25))*General_Model!$D$7/(General_Model!$D$4/1000)+1)+(4*(0.3164/((General_Model!$D$14*A635*(General_Model!$D$4/1000)/General_Model!$D$15)^0.25))*General_Model!$D$7/(General_Model!$D$4/1000)+2)*(General_Model!$D$26/A635))</f>
        <v>-0.18807228130402487</v>
      </c>
      <c r="C635" s="13">
        <f t="shared" si="9"/>
        <v>0</v>
      </c>
    </row>
    <row r="636" spans="1:3" x14ac:dyDescent="0.25">
      <c r="A636" s="11">
        <v>0.63400000000000001</v>
      </c>
      <c r="B636" s="12">
        <f>(General_Model!$D$6/General_Model!$D$7)-1/(1+General_Model!$D$26/((1.2+0.2*(General_Model!$D$26/A636)+0.35*SQRT(9.80665*(General_Model!$D$4/1000))/A636)*A636))-(A636^2/(2*9.80665*General_Model!$D$7))*((4*(0.3164/((General_Model!$D$14*A636*(General_Model!$D$4/1000)/General_Model!$D$15)^0.25))*General_Model!$D$7/(General_Model!$D$4/1000)+1)+(4*(0.3164/((General_Model!$D$14*A636*(General_Model!$D$4/1000)/General_Model!$D$15)^0.25))*General_Model!$D$7/(General_Model!$D$4/1000)+2)*(General_Model!$D$26/A636))</f>
        <v>-0.1885551822558561</v>
      </c>
      <c r="C636" s="13">
        <f t="shared" si="9"/>
        <v>0</v>
      </c>
    </row>
    <row r="637" spans="1:3" x14ac:dyDescent="0.25">
      <c r="A637" s="11">
        <v>0.63500000000000001</v>
      </c>
      <c r="B637" s="12">
        <f>(General_Model!$D$6/General_Model!$D$7)-1/(1+General_Model!$D$26/((1.2+0.2*(General_Model!$D$26/A637)+0.35*SQRT(9.80665*(General_Model!$D$4/1000))/A637)*A637))-(A637^2/(2*9.80665*General_Model!$D$7))*((4*(0.3164/((General_Model!$D$14*A637*(General_Model!$D$4/1000)/General_Model!$D$15)^0.25))*General_Model!$D$7/(General_Model!$D$4/1000)+1)+(4*(0.3164/((General_Model!$D$14*A637*(General_Model!$D$4/1000)/General_Model!$D$15)^0.25))*General_Model!$D$7/(General_Model!$D$4/1000)+2)*(General_Model!$D$26/A637))</f>
        <v>-0.18903794618246728</v>
      </c>
      <c r="C637" s="13">
        <f t="shared" si="9"/>
        <v>0</v>
      </c>
    </row>
    <row r="638" spans="1:3" x14ac:dyDescent="0.25">
      <c r="A638" s="11">
        <v>0.63600000000000001</v>
      </c>
      <c r="B638" s="12">
        <f>(General_Model!$D$6/General_Model!$D$7)-1/(1+General_Model!$D$26/((1.2+0.2*(General_Model!$D$26/A638)+0.35*SQRT(9.80665*(General_Model!$D$4/1000))/A638)*A638))-(A638^2/(2*9.80665*General_Model!$D$7))*((4*(0.3164/((General_Model!$D$14*A638*(General_Model!$D$4/1000)/General_Model!$D$15)^0.25))*General_Model!$D$7/(General_Model!$D$4/1000)+1)+(4*(0.3164/((General_Model!$D$14*A638*(General_Model!$D$4/1000)/General_Model!$D$15)^0.25))*General_Model!$D$7/(General_Model!$D$4/1000)+2)*(General_Model!$D$26/A638))</f>
        <v>-0.18952057377884662</v>
      </c>
      <c r="C638" s="13">
        <f t="shared" si="9"/>
        <v>0</v>
      </c>
    </row>
    <row r="639" spans="1:3" x14ac:dyDescent="0.25">
      <c r="A639" s="11">
        <v>0.63700000000000001</v>
      </c>
      <c r="B639" s="12">
        <f>(General_Model!$D$6/General_Model!$D$7)-1/(1+General_Model!$D$26/((1.2+0.2*(General_Model!$D$26/A639)+0.35*SQRT(9.80665*(General_Model!$D$4/1000))/A639)*A639))-(A639^2/(2*9.80665*General_Model!$D$7))*((4*(0.3164/((General_Model!$D$14*A639*(General_Model!$D$4/1000)/General_Model!$D$15)^0.25))*General_Model!$D$7/(General_Model!$D$4/1000)+1)+(4*(0.3164/((General_Model!$D$14*A639*(General_Model!$D$4/1000)/General_Model!$D$15)^0.25))*General_Model!$D$7/(General_Model!$D$4/1000)+2)*(General_Model!$D$26/A639))</f>
        <v>-0.19000306573795495</v>
      </c>
      <c r="C639" s="13">
        <f t="shared" si="9"/>
        <v>0</v>
      </c>
    </row>
    <row r="640" spans="1:3" x14ac:dyDescent="0.25">
      <c r="A640" s="11">
        <v>0.63800000000000001</v>
      </c>
      <c r="B640" s="12">
        <f>(General_Model!$D$6/General_Model!$D$7)-1/(1+General_Model!$D$26/((1.2+0.2*(General_Model!$D$26/A640)+0.35*SQRT(9.80665*(General_Model!$D$4/1000))/A640)*A640))-(A640^2/(2*9.80665*General_Model!$D$7))*((4*(0.3164/((General_Model!$D$14*A640*(General_Model!$D$4/1000)/General_Model!$D$15)^0.25))*General_Model!$D$7/(General_Model!$D$4/1000)+1)+(4*(0.3164/((General_Model!$D$14*A640*(General_Model!$D$4/1000)/General_Model!$D$15)^0.25))*General_Model!$D$7/(General_Model!$D$4/1000)+2)*(General_Model!$D$26/A640))</f>
        <v>-0.19048542275073266</v>
      </c>
      <c r="C640" s="13">
        <f t="shared" si="9"/>
        <v>0</v>
      </c>
    </row>
    <row r="641" spans="1:3" x14ac:dyDescent="0.25">
      <c r="A641" s="11">
        <v>0.63900000000000001</v>
      </c>
      <c r="B641" s="12">
        <f>(General_Model!$D$6/General_Model!$D$7)-1/(1+General_Model!$D$26/((1.2+0.2*(General_Model!$D$26/A641)+0.35*SQRT(9.80665*(General_Model!$D$4/1000))/A641)*A641))-(A641^2/(2*9.80665*General_Model!$D$7))*((4*(0.3164/((General_Model!$D$14*A641*(General_Model!$D$4/1000)/General_Model!$D$15)^0.25))*General_Model!$D$7/(General_Model!$D$4/1000)+1)+(4*(0.3164/((General_Model!$D$14*A641*(General_Model!$D$4/1000)/General_Model!$D$15)^0.25))*General_Model!$D$7/(General_Model!$D$4/1000)+2)*(General_Model!$D$26/A641))</f>
        <v>-0.19096764550610718</v>
      </c>
      <c r="C641" s="13">
        <f t="shared" si="9"/>
        <v>0</v>
      </c>
    </row>
    <row r="642" spans="1:3" x14ac:dyDescent="0.25">
      <c r="A642" s="11">
        <v>0.64</v>
      </c>
      <c r="B642" s="12">
        <f>(General_Model!$D$6/General_Model!$D$7)-1/(1+General_Model!$D$26/((1.2+0.2*(General_Model!$D$26/A642)+0.35*SQRT(9.80665*(General_Model!$D$4/1000))/A642)*A642))-(A642^2/(2*9.80665*General_Model!$D$7))*((4*(0.3164/((General_Model!$D$14*A642*(General_Model!$D$4/1000)/General_Model!$D$15)^0.25))*General_Model!$D$7/(General_Model!$D$4/1000)+1)+(4*(0.3164/((General_Model!$D$14*A642*(General_Model!$D$4/1000)/General_Model!$D$15)^0.25))*General_Model!$D$7/(General_Model!$D$4/1000)+2)*(General_Model!$D$26/A642))</f>
        <v>-0.19144973469100071</v>
      </c>
      <c r="C642" s="13">
        <f t="shared" si="9"/>
        <v>0</v>
      </c>
    </row>
    <row r="643" spans="1:3" x14ac:dyDescent="0.25">
      <c r="A643" s="11">
        <v>0.64100000000000001</v>
      </c>
      <c r="B643" s="12">
        <f>(General_Model!$D$6/General_Model!$D$7)-1/(1+General_Model!$D$26/((1.2+0.2*(General_Model!$D$26/A643)+0.35*SQRT(9.80665*(General_Model!$D$4/1000))/A643)*A643))-(A643^2/(2*9.80665*General_Model!$D$7))*((4*(0.3164/((General_Model!$D$14*A643*(General_Model!$D$4/1000)/General_Model!$D$15)^0.25))*General_Model!$D$7/(General_Model!$D$4/1000)+1)+(4*(0.3164/((General_Model!$D$14*A643*(General_Model!$D$4/1000)/General_Model!$D$15)^0.25))*General_Model!$D$7/(General_Model!$D$4/1000)+2)*(General_Model!$D$26/A643))</f>
        <v>-0.1919316909903368</v>
      </c>
      <c r="C643" s="13">
        <f t="shared" ref="C643:C706" si="10">IF(B643*B644&lt;=0,1,0)</f>
        <v>0</v>
      </c>
    </row>
    <row r="644" spans="1:3" x14ac:dyDescent="0.25">
      <c r="A644" s="11">
        <v>0.64200000000000002</v>
      </c>
      <c r="B644" s="12">
        <f>(General_Model!$D$6/General_Model!$D$7)-1/(1+General_Model!$D$26/((1.2+0.2*(General_Model!$D$26/A644)+0.35*SQRT(9.80665*(General_Model!$D$4/1000))/A644)*A644))-(A644^2/(2*9.80665*General_Model!$D$7))*((4*(0.3164/((General_Model!$D$14*A644*(General_Model!$D$4/1000)/General_Model!$D$15)^0.25))*General_Model!$D$7/(General_Model!$D$4/1000)+1)+(4*(0.3164/((General_Model!$D$14*A644*(General_Model!$D$4/1000)/General_Model!$D$15)^0.25))*General_Model!$D$7/(General_Model!$D$4/1000)+2)*(General_Model!$D$26/A644))</f>
        <v>-0.19241351508704763</v>
      </c>
      <c r="C644" s="13">
        <f t="shared" si="10"/>
        <v>0</v>
      </c>
    </row>
    <row r="645" spans="1:3" x14ac:dyDescent="0.25">
      <c r="A645" s="11">
        <v>0.64300000000000002</v>
      </c>
      <c r="B645" s="12">
        <f>(General_Model!$D$6/General_Model!$D$7)-1/(1+General_Model!$D$26/((1.2+0.2*(General_Model!$D$26/A645)+0.35*SQRT(9.80665*(General_Model!$D$4/1000))/A645)*A645))-(A645^2/(2*9.80665*General_Model!$D$7))*((4*(0.3164/((General_Model!$D$14*A645*(General_Model!$D$4/1000)/General_Model!$D$15)^0.25))*General_Model!$D$7/(General_Model!$D$4/1000)+1)+(4*(0.3164/((General_Model!$D$14*A645*(General_Model!$D$4/1000)/General_Model!$D$15)^0.25))*General_Model!$D$7/(General_Model!$D$4/1000)+2)*(General_Model!$D$26/A645))</f>
        <v>-0.19289520766208157</v>
      </c>
      <c r="C645" s="13">
        <f t="shared" si="10"/>
        <v>0</v>
      </c>
    </row>
    <row r="646" spans="1:3" x14ac:dyDescent="0.25">
      <c r="A646" s="11">
        <v>0.64400000000000002</v>
      </c>
      <c r="B646" s="12">
        <f>(General_Model!$D$6/General_Model!$D$7)-1/(1+General_Model!$D$26/((1.2+0.2*(General_Model!$D$26/A646)+0.35*SQRT(9.80665*(General_Model!$D$4/1000))/A646)*A646))-(A646^2/(2*9.80665*General_Model!$D$7))*((4*(0.3164/((General_Model!$D$14*A646*(General_Model!$D$4/1000)/General_Model!$D$15)^0.25))*General_Model!$D$7/(General_Model!$D$4/1000)+1)+(4*(0.3164/((General_Model!$D$14*A646*(General_Model!$D$4/1000)/General_Model!$D$15)^0.25))*General_Model!$D$7/(General_Model!$D$4/1000)+2)*(General_Model!$D$26/A646))</f>
        <v>-0.19337676939441023</v>
      </c>
      <c r="C646" s="13">
        <f t="shared" si="10"/>
        <v>0</v>
      </c>
    </row>
    <row r="647" spans="1:3" x14ac:dyDescent="0.25">
      <c r="A647" s="11">
        <v>0.64500000000000002</v>
      </c>
      <c r="B647" s="12">
        <f>(General_Model!$D$6/General_Model!$D$7)-1/(1+General_Model!$D$26/((1.2+0.2*(General_Model!$D$26/A647)+0.35*SQRT(9.80665*(General_Model!$D$4/1000))/A647)*A647))-(A647^2/(2*9.80665*General_Model!$D$7))*((4*(0.3164/((General_Model!$D$14*A647*(General_Model!$D$4/1000)/General_Model!$D$15)^0.25))*General_Model!$D$7/(General_Model!$D$4/1000)+1)+(4*(0.3164/((General_Model!$D$14*A647*(General_Model!$D$4/1000)/General_Model!$D$15)^0.25))*General_Model!$D$7/(General_Model!$D$4/1000)+2)*(General_Model!$D$26/A647))</f>
        <v>-0.19385820096103532</v>
      </c>
      <c r="C647" s="13">
        <f t="shared" si="10"/>
        <v>0</v>
      </c>
    </row>
    <row r="648" spans="1:3" x14ac:dyDescent="0.25">
      <c r="A648" s="11">
        <v>0.64600000000000002</v>
      </c>
      <c r="B648" s="12">
        <f>(General_Model!$D$6/General_Model!$D$7)-1/(1+General_Model!$D$26/((1.2+0.2*(General_Model!$D$26/A648)+0.35*SQRT(9.80665*(General_Model!$D$4/1000))/A648)*A648))-(A648^2/(2*9.80665*General_Model!$D$7))*((4*(0.3164/((General_Model!$D$14*A648*(General_Model!$D$4/1000)/General_Model!$D$15)^0.25))*General_Model!$D$7/(General_Model!$D$4/1000)+1)+(4*(0.3164/((General_Model!$D$14*A648*(General_Model!$D$4/1000)/General_Model!$D$15)^0.25))*General_Model!$D$7/(General_Model!$D$4/1000)+2)*(General_Model!$D$26/A648))</f>
        <v>-0.19433950303699574</v>
      </c>
      <c r="C648" s="13">
        <f t="shared" si="10"/>
        <v>0</v>
      </c>
    </row>
    <row r="649" spans="1:3" x14ac:dyDescent="0.25">
      <c r="A649" s="11">
        <v>0.64700000000000002</v>
      </c>
      <c r="B649" s="12">
        <f>(General_Model!$D$6/General_Model!$D$7)-1/(1+General_Model!$D$26/((1.2+0.2*(General_Model!$D$26/A649)+0.35*SQRT(9.80665*(General_Model!$D$4/1000))/A649)*A649))-(A649^2/(2*9.80665*General_Model!$D$7))*((4*(0.3164/((General_Model!$D$14*A649*(General_Model!$D$4/1000)/General_Model!$D$15)^0.25))*General_Model!$D$7/(General_Model!$D$4/1000)+1)+(4*(0.3164/((General_Model!$D$14*A649*(General_Model!$D$4/1000)/General_Model!$D$15)^0.25))*General_Model!$D$7/(General_Model!$D$4/1000)+2)*(General_Model!$D$26/A649))</f>
        <v>-0.19482067629537486</v>
      </c>
      <c r="C649" s="13">
        <f t="shared" si="10"/>
        <v>0</v>
      </c>
    </row>
    <row r="650" spans="1:3" x14ac:dyDescent="0.25">
      <c r="A650" s="11">
        <v>0.64800000000000002</v>
      </c>
      <c r="B650" s="12">
        <f>(General_Model!$D$6/General_Model!$D$7)-1/(1+General_Model!$D$26/((1.2+0.2*(General_Model!$D$26/A650)+0.35*SQRT(9.80665*(General_Model!$D$4/1000))/A650)*A650))-(A650^2/(2*9.80665*General_Model!$D$7))*((4*(0.3164/((General_Model!$D$14*A650*(General_Model!$D$4/1000)/General_Model!$D$15)^0.25))*General_Model!$D$7/(General_Model!$D$4/1000)+1)+(4*(0.3164/((General_Model!$D$14*A650*(General_Model!$D$4/1000)/General_Model!$D$15)^0.25))*General_Model!$D$7/(General_Model!$D$4/1000)+2)*(General_Model!$D$26/A650))</f>
        <v>-0.19530172140730764</v>
      </c>
      <c r="C650" s="13">
        <f t="shared" si="10"/>
        <v>0</v>
      </c>
    </row>
    <row r="651" spans="1:3" x14ac:dyDescent="0.25">
      <c r="A651" s="11">
        <v>0.64900000000000002</v>
      </c>
      <c r="B651" s="12">
        <f>(General_Model!$D$6/General_Model!$D$7)-1/(1+General_Model!$D$26/((1.2+0.2*(General_Model!$D$26/A651)+0.35*SQRT(9.80665*(General_Model!$D$4/1000))/A651)*A651))-(A651^2/(2*9.80665*General_Model!$D$7))*((4*(0.3164/((General_Model!$D$14*A651*(General_Model!$D$4/1000)/General_Model!$D$15)^0.25))*General_Model!$D$7/(General_Model!$D$4/1000)+1)+(4*(0.3164/((General_Model!$D$14*A651*(General_Model!$D$4/1000)/General_Model!$D$15)^0.25))*General_Model!$D$7/(General_Model!$D$4/1000)+2)*(General_Model!$D$26/A651))</f>
        <v>-0.1957826390419872</v>
      </c>
      <c r="C651" s="13">
        <f t="shared" si="10"/>
        <v>0</v>
      </c>
    </row>
    <row r="652" spans="1:3" x14ac:dyDescent="0.25">
      <c r="A652" s="11">
        <v>0.65</v>
      </c>
      <c r="B652" s="12">
        <f>(General_Model!$D$6/General_Model!$D$7)-1/(1+General_Model!$D$26/((1.2+0.2*(General_Model!$D$26/A652)+0.35*SQRT(9.80665*(General_Model!$D$4/1000))/A652)*A652))-(A652^2/(2*9.80665*General_Model!$D$7))*((4*(0.3164/((General_Model!$D$14*A652*(General_Model!$D$4/1000)/General_Model!$D$15)^0.25))*General_Model!$D$7/(General_Model!$D$4/1000)+1)+(4*(0.3164/((General_Model!$D$14*A652*(General_Model!$D$4/1000)/General_Model!$D$15)^0.25))*General_Model!$D$7/(General_Model!$D$4/1000)+2)*(General_Model!$D$26/A652))</f>
        <v>-0.19626342986667214</v>
      </c>
      <c r="C652" s="13">
        <f t="shared" si="10"/>
        <v>0</v>
      </c>
    </row>
    <row r="653" spans="1:3" x14ac:dyDescent="0.25">
      <c r="A653" s="11">
        <v>0.65100000000000002</v>
      </c>
      <c r="B653" s="12">
        <f>(General_Model!$D$6/General_Model!$D$7)-1/(1+General_Model!$D$26/((1.2+0.2*(General_Model!$D$26/A653)+0.35*SQRT(9.80665*(General_Model!$D$4/1000))/A653)*A653))-(A653^2/(2*9.80665*General_Model!$D$7))*((4*(0.3164/((General_Model!$D$14*A653*(General_Model!$D$4/1000)/General_Model!$D$15)^0.25))*General_Model!$D$7/(General_Model!$D$4/1000)+1)+(4*(0.3164/((General_Model!$D$14*A653*(General_Model!$D$4/1000)/General_Model!$D$15)^0.25))*General_Model!$D$7/(General_Model!$D$4/1000)+2)*(General_Model!$D$26/A653))</f>
        <v>-0.19674409454669298</v>
      </c>
      <c r="C653" s="13">
        <f t="shared" si="10"/>
        <v>0</v>
      </c>
    </row>
    <row r="654" spans="1:3" x14ac:dyDescent="0.25">
      <c r="A654" s="11">
        <v>0.65200000000000002</v>
      </c>
      <c r="B654" s="12">
        <f>(General_Model!$D$6/General_Model!$D$7)-1/(1+General_Model!$D$26/((1.2+0.2*(General_Model!$D$26/A654)+0.35*SQRT(9.80665*(General_Model!$D$4/1000))/A654)*A654))-(A654^2/(2*9.80665*General_Model!$D$7))*((4*(0.3164/((General_Model!$D$14*A654*(General_Model!$D$4/1000)/General_Model!$D$15)^0.25))*General_Model!$D$7/(General_Model!$D$4/1000)+1)+(4*(0.3164/((General_Model!$D$14*A654*(General_Model!$D$4/1000)/General_Model!$D$15)^0.25))*General_Model!$D$7/(General_Model!$D$4/1000)+2)*(General_Model!$D$26/A654))</f>
        <v>-0.19722463374545993</v>
      </c>
      <c r="C654" s="13">
        <f t="shared" si="10"/>
        <v>0</v>
      </c>
    </row>
    <row r="655" spans="1:3" x14ac:dyDescent="0.25">
      <c r="A655" s="11">
        <v>0.65300000000000002</v>
      </c>
      <c r="B655" s="12">
        <f>(General_Model!$D$6/General_Model!$D$7)-1/(1+General_Model!$D$26/((1.2+0.2*(General_Model!$D$26/A655)+0.35*SQRT(9.80665*(General_Model!$D$4/1000))/A655)*A655))-(A655^2/(2*9.80665*General_Model!$D$7))*((4*(0.3164/((General_Model!$D$14*A655*(General_Model!$D$4/1000)/General_Model!$D$15)^0.25))*General_Model!$D$7/(General_Model!$D$4/1000)+1)+(4*(0.3164/((General_Model!$D$14*A655*(General_Model!$D$4/1000)/General_Model!$D$15)^0.25))*General_Model!$D$7/(General_Model!$D$4/1000)+2)*(General_Model!$D$26/A655))</f>
        <v>-0.1977050481244689</v>
      </c>
      <c r="C655" s="13">
        <f t="shared" si="10"/>
        <v>0</v>
      </c>
    </row>
    <row r="656" spans="1:3" x14ac:dyDescent="0.25">
      <c r="A656" s="11">
        <v>0.65400000000000003</v>
      </c>
      <c r="B656" s="12">
        <f>(General_Model!$D$6/General_Model!$D$7)-1/(1+General_Model!$D$26/((1.2+0.2*(General_Model!$D$26/A656)+0.35*SQRT(9.80665*(General_Model!$D$4/1000))/A656)*A656))-(A656^2/(2*9.80665*General_Model!$D$7))*((4*(0.3164/((General_Model!$D$14*A656*(General_Model!$D$4/1000)/General_Model!$D$15)^0.25))*General_Model!$D$7/(General_Model!$D$4/1000)+1)+(4*(0.3164/((General_Model!$D$14*A656*(General_Model!$D$4/1000)/General_Model!$D$15)^0.25))*General_Model!$D$7/(General_Model!$D$4/1000)+2)*(General_Model!$D$26/A656))</f>
        <v>-0.19818533834330859</v>
      </c>
      <c r="C656" s="13">
        <f t="shared" si="10"/>
        <v>0</v>
      </c>
    </row>
    <row r="657" spans="1:3" x14ac:dyDescent="0.25">
      <c r="A657" s="11">
        <v>0.65500000000000003</v>
      </c>
      <c r="B657" s="12">
        <f>(General_Model!$D$6/General_Model!$D$7)-1/(1+General_Model!$D$26/((1.2+0.2*(General_Model!$D$26/A657)+0.35*SQRT(9.80665*(General_Model!$D$4/1000))/A657)*A657))-(A657^2/(2*9.80665*General_Model!$D$7))*((4*(0.3164/((General_Model!$D$14*A657*(General_Model!$D$4/1000)/General_Model!$D$15)^0.25))*General_Model!$D$7/(General_Model!$D$4/1000)+1)+(4*(0.3164/((General_Model!$D$14*A657*(General_Model!$D$4/1000)/General_Model!$D$15)^0.25))*General_Model!$D$7/(General_Model!$D$4/1000)+2)*(General_Model!$D$26/A657))</f>
        <v>-0.19866550505966779</v>
      </c>
      <c r="C657" s="13">
        <f t="shared" si="10"/>
        <v>0</v>
      </c>
    </row>
    <row r="658" spans="1:3" x14ac:dyDescent="0.25">
      <c r="A658" s="11">
        <v>0.65600000000000003</v>
      </c>
      <c r="B658" s="12">
        <f>(General_Model!$D$6/General_Model!$D$7)-1/(1+General_Model!$D$26/((1.2+0.2*(General_Model!$D$26/A658)+0.35*SQRT(9.80665*(General_Model!$D$4/1000))/A658)*A658))-(A658^2/(2*9.80665*General_Model!$D$7))*((4*(0.3164/((General_Model!$D$14*A658*(General_Model!$D$4/1000)/General_Model!$D$15)^0.25))*General_Model!$D$7/(General_Model!$D$4/1000)+1)+(4*(0.3164/((General_Model!$D$14*A658*(General_Model!$D$4/1000)/General_Model!$D$15)^0.25))*General_Model!$D$7/(General_Model!$D$4/1000)+2)*(General_Model!$D$26/A658))</f>
        <v>-0.1991455489293415</v>
      </c>
      <c r="C658" s="13">
        <f t="shared" si="10"/>
        <v>0</v>
      </c>
    </row>
    <row r="659" spans="1:3" x14ac:dyDescent="0.25">
      <c r="A659" s="11">
        <v>0.65700000000000003</v>
      </c>
      <c r="B659" s="12">
        <f>(General_Model!$D$6/General_Model!$D$7)-1/(1+General_Model!$D$26/((1.2+0.2*(General_Model!$D$26/A659)+0.35*SQRT(9.80665*(General_Model!$D$4/1000))/A659)*A659))-(A659^2/(2*9.80665*General_Model!$D$7))*((4*(0.3164/((General_Model!$D$14*A659*(General_Model!$D$4/1000)/General_Model!$D$15)^0.25))*General_Model!$D$7/(General_Model!$D$4/1000)+1)+(4*(0.3164/((General_Model!$D$14*A659*(General_Model!$D$4/1000)/General_Model!$D$15)^0.25))*General_Model!$D$7/(General_Model!$D$4/1000)+2)*(General_Model!$D$26/A659))</f>
        <v>-0.1996254706062377</v>
      </c>
      <c r="C659" s="13">
        <f t="shared" si="10"/>
        <v>0</v>
      </c>
    </row>
    <row r="660" spans="1:3" x14ac:dyDescent="0.25">
      <c r="A660" s="11">
        <v>0.65800000000000003</v>
      </c>
      <c r="B660" s="12">
        <f>(General_Model!$D$6/General_Model!$D$7)-1/(1+General_Model!$D$26/((1.2+0.2*(General_Model!$D$26/A660)+0.35*SQRT(9.80665*(General_Model!$D$4/1000))/A660)*A660))-(A660^2/(2*9.80665*General_Model!$D$7))*((4*(0.3164/((General_Model!$D$14*A660*(General_Model!$D$4/1000)/General_Model!$D$15)^0.25))*General_Model!$D$7/(General_Model!$D$4/1000)+1)+(4*(0.3164/((General_Model!$D$14*A660*(General_Model!$D$4/1000)/General_Model!$D$15)^0.25))*General_Model!$D$7/(General_Model!$D$4/1000)+2)*(General_Model!$D$26/A660))</f>
        <v>-0.20010527074238477</v>
      </c>
      <c r="C660" s="13">
        <f t="shared" si="10"/>
        <v>0</v>
      </c>
    </row>
    <row r="661" spans="1:3" x14ac:dyDescent="0.25">
      <c r="A661" s="11">
        <v>0.65900000000000003</v>
      </c>
      <c r="B661" s="12">
        <f>(General_Model!$D$6/General_Model!$D$7)-1/(1+General_Model!$D$26/((1.2+0.2*(General_Model!$D$26/A661)+0.35*SQRT(9.80665*(General_Model!$D$4/1000))/A661)*A661))-(A661^2/(2*9.80665*General_Model!$D$7))*((4*(0.3164/((General_Model!$D$14*A661*(General_Model!$D$4/1000)/General_Model!$D$15)^0.25))*General_Model!$D$7/(General_Model!$D$4/1000)+1)+(4*(0.3164/((General_Model!$D$14*A661*(General_Model!$D$4/1000)/General_Model!$D$15)^0.25))*General_Model!$D$7/(General_Model!$D$4/1000)+2)*(General_Model!$D$26/A661))</f>
        <v>-0.20058494998793747</v>
      </c>
      <c r="C661" s="13">
        <f t="shared" si="10"/>
        <v>0</v>
      </c>
    </row>
    <row r="662" spans="1:3" x14ac:dyDescent="0.25">
      <c r="A662" s="11">
        <v>0.66</v>
      </c>
      <c r="B662" s="12">
        <f>(General_Model!$D$6/General_Model!$D$7)-1/(1+General_Model!$D$26/((1.2+0.2*(General_Model!$D$26/A662)+0.35*SQRT(9.80665*(General_Model!$D$4/1000))/A662)*A662))-(A662^2/(2*9.80665*General_Model!$D$7))*((4*(0.3164/((General_Model!$D$14*A662*(General_Model!$D$4/1000)/General_Model!$D$15)^0.25))*General_Model!$D$7/(General_Model!$D$4/1000)+1)+(4*(0.3164/((General_Model!$D$14*A662*(General_Model!$D$4/1000)/General_Model!$D$15)^0.25))*General_Model!$D$7/(General_Model!$D$4/1000)+2)*(General_Model!$D$26/A662))</f>
        <v>-0.20106450899118394</v>
      </c>
      <c r="C662" s="13">
        <f t="shared" si="10"/>
        <v>0</v>
      </c>
    </row>
    <row r="663" spans="1:3" x14ac:dyDescent="0.25">
      <c r="A663" s="11">
        <v>0.66100000000000003</v>
      </c>
      <c r="B663" s="12">
        <f>(General_Model!$D$6/General_Model!$D$7)-1/(1+General_Model!$D$26/((1.2+0.2*(General_Model!$D$26/A663)+0.35*SQRT(9.80665*(General_Model!$D$4/1000))/A663)*A663))-(A663^2/(2*9.80665*General_Model!$D$7))*((4*(0.3164/((General_Model!$D$14*A663*(General_Model!$D$4/1000)/General_Model!$D$15)^0.25))*General_Model!$D$7/(General_Model!$D$4/1000)+1)+(4*(0.3164/((General_Model!$D$14*A663*(General_Model!$D$4/1000)/General_Model!$D$15)^0.25))*General_Model!$D$7/(General_Model!$D$4/1000)+2)*(General_Model!$D$26/A663))</f>
        <v>-0.20154394839855205</v>
      </c>
      <c r="C663" s="13">
        <f t="shared" si="10"/>
        <v>0</v>
      </c>
    </row>
    <row r="664" spans="1:3" x14ac:dyDescent="0.25">
      <c r="A664" s="11">
        <v>0.66200000000000003</v>
      </c>
      <c r="B664" s="12">
        <f>(General_Model!$D$6/General_Model!$D$7)-1/(1+General_Model!$D$26/((1.2+0.2*(General_Model!$D$26/A664)+0.35*SQRT(9.80665*(General_Model!$D$4/1000))/A664)*A664))-(A664^2/(2*9.80665*General_Model!$D$7))*((4*(0.3164/((General_Model!$D$14*A664*(General_Model!$D$4/1000)/General_Model!$D$15)^0.25))*General_Model!$D$7/(General_Model!$D$4/1000)+1)+(4*(0.3164/((General_Model!$D$14*A664*(General_Model!$D$4/1000)/General_Model!$D$15)^0.25))*General_Model!$D$7/(General_Model!$D$4/1000)+2)*(General_Model!$D$26/A664))</f>
        <v>-0.20202326885461674</v>
      </c>
      <c r="C664" s="13">
        <f t="shared" si="10"/>
        <v>0</v>
      </c>
    </row>
    <row r="665" spans="1:3" x14ac:dyDescent="0.25">
      <c r="A665" s="11">
        <v>0.66300000000000003</v>
      </c>
      <c r="B665" s="12">
        <f>(General_Model!$D$6/General_Model!$D$7)-1/(1+General_Model!$D$26/((1.2+0.2*(General_Model!$D$26/A665)+0.35*SQRT(9.80665*(General_Model!$D$4/1000))/A665)*A665))-(A665^2/(2*9.80665*General_Model!$D$7))*((4*(0.3164/((General_Model!$D$14*A665*(General_Model!$D$4/1000)/General_Model!$D$15)^0.25))*General_Model!$D$7/(General_Model!$D$4/1000)+1)+(4*(0.3164/((General_Model!$D$14*A665*(General_Model!$D$4/1000)/General_Model!$D$15)^0.25))*General_Model!$D$7/(General_Model!$D$4/1000)+2)*(General_Model!$D$26/A665))</f>
        <v>-0.20250247100210519</v>
      </c>
      <c r="C665" s="13">
        <f t="shared" si="10"/>
        <v>0</v>
      </c>
    </row>
    <row r="666" spans="1:3" x14ac:dyDescent="0.25">
      <c r="A666" s="11">
        <v>0.66400000000000003</v>
      </c>
      <c r="B666" s="12">
        <f>(General_Model!$D$6/General_Model!$D$7)-1/(1+General_Model!$D$26/((1.2+0.2*(General_Model!$D$26/A666)+0.35*SQRT(9.80665*(General_Model!$D$4/1000))/A666)*A666))-(A666^2/(2*9.80665*General_Model!$D$7))*((4*(0.3164/((General_Model!$D$14*A666*(General_Model!$D$4/1000)/General_Model!$D$15)^0.25))*General_Model!$D$7/(General_Model!$D$4/1000)+1)+(4*(0.3164/((General_Model!$D$14*A666*(General_Model!$D$4/1000)/General_Model!$D$15)^0.25))*General_Model!$D$7/(General_Model!$D$4/1000)+2)*(General_Model!$D$26/A666))</f>
        <v>-0.20298155548190525</v>
      </c>
      <c r="C666" s="13">
        <f t="shared" si="10"/>
        <v>0</v>
      </c>
    </row>
    <row r="667" spans="1:3" x14ac:dyDescent="0.25">
      <c r="A667" s="11">
        <v>0.66500000000000004</v>
      </c>
      <c r="B667" s="12">
        <f>(General_Model!$D$6/General_Model!$D$7)-1/(1+General_Model!$D$26/((1.2+0.2*(General_Model!$D$26/A667)+0.35*SQRT(9.80665*(General_Model!$D$4/1000))/A667)*A667))-(A667^2/(2*9.80665*General_Model!$D$7))*((4*(0.3164/((General_Model!$D$14*A667*(General_Model!$D$4/1000)/General_Model!$D$15)^0.25))*General_Model!$D$7/(General_Model!$D$4/1000)+1)+(4*(0.3164/((General_Model!$D$14*A667*(General_Model!$D$4/1000)/General_Model!$D$15)^0.25))*General_Model!$D$7/(General_Model!$D$4/1000)+2)*(General_Model!$D$26/A667))</f>
        <v>-0.20346052293307004</v>
      </c>
      <c r="C667" s="13">
        <f t="shared" si="10"/>
        <v>0</v>
      </c>
    </row>
    <row r="668" spans="1:3" x14ac:dyDescent="0.25">
      <c r="A668" s="11">
        <v>0.66600000000000004</v>
      </c>
      <c r="B668" s="12">
        <f>(General_Model!$D$6/General_Model!$D$7)-1/(1+General_Model!$D$26/((1.2+0.2*(General_Model!$D$26/A668)+0.35*SQRT(9.80665*(General_Model!$D$4/1000))/A668)*A668))-(A668^2/(2*9.80665*General_Model!$D$7))*((4*(0.3164/((General_Model!$D$14*A668*(General_Model!$D$4/1000)/General_Model!$D$15)^0.25))*General_Model!$D$7/(General_Model!$D$4/1000)+1)+(4*(0.3164/((General_Model!$D$14*A668*(General_Model!$D$4/1000)/General_Model!$D$15)^0.25))*General_Model!$D$7/(General_Model!$D$4/1000)+2)*(General_Model!$D$26/A668))</f>
        <v>-0.20393937399282619</v>
      </c>
      <c r="C668" s="13">
        <f t="shared" si="10"/>
        <v>0</v>
      </c>
    </row>
    <row r="669" spans="1:3" x14ac:dyDescent="0.25">
      <c r="A669" s="11">
        <v>0.66700000000000004</v>
      </c>
      <c r="B669" s="12">
        <f>(General_Model!$D$6/General_Model!$D$7)-1/(1+General_Model!$D$26/((1.2+0.2*(General_Model!$D$26/A669)+0.35*SQRT(9.80665*(General_Model!$D$4/1000))/A669)*A669))-(A669^2/(2*9.80665*General_Model!$D$7))*((4*(0.3164/((General_Model!$D$14*A669*(General_Model!$D$4/1000)/General_Model!$D$15)^0.25))*General_Model!$D$7/(General_Model!$D$4/1000)+1)+(4*(0.3164/((General_Model!$D$14*A669*(General_Model!$D$4/1000)/General_Model!$D$15)^0.25))*General_Model!$D$7/(General_Model!$D$4/1000)+2)*(General_Model!$D$26/A669))</f>
        <v>-0.20441810929657903</v>
      </c>
      <c r="C669" s="13">
        <f t="shared" si="10"/>
        <v>0</v>
      </c>
    </row>
    <row r="670" spans="1:3" x14ac:dyDescent="0.25">
      <c r="A670" s="11">
        <v>0.66800000000000004</v>
      </c>
      <c r="B670" s="12">
        <f>(General_Model!$D$6/General_Model!$D$7)-1/(1+General_Model!$D$26/((1.2+0.2*(General_Model!$D$26/A670)+0.35*SQRT(9.80665*(General_Model!$D$4/1000))/A670)*A670))-(A670^2/(2*9.80665*General_Model!$D$7))*((4*(0.3164/((General_Model!$D$14*A670*(General_Model!$D$4/1000)/General_Model!$D$15)^0.25))*General_Model!$D$7/(General_Model!$D$4/1000)+1)+(4*(0.3164/((General_Model!$D$14*A670*(General_Model!$D$4/1000)/General_Model!$D$15)^0.25))*General_Model!$D$7/(General_Model!$D$4/1000)+2)*(General_Model!$D$26/A670))</f>
        <v>-0.20489672947791945</v>
      </c>
      <c r="C670" s="13">
        <f t="shared" si="10"/>
        <v>0</v>
      </c>
    </row>
    <row r="671" spans="1:3" x14ac:dyDescent="0.25">
      <c r="A671" s="11">
        <v>0.66900000000000004</v>
      </c>
      <c r="B671" s="12">
        <f>(General_Model!$D$6/General_Model!$D$7)-1/(1+General_Model!$D$26/((1.2+0.2*(General_Model!$D$26/A671)+0.35*SQRT(9.80665*(General_Model!$D$4/1000))/A671)*A671))-(A671^2/(2*9.80665*General_Model!$D$7))*((4*(0.3164/((General_Model!$D$14*A671*(General_Model!$D$4/1000)/General_Model!$D$15)^0.25))*General_Model!$D$7/(General_Model!$D$4/1000)+1)+(4*(0.3164/((General_Model!$D$14*A671*(General_Model!$D$4/1000)/General_Model!$D$15)^0.25))*General_Model!$D$7/(General_Model!$D$4/1000)+2)*(General_Model!$D$26/A671))</f>
        <v>-0.2053752351686306</v>
      </c>
      <c r="C671" s="13">
        <f t="shared" si="10"/>
        <v>0</v>
      </c>
    </row>
    <row r="672" spans="1:3" x14ac:dyDescent="0.25">
      <c r="A672" s="11">
        <v>0.67</v>
      </c>
      <c r="B672" s="12">
        <f>(General_Model!$D$6/General_Model!$D$7)-1/(1+General_Model!$D$26/((1.2+0.2*(General_Model!$D$26/A672)+0.35*SQRT(9.80665*(General_Model!$D$4/1000))/A672)*A672))-(A672^2/(2*9.80665*General_Model!$D$7))*((4*(0.3164/((General_Model!$D$14*A672*(General_Model!$D$4/1000)/General_Model!$D$15)^0.25))*General_Model!$D$7/(General_Model!$D$4/1000)+1)+(4*(0.3164/((General_Model!$D$14*A672*(General_Model!$D$4/1000)/General_Model!$D$15)^0.25))*General_Model!$D$7/(General_Model!$D$4/1000)+2)*(General_Model!$D$26/A672))</f>
        <v>-0.20585362699869361</v>
      </c>
      <c r="C672" s="13">
        <f t="shared" si="10"/>
        <v>0</v>
      </c>
    </row>
    <row r="673" spans="1:3" x14ac:dyDescent="0.25">
      <c r="A673" s="11">
        <v>0.67100000000000004</v>
      </c>
      <c r="B673" s="12">
        <f>(General_Model!$D$6/General_Model!$D$7)-1/(1+General_Model!$D$26/((1.2+0.2*(General_Model!$D$26/A673)+0.35*SQRT(9.80665*(General_Model!$D$4/1000))/A673)*A673))-(A673^2/(2*9.80665*General_Model!$D$7))*((4*(0.3164/((General_Model!$D$14*A673*(General_Model!$D$4/1000)/General_Model!$D$15)^0.25))*General_Model!$D$7/(General_Model!$D$4/1000)+1)+(4*(0.3164/((General_Model!$D$14*A673*(General_Model!$D$4/1000)/General_Model!$D$15)^0.25))*General_Model!$D$7/(General_Model!$D$4/1000)+2)*(General_Model!$D$26/A673))</f>
        <v>-0.20633190559629497</v>
      </c>
      <c r="C673" s="13">
        <f t="shared" si="10"/>
        <v>0</v>
      </c>
    </row>
    <row r="674" spans="1:3" x14ac:dyDescent="0.25">
      <c r="A674" s="11">
        <v>0.67200000000000004</v>
      </c>
      <c r="B674" s="12">
        <f>(General_Model!$D$6/General_Model!$D$7)-1/(1+General_Model!$D$26/((1.2+0.2*(General_Model!$D$26/A674)+0.35*SQRT(9.80665*(General_Model!$D$4/1000))/A674)*A674))-(A674^2/(2*9.80665*General_Model!$D$7))*((4*(0.3164/((General_Model!$D$14*A674*(General_Model!$D$4/1000)/General_Model!$D$15)^0.25))*General_Model!$D$7/(General_Model!$D$4/1000)+1)+(4*(0.3164/((General_Model!$D$14*A674*(General_Model!$D$4/1000)/General_Model!$D$15)^0.25))*General_Model!$D$7/(General_Model!$D$4/1000)+2)*(General_Model!$D$26/A674))</f>
        <v>-0.20681007158783171</v>
      </c>
      <c r="C674" s="13">
        <f t="shared" si="10"/>
        <v>0</v>
      </c>
    </row>
    <row r="675" spans="1:3" x14ac:dyDescent="0.25">
      <c r="A675" s="11">
        <v>0.67300000000000004</v>
      </c>
      <c r="B675" s="12">
        <f>(General_Model!$D$6/General_Model!$D$7)-1/(1+General_Model!$D$26/((1.2+0.2*(General_Model!$D$26/A675)+0.35*SQRT(9.80665*(General_Model!$D$4/1000))/A675)*A675))-(A675^2/(2*9.80665*General_Model!$D$7))*((4*(0.3164/((General_Model!$D$14*A675*(General_Model!$D$4/1000)/General_Model!$D$15)^0.25))*General_Model!$D$7/(General_Model!$D$4/1000)+1)+(4*(0.3164/((General_Model!$D$14*A675*(General_Model!$D$4/1000)/General_Model!$D$15)^0.25))*General_Model!$D$7/(General_Model!$D$4/1000)+2)*(General_Model!$D$26/A675))</f>
        <v>-0.20728812559791851</v>
      </c>
      <c r="C675" s="13">
        <f t="shared" si="10"/>
        <v>0</v>
      </c>
    </row>
    <row r="676" spans="1:3" x14ac:dyDescent="0.25">
      <c r="A676" s="11">
        <v>0.67400000000000004</v>
      </c>
      <c r="B676" s="12">
        <f>(General_Model!$D$6/General_Model!$D$7)-1/(1+General_Model!$D$26/((1.2+0.2*(General_Model!$D$26/A676)+0.35*SQRT(9.80665*(General_Model!$D$4/1000))/A676)*A676))-(A676^2/(2*9.80665*General_Model!$D$7))*((4*(0.3164/((General_Model!$D$14*A676*(General_Model!$D$4/1000)/General_Model!$D$15)^0.25))*General_Model!$D$7/(General_Model!$D$4/1000)+1)+(4*(0.3164/((General_Model!$D$14*A676*(General_Model!$D$4/1000)/General_Model!$D$15)^0.25))*General_Model!$D$7/(General_Model!$D$4/1000)+2)*(General_Model!$D$26/A676))</f>
        <v>-0.20776606824939362</v>
      </c>
      <c r="C676" s="13">
        <f t="shared" si="10"/>
        <v>0</v>
      </c>
    </row>
    <row r="677" spans="1:3" x14ac:dyDescent="0.25">
      <c r="A677" s="11">
        <v>0.67500000000000004</v>
      </c>
      <c r="B677" s="12">
        <f>(General_Model!$D$6/General_Model!$D$7)-1/(1+General_Model!$D$26/((1.2+0.2*(General_Model!$D$26/A677)+0.35*SQRT(9.80665*(General_Model!$D$4/1000))/A677)*A677))-(A677^2/(2*9.80665*General_Model!$D$7))*((4*(0.3164/((General_Model!$D$14*A677*(General_Model!$D$4/1000)/General_Model!$D$15)^0.25))*General_Model!$D$7/(General_Model!$D$4/1000)+1)+(4*(0.3164/((General_Model!$D$14*A677*(General_Model!$D$4/1000)/General_Model!$D$15)^0.25))*General_Model!$D$7/(General_Model!$D$4/1000)+2)*(General_Model!$D$26/A677))</f>
        <v>-0.20824390016332531</v>
      </c>
      <c r="C677" s="13">
        <f t="shared" si="10"/>
        <v>0</v>
      </c>
    </row>
    <row r="678" spans="1:3" x14ac:dyDescent="0.25">
      <c r="A678" s="11">
        <v>0.67600000000000005</v>
      </c>
      <c r="B678" s="12">
        <f>(General_Model!$D$6/General_Model!$D$7)-1/(1+General_Model!$D$26/((1.2+0.2*(General_Model!$D$26/A678)+0.35*SQRT(9.80665*(General_Model!$D$4/1000))/A678)*A678))-(A678^2/(2*9.80665*General_Model!$D$7))*((4*(0.3164/((General_Model!$D$14*A678*(General_Model!$D$4/1000)/General_Model!$D$15)^0.25))*General_Model!$D$7/(General_Model!$D$4/1000)+1)+(4*(0.3164/((General_Model!$D$14*A678*(General_Model!$D$4/1000)/General_Model!$D$15)^0.25))*General_Model!$D$7/(General_Model!$D$4/1000)+2)*(General_Model!$D$26/A678))</f>
        <v>-0.20872162195901769</v>
      </c>
      <c r="C678" s="13">
        <f t="shared" si="10"/>
        <v>0</v>
      </c>
    </row>
    <row r="679" spans="1:3" x14ac:dyDescent="0.25">
      <c r="A679" s="11">
        <v>0.67700000000000005</v>
      </c>
      <c r="B679" s="12">
        <f>(General_Model!$D$6/General_Model!$D$7)-1/(1+General_Model!$D$26/((1.2+0.2*(General_Model!$D$26/A679)+0.35*SQRT(9.80665*(General_Model!$D$4/1000))/A679)*A679))-(A679^2/(2*9.80665*General_Model!$D$7))*((4*(0.3164/((General_Model!$D$14*A679*(General_Model!$D$4/1000)/General_Model!$D$15)^0.25))*General_Model!$D$7/(General_Model!$D$4/1000)+1)+(4*(0.3164/((General_Model!$D$14*A679*(General_Model!$D$4/1000)/General_Model!$D$15)^0.25))*General_Model!$D$7/(General_Model!$D$4/1000)+2)*(General_Model!$D$26/A679))</f>
        <v>-0.20919923425401776</v>
      </c>
      <c r="C679" s="13">
        <f t="shared" si="10"/>
        <v>0</v>
      </c>
    </row>
    <row r="680" spans="1:3" x14ac:dyDescent="0.25">
      <c r="A680" s="11">
        <v>0.67800000000000005</v>
      </c>
      <c r="B680" s="12">
        <f>(General_Model!$D$6/General_Model!$D$7)-1/(1+General_Model!$D$26/((1.2+0.2*(General_Model!$D$26/A680)+0.35*SQRT(9.80665*(General_Model!$D$4/1000))/A680)*A680))-(A680^2/(2*9.80665*General_Model!$D$7))*((4*(0.3164/((General_Model!$D$14*A680*(General_Model!$D$4/1000)/General_Model!$D$15)^0.25))*General_Model!$D$7/(General_Model!$D$4/1000)+1)+(4*(0.3164/((General_Model!$D$14*A680*(General_Model!$D$4/1000)/General_Model!$D$15)^0.25))*General_Model!$D$7/(General_Model!$D$4/1000)+2)*(General_Model!$D$26/A680))</f>
        <v>-0.20967673766412034</v>
      </c>
      <c r="C680" s="13">
        <f t="shared" si="10"/>
        <v>0</v>
      </c>
    </row>
    <row r="681" spans="1:3" x14ac:dyDescent="0.25">
      <c r="A681" s="11">
        <v>0.67900000000000005</v>
      </c>
      <c r="B681" s="12">
        <f>(General_Model!$D$6/General_Model!$D$7)-1/(1+General_Model!$D$26/((1.2+0.2*(General_Model!$D$26/A681)+0.35*SQRT(9.80665*(General_Model!$D$4/1000))/A681)*A681))-(A681^2/(2*9.80665*General_Model!$D$7))*((4*(0.3164/((General_Model!$D$14*A681*(General_Model!$D$4/1000)/General_Model!$D$15)^0.25))*General_Model!$D$7/(General_Model!$D$4/1000)+1)+(4*(0.3164/((General_Model!$D$14*A681*(General_Model!$D$4/1000)/General_Model!$D$15)^0.25))*General_Model!$D$7/(General_Model!$D$4/1000)+2)*(General_Model!$D$26/A681))</f>
        <v>-0.21015413280337542</v>
      </c>
      <c r="C681" s="13">
        <f t="shared" si="10"/>
        <v>0</v>
      </c>
    </row>
    <row r="682" spans="1:3" x14ac:dyDescent="0.25">
      <c r="A682" s="11">
        <v>0.68</v>
      </c>
      <c r="B682" s="12">
        <f>(General_Model!$D$6/General_Model!$D$7)-1/(1+General_Model!$D$26/((1.2+0.2*(General_Model!$D$26/A682)+0.35*SQRT(9.80665*(General_Model!$D$4/1000))/A682)*A682))-(A682^2/(2*9.80665*General_Model!$D$7))*((4*(0.3164/((General_Model!$D$14*A682*(General_Model!$D$4/1000)/General_Model!$D$15)^0.25))*General_Model!$D$7/(General_Model!$D$4/1000)+1)+(4*(0.3164/((General_Model!$D$14*A682*(General_Model!$D$4/1000)/General_Model!$D$15)^0.25))*General_Model!$D$7/(General_Model!$D$4/1000)+2)*(General_Model!$D$26/A682))</f>
        <v>-0.21063142028409357</v>
      </c>
      <c r="C682" s="13">
        <f t="shared" si="10"/>
        <v>0</v>
      </c>
    </row>
    <row r="683" spans="1:3" x14ac:dyDescent="0.25">
      <c r="A683" s="11">
        <v>0.68100000000000005</v>
      </c>
      <c r="B683" s="12">
        <f>(General_Model!$D$6/General_Model!$D$7)-1/(1+General_Model!$D$26/((1.2+0.2*(General_Model!$D$26/A683)+0.35*SQRT(9.80665*(General_Model!$D$4/1000))/A683)*A683))-(A683^2/(2*9.80665*General_Model!$D$7))*((4*(0.3164/((General_Model!$D$14*A683*(General_Model!$D$4/1000)/General_Model!$D$15)^0.25))*General_Model!$D$7/(General_Model!$D$4/1000)+1)+(4*(0.3164/((General_Model!$D$14*A683*(General_Model!$D$4/1000)/General_Model!$D$15)^0.25))*General_Model!$D$7/(General_Model!$D$4/1000)+2)*(General_Model!$D$26/A683))</f>
        <v>-0.21110860071685217</v>
      </c>
      <c r="C683" s="13">
        <f t="shared" si="10"/>
        <v>0</v>
      </c>
    </row>
    <row r="684" spans="1:3" x14ac:dyDescent="0.25">
      <c r="A684" s="11">
        <v>0.68200000000000005</v>
      </c>
      <c r="B684" s="12">
        <f>(General_Model!$D$6/General_Model!$D$7)-1/(1+General_Model!$D$26/((1.2+0.2*(General_Model!$D$26/A684)+0.35*SQRT(9.80665*(General_Model!$D$4/1000))/A684)*A684))-(A684^2/(2*9.80665*General_Model!$D$7))*((4*(0.3164/((General_Model!$D$14*A684*(General_Model!$D$4/1000)/General_Model!$D$15)^0.25))*General_Model!$D$7/(General_Model!$D$4/1000)+1)+(4*(0.3164/((General_Model!$D$14*A684*(General_Model!$D$4/1000)/General_Model!$D$15)^0.25))*General_Model!$D$7/(General_Model!$D$4/1000)+2)*(General_Model!$D$26/A684))</f>
        <v>-0.2115856747105016</v>
      </c>
      <c r="C684" s="13">
        <f t="shared" si="10"/>
        <v>0</v>
      </c>
    </row>
    <row r="685" spans="1:3" x14ac:dyDescent="0.25">
      <c r="A685" s="11">
        <v>0.68300000000000005</v>
      </c>
      <c r="B685" s="12">
        <f>(General_Model!$D$6/General_Model!$D$7)-1/(1+General_Model!$D$26/((1.2+0.2*(General_Model!$D$26/A685)+0.35*SQRT(9.80665*(General_Model!$D$4/1000))/A685)*A685))-(A685^2/(2*9.80665*General_Model!$D$7))*((4*(0.3164/((General_Model!$D$14*A685*(General_Model!$D$4/1000)/General_Model!$D$15)^0.25))*General_Model!$D$7/(General_Model!$D$4/1000)+1)+(4*(0.3164/((General_Model!$D$14*A685*(General_Model!$D$4/1000)/General_Model!$D$15)^0.25))*General_Model!$D$7/(General_Model!$D$4/1000)+2)*(General_Model!$D$26/A685))</f>
        <v>-0.21206264287217105</v>
      </c>
      <c r="C685" s="13">
        <f t="shared" si="10"/>
        <v>0</v>
      </c>
    </row>
    <row r="686" spans="1:3" x14ac:dyDescent="0.25">
      <c r="A686" s="11">
        <v>0.68400000000000005</v>
      </c>
      <c r="B686" s="12">
        <f>(General_Model!$D$6/General_Model!$D$7)-1/(1+General_Model!$D$26/((1.2+0.2*(General_Model!$D$26/A686)+0.35*SQRT(9.80665*(General_Model!$D$4/1000))/A686)*A686))-(A686^2/(2*9.80665*General_Model!$D$7))*((4*(0.3164/((General_Model!$D$14*A686*(General_Model!$D$4/1000)/General_Model!$D$15)^0.25))*General_Model!$D$7/(General_Model!$D$4/1000)+1)+(4*(0.3164/((General_Model!$D$14*A686*(General_Model!$D$4/1000)/General_Model!$D$15)^0.25))*General_Model!$D$7/(General_Model!$D$4/1000)+2)*(General_Model!$D$26/A686))</f>
        <v>-0.21253950580727507</v>
      </c>
      <c r="C686" s="13">
        <f t="shared" si="10"/>
        <v>0</v>
      </c>
    </row>
    <row r="687" spans="1:3" x14ac:dyDescent="0.25">
      <c r="A687" s="11">
        <v>0.68500000000000005</v>
      </c>
      <c r="B687" s="12">
        <f>(General_Model!$D$6/General_Model!$D$7)-1/(1+General_Model!$D$26/((1.2+0.2*(General_Model!$D$26/A687)+0.35*SQRT(9.80665*(General_Model!$D$4/1000))/A687)*A687))-(A687^2/(2*9.80665*General_Model!$D$7))*((4*(0.3164/((General_Model!$D$14*A687*(General_Model!$D$4/1000)/General_Model!$D$15)^0.25))*General_Model!$D$7/(General_Model!$D$4/1000)+1)+(4*(0.3164/((General_Model!$D$14*A687*(General_Model!$D$4/1000)/General_Model!$D$15)^0.25))*General_Model!$D$7/(General_Model!$D$4/1000)+2)*(General_Model!$D$26/A687))</f>
        <v>-0.21301626411951868</v>
      </c>
      <c r="C687" s="13">
        <f t="shared" si="10"/>
        <v>0</v>
      </c>
    </row>
    <row r="688" spans="1:3" x14ac:dyDescent="0.25">
      <c r="A688" s="11">
        <v>0.68600000000000005</v>
      </c>
      <c r="B688" s="12">
        <f>(General_Model!$D$6/General_Model!$D$7)-1/(1+General_Model!$D$26/((1.2+0.2*(General_Model!$D$26/A688)+0.35*SQRT(9.80665*(General_Model!$D$4/1000))/A688)*A688))-(A688^2/(2*9.80665*General_Model!$D$7))*((4*(0.3164/((General_Model!$D$14*A688*(General_Model!$D$4/1000)/General_Model!$D$15)^0.25))*General_Model!$D$7/(General_Model!$D$4/1000)+1)+(4*(0.3164/((General_Model!$D$14*A688*(General_Model!$D$4/1000)/General_Model!$D$15)^0.25))*General_Model!$D$7/(General_Model!$D$4/1000)+2)*(General_Model!$D$26/A688))</f>
        <v>-0.21349291841090418</v>
      </c>
      <c r="C688" s="13">
        <f t="shared" si="10"/>
        <v>0</v>
      </c>
    </row>
    <row r="689" spans="1:3" x14ac:dyDescent="0.25">
      <c r="A689" s="11">
        <v>0.68700000000000006</v>
      </c>
      <c r="B689" s="12">
        <f>(General_Model!$D$6/General_Model!$D$7)-1/(1+General_Model!$D$26/((1.2+0.2*(General_Model!$D$26/A689)+0.35*SQRT(9.80665*(General_Model!$D$4/1000))/A689)*A689))-(A689^2/(2*9.80665*General_Model!$D$7))*((4*(0.3164/((General_Model!$D$14*A689*(General_Model!$D$4/1000)/General_Model!$D$15)^0.25))*General_Model!$D$7/(General_Model!$D$4/1000)+1)+(4*(0.3164/((General_Model!$D$14*A689*(General_Model!$D$4/1000)/General_Model!$D$15)^0.25))*General_Model!$D$7/(General_Model!$D$4/1000)+2)*(General_Model!$D$26/A689))</f>
        <v>-0.21396946928173666</v>
      </c>
      <c r="C689" s="13">
        <f t="shared" si="10"/>
        <v>0</v>
      </c>
    </row>
    <row r="690" spans="1:3" x14ac:dyDescent="0.25">
      <c r="A690" s="11">
        <v>0.68800000000000006</v>
      </c>
      <c r="B690" s="12">
        <f>(General_Model!$D$6/General_Model!$D$7)-1/(1+General_Model!$D$26/((1.2+0.2*(General_Model!$D$26/A690)+0.35*SQRT(9.80665*(General_Model!$D$4/1000))/A690)*A690))-(A690^2/(2*9.80665*General_Model!$D$7))*((4*(0.3164/((General_Model!$D$14*A690*(General_Model!$D$4/1000)/General_Model!$D$15)^0.25))*General_Model!$D$7/(General_Model!$D$4/1000)+1)+(4*(0.3164/((General_Model!$D$14*A690*(General_Model!$D$4/1000)/General_Model!$D$15)^0.25))*General_Model!$D$7/(General_Model!$D$4/1000)+2)*(General_Model!$D$26/A690))</f>
        <v>-0.21444591733063012</v>
      </c>
      <c r="C690" s="13">
        <f t="shared" si="10"/>
        <v>0</v>
      </c>
    </row>
    <row r="691" spans="1:3" x14ac:dyDescent="0.25">
      <c r="A691" s="11">
        <v>0.68900000000000006</v>
      </c>
      <c r="B691" s="12">
        <f>(General_Model!$D$6/General_Model!$D$7)-1/(1+General_Model!$D$26/((1.2+0.2*(General_Model!$D$26/A691)+0.35*SQRT(9.80665*(General_Model!$D$4/1000))/A691)*A691))-(A691^2/(2*9.80665*General_Model!$D$7))*((4*(0.3164/((General_Model!$D$14*A691*(General_Model!$D$4/1000)/General_Model!$D$15)^0.25))*General_Model!$D$7/(General_Model!$D$4/1000)+1)+(4*(0.3164/((General_Model!$D$14*A691*(General_Model!$D$4/1000)/General_Model!$D$15)^0.25))*General_Model!$D$7/(General_Model!$D$4/1000)+2)*(General_Model!$D$26/A691))</f>
        <v>-0.21492226315451304</v>
      </c>
      <c r="C691" s="13">
        <f t="shared" si="10"/>
        <v>0</v>
      </c>
    </row>
    <row r="692" spans="1:3" x14ac:dyDescent="0.25">
      <c r="A692" s="11">
        <v>0.69000000000000006</v>
      </c>
      <c r="B692" s="12">
        <f>(General_Model!$D$6/General_Model!$D$7)-1/(1+General_Model!$D$26/((1.2+0.2*(General_Model!$D$26/A692)+0.35*SQRT(9.80665*(General_Model!$D$4/1000))/A692)*A692))-(A692^2/(2*9.80665*General_Model!$D$7))*((4*(0.3164/((General_Model!$D$14*A692*(General_Model!$D$4/1000)/General_Model!$D$15)^0.25))*General_Model!$D$7/(General_Model!$D$4/1000)+1)+(4*(0.3164/((General_Model!$D$14*A692*(General_Model!$D$4/1000)/General_Model!$D$15)^0.25))*General_Model!$D$7/(General_Model!$D$4/1000)+2)*(General_Model!$D$26/A692))</f>
        <v>-0.21539850734863464</v>
      </c>
      <c r="C692" s="13">
        <f t="shared" si="10"/>
        <v>0</v>
      </c>
    </row>
    <row r="693" spans="1:3" x14ac:dyDescent="0.25">
      <c r="A693" s="11">
        <v>0.69100000000000006</v>
      </c>
      <c r="B693" s="12">
        <f>(General_Model!$D$6/General_Model!$D$7)-1/(1+General_Model!$D$26/((1.2+0.2*(General_Model!$D$26/A693)+0.35*SQRT(9.80665*(General_Model!$D$4/1000))/A693)*A693))-(A693^2/(2*9.80665*General_Model!$D$7))*((4*(0.3164/((General_Model!$D$14*A693*(General_Model!$D$4/1000)/General_Model!$D$15)^0.25))*General_Model!$D$7/(General_Model!$D$4/1000)+1)+(4*(0.3164/((General_Model!$D$14*A693*(General_Model!$D$4/1000)/General_Model!$D$15)^0.25))*General_Model!$D$7/(General_Model!$D$4/1000)+2)*(General_Model!$D$26/A693))</f>
        <v>-0.21587465050657018</v>
      </c>
      <c r="C693" s="13">
        <f t="shared" si="10"/>
        <v>0</v>
      </c>
    </row>
    <row r="694" spans="1:3" x14ac:dyDescent="0.25">
      <c r="A694" s="11">
        <v>0.69200000000000006</v>
      </c>
      <c r="B694" s="12">
        <f>(General_Model!$D$6/General_Model!$D$7)-1/(1+General_Model!$D$26/((1.2+0.2*(General_Model!$D$26/A694)+0.35*SQRT(9.80665*(General_Model!$D$4/1000))/A694)*A694))-(A694^2/(2*9.80665*General_Model!$D$7))*((4*(0.3164/((General_Model!$D$14*A694*(General_Model!$D$4/1000)/General_Model!$D$15)^0.25))*General_Model!$D$7/(General_Model!$D$4/1000)+1)+(4*(0.3164/((General_Model!$D$14*A694*(General_Model!$D$4/1000)/General_Model!$D$15)^0.25))*General_Model!$D$7/(General_Model!$D$4/1000)+2)*(General_Model!$D$26/A694))</f>
        <v>-0.21635069322022751</v>
      </c>
      <c r="C694" s="13">
        <f t="shared" si="10"/>
        <v>0</v>
      </c>
    </row>
    <row r="695" spans="1:3" x14ac:dyDescent="0.25">
      <c r="A695" s="11">
        <v>0.69300000000000006</v>
      </c>
      <c r="B695" s="12">
        <f>(General_Model!$D$6/General_Model!$D$7)-1/(1+General_Model!$D$26/((1.2+0.2*(General_Model!$D$26/A695)+0.35*SQRT(9.80665*(General_Model!$D$4/1000))/A695)*A695))-(A695^2/(2*9.80665*General_Model!$D$7))*((4*(0.3164/((General_Model!$D$14*A695*(General_Model!$D$4/1000)/General_Model!$D$15)^0.25))*General_Model!$D$7/(General_Model!$D$4/1000)+1)+(4*(0.3164/((General_Model!$D$14*A695*(General_Model!$D$4/1000)/General_Model!$D$15)^0.25))*General_Model!$D$7/(General_Model!$D$4/1000)+2)*(General_Model!$D$26/A695))</f>
        <v>-0.21682663607985248</v>
      </c>
      <c r="C695" s="13">
        <f t="shared" si="10"/>
        <v>0</v>
      </c>
    </row>
    <row r="696" spans="1:3" x14ac:dyDescent="0.25">
      <c r="A696" s="11">
        <v>0.69400000000000006</v>
      </c>
      <c r="B696" s="12">
        <f>(General_Model!$D$6/General_Model!$D$7)-1/(1+General_Model!$D$26/((1.2+0.2*(General_Model!$D$26/A696)+0.35*SQRT(9.80665*(General_Model!$D$4/1000))/A696)*A696))-(A696^2/(2*9.80665*General_Model!$D$7))*((4*(0.3164/((General_Model!$D$14*A696*(General_Model!$D$4/1000)/General_Model!$D$15)^0.25))*General_Model!$D$7/(General_Model!$D$4/1000)+1)+(4*(0.3164/((General_Model!$D$14*A696*(General_Model!$D$4/1000)/General_Model!$D$15)^0.25))*General_Model!$D$7/(General_Model!$D$4/1000)+2)*(General_Model!$D$26/A696))</f>
        <v>-0.21730247967403443</v>
      </c>
      <c r="C696" s="13">
        <f t="shared" si="10"/>
        <v>0</v>
      </c>
    </row>
    <row r="697" spans="1:3" x14ac:dyDescent="0.25">
      <c r="A697" s="11">
        <v>0.69500000000000006</v>
      </c>
      <c r="B697" s="12">
        <f>(General_Model!$D$6/General_Model!$D$7)-1/(1+General_Model!$D$26/((1.2+0.2*(General_Model!$D$26/A697)+0.35*SQRT(9.80665*(General_Model!$D$4/1000))/A697)*A697))-(A697^2/(2*9.80665*General_Model!$D$7))*((4*(0.3164/((General_Model!$D$14*A697*(General_Model!$D$4/1000)/General_Model!$D$15)^0.25))*General_Model!$D$7/(General_Model!$D$4/1000)+1)+(4*(0.3164/((General_Model!$D$14*A697*(General_Model!$D$4/1000)/General_Model!$D$15)^0.25))*General_Model!$D$7/(General_Model!$D$4/1000)+2)*(General_Model!$D$26/A697))</f>
        <v>-0.21777822458971247</v>
      </c>
      <c r="C697" s="13">
        <f t="shared" si="10"/>
        <v>0</v>
      </c>
    </row>
    <row r="698" spans="1:3" x14ac:dyDescent="0.25">
      <c r="A698" s="11">
        <v>0.69600000000000006</v>
      </c>
      <c r="B698" s="12">
        <f>(General_Model!$D$6/General_Model!$D$7)-1/(1+General_Model!$D$26/((1.2+0.2*(General_Model!$D$26/A698)+0.35*SQRT(9.80665*(General_Model!$D$4/1000))/A698)*A698))-(A698^2/(2*9.80665*General_Model!$D$7))*((4*(0.3164/((General_Model!$D$14*A698*(General_Model!$D$4/1000)/General_Model!$D$15)^0.25))*General_Model!$D$7/(General_Model!$D$4/1000)+1)+(4*(0.3164/((General_Model!$D$14*A698*(General_Model!$D$4/1000)/General_Model!$D$15)^0.25))*General_Model!$D$7/(General_Model!$D$4/1000)+2)*(General_Model!$D$26/A698))</f>
        <v>-0.21825387141218072</v>
      </c>
      <c r="C698" s="13">
        <f t="shared" si="10"/>
        <v>0</v>
      </c>
    </row>
    <row r="699" spans="1:3" x14ac:dyDescent="0.25">
      <c r="A699" s="11">
        <v>0.69700000000000006</v>
      </c>
      <c r="B699" s="12">
        <f>(General_Model!$D$6/General_Model!$D$7)-1/(1+General_Model!$D$26/((1.2+0.2*(General_Model!$D$26/A699)+0.35*SQRT(9.80665*(General_Model!$D$4/1000))/A699)*A699))-(A699^2/(2*9.80665*General_Model!$D$7))*((4*(0.3164/((General_Model!$D$14*A699*(General_Model!$D$4/1000)/General_Model!$D$15)^0.25))*General_Model!$D$7/(General_Model!$D$4/1000)+1)+(4*(0.3164/((General_Model!$D$14*A699*(General_Model!$D$4/1000)/General_Model!$D$15)^0.25))*General_Model!$D$7/(General_Model!$D$4/1000)+2)*(General_Model!$D$26/A699))</f>
        <v>-0.21872942072509444</v>
      </c>
      <c r="C699" s="13">
        <f t="shared" si="10"/>
        <v>0</v>
      </c>
    </row>
    <row r="700" spans="1:3" x14ac:dyDescent="0.25">
      <c r="A700" s="11">
        <v>0.69800000000000006</v>
      </c>
      <c r="B700" s="12">
        <f>(General_Model!$D$6/General_Model!$D$7)-1/(1+General_Model!$D$26/((1.2+0.2*(General_Model!$D$26/A700)+0.35*SQRT(9.80665*(General_Model!$D$4/1000))/A700)*A700))-(A700^2/(2*9.80665*General_Model!$D$7))*((4*(0.3164/((General_Model!$D$14*A700*(General_Model!$D$4/1000)/General_Model!$D$15)^0.25))*General_Model!$D$7/(General_Model!$D$4/1000)+1)+(4*(0.3164/((General_Model!$D$14*A700*(General_Model!$D$4/1000)/General_Model!$D$15)^0.25))*General_Model!$D$7/(General_Model!$D$4/1000)+2)*(General_Model!$D$26/A700))</f>
        <v>-0.21920487311047523</v>
      </c>
      <c r="C700" s="13">
        <f t="shared" si="10"/>
        <v>0</v>
      </c>
    </row>
    <row r="701" spans="1:3" x14ac:dyDescent="0.25">
      <c r="A701" s="11">
        <v>0.69900000000000007</v>
      </c>
      <c r="B701" s="12">
        <f>(General_Model!$D$6/General_Model!$D$7)-1/(1+General_Model!$D$26/((1.2+0.2*(General_Model!$D$26/A701)+0.35*SQRT(9.80665*(General_Model!$D$4/1000))/A701)*A701))-(A701^2/(2*9.80665*General_Model!$D$7))*((4*(0.3164/((General_Model!$D$14*A701*(General_Model!$D$4/1000)/General_Model!$D$15)^0.25))*General_Model!$D$7/(General_Model!$D$4/1000)+1)+(4*(0.3164/((General_Model!$D$14*A701*(General_Model!$D$4/1000)/General_Model!$D$15)^0.25))*General_Model!$D$7/(General_Model!$D$4/1000)+2)*(General_Model!$D$26/A701))</f>
        <v>-0.21968022914871724</v>
      </c>
      <c r="C701" s="13">
        <f t="shared" si="10"/>
        <v>0</v>
      </c>
    </row>
    <row r="702" spans="1:3" x14ac:dyDescent="0.25">
      <c r="A702" s="11">
        <v>0.70000000000000007</v>
      </c>
      <c r="B702" s="12">
        <f>(General_Model!$D$6/General_Model!$D$7)-1/(1+General_Model!$D$26/((1.2+0.2*(General_Model!$D$26/A702)+0.35*SQRT(9.80665*(General_Model!$D$4/1000))/A702)*A702))-(A702^2/(2*9.80665*General_Model!$D$7))*((4*(0.3164/((General_Model!$D$14*A702*(General_Model!$D$4/1000)/General_Model!$D$15)^0.25))*General_Model!$D$7/(General_Model!$D$4/1000)+1)+(4*(0.3164/((General_Model!$D$14*A702*(General_Model!$D$4/1000)/General_Model!$D$15)^0.25))*General_Model!$D$7/(General_Model!$D$4/1000)+2)*(General_Model!$D$26/A702))</f>
        <v>-0.2201554894185925</v>
      </c>
      <c r="C702" s="13">
        <f t="shared" si="10"/>
        <v>0</v>
      </c>
    </row>
    <row r="703" spans="1:3" x14ac:dyDescent="0.25">
      <c r="A703" s="11">
        <v>0.70100000000000007</v>
      </c>
      <c r="B703" s="12">
        <f>(General_Model!$D$6/General_Model!$D$7)-1/(1+General_Model!$D$26/((1.2+0.2*(General_Model!$D$26/A703)+0.35*SQRT(9.80665*(General_Model!$D$4/1000))/A703)*A703))-(A703^2/(2*9.80665*General_Model!$D$7))*((4*(0.3164/((General_Model!$D$14*A703*(General_Model!$D$4/1000)/General_Model!$D$15)^0.25))*General_Model!$D$7/(General_Model!$D$4/1000)+1)+(4*(0.3164/((General_Model!$D$14*A703*(General_Model!$D$4/1000)/General_Model!$D$15)^0.25))*General_Model!$D$7/(General_Model!$D$4/1000)+2)*(General_Model!$D$26/A703))</f>
        <v>-0.22063065449725594</v>
      </c>
      <c r="C703" s="13">
        <f t="shared" si="10"/>
        <v>0</v>
      </c>
    </row>
    <row r="704" spans="1:3" x14ac:dyDescent="0.25">
      <c r="A704" s="11">
        <v>0.70200000000000007</v>
      </c>
      <c r="B704" s="12">
        <f>(General_Model!$D$6/General_Model!$D$7)-1/(1+General_Model!$D$26/((1.2+0.2*(General_Model!$D$26/A704)+0.35*SQRT(9.80665*(General_Model!$D$4/1000))/A704)*A704))-(A704^2/(2*9.80665*General_Model!$D$7))*((4*(0.3164/((General_Model!$D$14*A704*(General_Model!$D$4/1000)/General_Model!$D$15)^0.25))*General_Model!$D$7/(General_Model!$D$4/1000)+1)+(4*(0.3164/((General_Model!$D$14*A704*(General_Model!$D$4/1000)/General_Model!$D$15)^0.25))*General_Model!$D$7/(General_Model!$D$4/1000)+2)*(General_Model!$D$26/A704))</f>
        <v>-0.22110572496025235</v>
      </c>
      <c r="C704" s="13">
        <f t="shared" si="10"/>
        <v>0</v>
      </c>
    </row>
    <row r="705" spans="1:3" x14ac:dyDescent="0.25">
      <c r="A705" s="11">
        <v>0.70300000000000007</v>
      </c>
      <c r="B705" s="12">
        <f>(General_Model!$D$6/General_Model!$D$7)-1/(1+General_Model!$D$26/((1.2+0.2*(General_Model!$D$26/A705)+0.35*SQRT(9.80665*(General_Model!$D$4/1000))/A705)*A705))-(A705^2/(2*9.80665*General_Model!$D$7))*((4*(0.3164/((General_Model!$D$14*A705*(General_Model!$D$4/1000)/General_Model!$D$15)^0.25))*General_Model!$D$7/(General_Model!$D$4/1000)+1)+(4*(0.3164/((General_Model!$D$14*A705*(General_Model!$D$4/1000)/General_Model!$D$15)^0.25))*General_Model!$D$7/(General_Model!$D$4/1000)+2)*(General_Model!$D$26/A705))</f>
        <v>-0.22158070138152056</v>
      </c>
      <c r="C705" s="13">
        <f t="shared" si="10"/>
        <v>0</v>
      </c>
    </row>
    <row r="706" spans="1:3" x14ac:dyDescent="0.25">
      <c r="A706" s="11">
        <v>0.70400000000000007</v>
      </c>
      <c r="B706" s="12">
        <f>(General_Model!$D$6/General_Model!$D$7)-1/(1+General_Model!$D$26/((1.2+0.2*(General_Model!$D$26/A706)+0.35*SQRT(9.80665*(General_Model!$D$4/1000))/A706)*A706))-(A706^2/(2*9.80665*General_Model!$D$7))*((4*(0.3164/((General_Model!$D$14*A706*(General_Model!$D$4/1000)/General_Model!$D$15)^0.25))*General_Model!$D$7/(General_Model!$D$4/1000)+1)+(4*(0.3164/((General_Model!$D$14*A706*(General_Model!$D$4/1000)/General_Model!$D$15)^0.25))*General_Model!$D$7/(General_Model!$D$4/1000)+2)*(General_Model!$D$26/A706))</f>
        <v>-0.2220555843333997</v>
      </c>
      <c r="C706" s="13">
        <f t="shared" si="10"/>
        <v>0</v>
      </c>
    </row>
    <row r="707" spans="1:3" x14ac:dyDescent="0.25">
      <c r="A707" s="11">
        <v>0.70499999999999996</v>
      </c>
      <c r="B707" s="12">
        <f>(General_Model!$D$6/General_Model!$D$7)-1/(1+General_Model!$D$26/((1.2+0.2*(General_Model!$D$26/A707)+0.35*SQRT(9.80665*(General_Model!$D$4/1000))/A707)*A707))-(A707^2/(2*9.80665*General_Model!$D$7))*((4*(0.3164/((General_Model!$D$14*A707*(General_Model!$D$4/1000)/General_Model!$D$15)^0.25))*General_Model!$D$7/(General_Model!$D$4/1000)+1)+(4*(0.3164/((General_Model!$D$14*A707*(General_Model!$D$4/1000)/General_Model!$D$15)^0.25))*General_Model!$D$7/(General_Model!$D$4/1000)+2)*(General_Model!$D$26/A707))</f>
        <v>-0.2225303743866347</v>
      </c>
      <c r="C707" s="13">
        <f t="shared" ref="C707:C770" si="11">IF(B707*B708&lt;=0,1,0)</f>
        <v>0</v>
      </c>
    </row>
    <row r="708" spans="1:3" x14ac:dyDescent="0.25">
      <c r="A708" s="11">
        <v>0.70599999999999996</v>
      </c>
      <c r="B708" s="12">
        <f>(General_Model!$D$6/General_Model!$D$7)-1/(1+General_Model!$D$26/((1.2+0.2*(General_Model!$D$26/A708)+0.35*SQRT(9.80665*(General_Model!$D$4/1000))/A708)*A708))-(A708^2/(2*9.80665*General_Model!$D$7))*((4*(0.3164/((General_Model!$D$14*A708*(General_Model!$D$4/1000)/General_Model!$D$15)^0.25))*General_Model!$D$7/(General_Model!$D$4/1000)+1)+(4*(0.3164/((General_Model!$D$14*A708*(General_Model!$D$4/1000)/General_Model!$D$15)^0.25))*General_Model!$D$7/(General_Model!$D$4/1000)+2)*(General_Model!$D$26/A708))</f>
        <v>-0.22300507211038151</v>
      </c>
      <c r="C708" s="13">
        <f t="shared" si="11"/>
        <v>0</v>
      </c>
    </row>
    <row r="709" spans="1:3" x14ac:dyDescent="0.25">
      <c r="A709" s="11">
        <v>0.70699999999999996</v>
      </c>
      <c r="B709" s="12">
        <f>(General_Model!$D$6/General_Model!$D$7)-1/(1+General_Model!$D$26/((1.2+0.2*(General_Model!$D$26/A709)+0.35*SQRT(9.80665*(General_Model!$D$4/1000))/A709)*A709))-(A709^2/(2*9.80665*General_Model!$D$7))*((4*(0.3164/((General_Model!$D$14*A709*(General_Model!$D$4/1000)/General_Model!$D$15)^0.25))*General_Model!$D$7/(General_Model!$D$4/1000)+1)+(4*(0.3164/((General_Model!$D$14*A709*(General_Model!$D$4/1000)/General_Model!$D$15)^0.25))*General_Model!$D$7/(General_Model!$D$4/1000)+2)*(General_Model!$D$26/A709))</f>
        <v>-0.22347967807221267</v>
      </c>
      <c r="C709" s="13">
        <f t="shared" si="11"/>
        <v>0</v>
      </c>
    </row>
    <row r="710" spans="1:3" x14ac:dyDescent="0.25">
      <c r="A710" s="11">
        <v>0.70799999999999996</v>
      </c>
      <c r="B710" s="12">
        <f>(General_Model!$D$6/General_Model!$D$7)-1/(1+General_Model!$D$26/((1.2+0.2*(General_Model!$D$26/A710)+0.35*SQRT(9.80665*(General_Model!$D$4/1000))/A710)*A710))-(A710^2/(2*9.80665*General_Model!$D$7))*((4*(0.3164/((General_Model!$D$14*A710*(General_Model!$D$4/1000)/General_Model!$D$15)^0.25))*General_Model!$D$7/(General_Model!$D$4/1000)+1)+(4*(0.3164/((General_Model!$D$14*A710*(General_Model!$D$4/1000)/General_Model!$D$15)^0.25))*General_Model!$D$7/(General_Model!$D$4/1000)+2)*(General_Model!$D$26/A710))</f>
        <v>-0.22395419283812268</v>
      </c>
      <c r="C710" s="13">
        <f t="shared" si="11"/>
        <v>0</v>
      </c>
    </row>
    <row r="711" spans="1:3" x14ac:dyDescent="0.25">
      <c r="A711" s="11">
        <v>0.70899999999999996</v>
      </c>
      <c r="B711" s="12">
        <f>(General_Model!$D$6/General_Model!$D$7)-1/(1+General_Model!$D$26/((1.2+0.2*(General_Model!$D$26/A711)+0.35*SQRT(9.80665*(General_Model!$D$4/1000))/A711)*A711))-(A711^2/(2*9.80665*General_Model!$D$7))*((4*(0.3164/((General_Model!$D$14*A711*(General_Model!$D$4/1000)/General_Model!$D$15)^0.25))*General_Model!$D$7/(General_Model!$D$4/1000)+1)+(4*(0.3164/((General_Model!$D$14*A711*(General_Model!$D$4/1000)/General_Model!$D$15)^0.25))*General_Model!$D$7/(General_Model!$D$4/1000)+2)*(General_Model!$D$26/A711))</f>
        <v>-0.22442861697253347</v>
      </c>
      <c r="C711" s="13">
        <f t="shared" si="11"/>
        <v>0</v>
      </c>
    </row>
    <row r="712" spans="1:3" x14ac:dyDescent="0.25">
      <c r="A712" s="11">
        <v>0.71</v>
      </c>
      <c r="B712" s="12">
        <f>(General_Model!$D$6/General_Model!$D$7)-1/(1+General_Model!$D$26/((1.2+0.2*(General_Model!$D$26/A712)+0.35*SQRT(9.80665*(General_Model!$D$4/1000))/A712)*A712))-(A712^2/(2*9.80665*General_Model!$D$7))*((4*(0.3164/((General_Model!$D$14*A712*(General_Model!$D$4/1000)/General_Model!$D$15)^0.25))*General_Model!$D$7/(General_Model!$D$4/1000)+1)+(4*(0.3164/((General_Model!$D$14*A712*(General_Model!$D$4/1000)/General_Model!$D$15)^0.25))*General_Model!$D$7/(General_Model!$D$4/1000)+2)*(General_Model!$D$26/A712))</f>
        <v>-0.22490295103830021</v>
      </c>
      <c r="C712" s="13">
        <f t="shared" si="11"/>
        <v>0</v>
      </c>
    </row>
    <row r="713" spans="1:3" x14ac:dyDescent="0.25">
      <c r="A713" s="11">
        <v>0.71099999999999997</v>
      </c>
      <c r="B713" s="12">
        <f>(General_Model!$D$6/General_Model!$D$7)-1/(1+General_Model!$D$26/((1.2+0.2*(General_Model!$D$26/A713)+0.35*SQRT(9.80665*(General_Model!$D$4/1000))/A713)*A713))-(A713^2/(2*9.80665*General_Model!$D$7))*((4*(0.3164/((General_Model!$D$14*A713*(General_Model!$D$4/1000)/General_Model!$D$15)^0.25))*General_Model!$D$7/(General_Model!$D$4/1000)+1)+(4*(0.3164/((General_Model!$D$14*A713*(General_Model!$D$4/1000)/General_Model!$D$15)^0.25))*General_Model!$D$7/(General_Model!$D$4/1000)+2)*(General_Model!$D$26/A713))</f>
        <v>-0.22537719559671576</v>
      </c>
      <c r="C713" s="13">
        <f t="shared" si="11"/>
        <v>0</v>
      </c>
    </row>
    <row r="714" spans="1:3" x14ac:dyDescent="0.25">
      <c r="A714" s="11">
        <v>0.71199999999999997</v>
      </c>
      <c r="B714" s="12">
        <f>(General_Model!$D$6/General_Model!$D$7)-1/(1+General_Model!$D$26/((1.2+0.2*(General_Model!$D$26/A714)+0.35*SQRT(9.80665*(General_Model!$D$4/1000))/A714)*A714))-(A714^2/(2*9.80665*General_Model!$D$7))*((4*(0.3164/((General_Model!$D$14*A714*(General_Model!$D$4/1000)/General_Model!$D$15)^0.25))*General_Model!$D$7/(General_Model!$D$4/1000)+1)+(4*(0.3164/((General_Model!$D$14*A714*(General_Model!$D$4/1000)/General_Model!$D$15)^0.25))*General_Model!$D$7/(General_Model!$D$4/1000)+2)*(General_Model!$D$26/A714))</f>
        <v>-0.22585135120751701</v>
      </c>
      <c r="C714" s="13">
        <f t="shared" si="11"/>
        <v>0</v>
      </c>
    </row>
    <row r="715" spans="1:3" x14ac:dyDescent="0.25">
      <c r="A715" s="11">
        <v>0.71299999999999997</v>
      </c>
      <c r="B715" s="12">
        <f>(General_Model!$D$6/General_Model!$D$7)-1/(1+General_Model!$D$26/((1.2+0.2*(General_Model!$D$26/A715)+0.35*SQRT(9.80665*(General_Model!$D$4/1000))/A715)*A715))-(A715^2/(2*9.80665*General_Model!$D$7))*((4*(0.3164/((General_Model!$D$14*A715*(General_Model!$D$4/1000)/General_Model!$D$15)^0.25))*General_Model!$D$7/(General_Model!$D$4/1000)+1)+(4*(0.3164/((General_Model!$D$14*A715*(General_Model!$D$4/1000)/General_Model!$D$15)^0.25))*General_Model!$D$7/(General_Model!$D$4/1000)+2)*(General_Model!$D$26/A715))</f>
        <v>-0.22632541842888951</v>
      </c>
      <c r="C715" s="13">
        <f t="shared" si="11"/>
        <v>0</v>
      </c>
    </row>
    <row r="716" spans="1:3" x14ac:dyDescent="0.25">
      <c r="A716" s="11">
        <v>0.71399999999999997</v>
      </c>
      <c r="B716" s="12">
        <f>(General_Model!$D$6/General_Model!$D$7)-1/(1+General_Model!$D$26/((1.2+0.2*(General_Model!$D$26/A716)+0.35*SQRT(9.80665*(General_Model!$D$4/1000))/A716)*A716))-(A716^2/(2*9.80665*General_Model!$D$7))*((4*(0.3164/((General_Model!$D$14*A716*(General_Model!$D$4/1000)/General_Model!$D$15)^0.25))*General_Model!$D$7/(General_Model!$D$4/1000)+1)+(4*(0.3164/((General_Model!$D$14*A716*(General_Model!$D$4/1000)/General_Model!$D$15)^0.25))*General_Model!$D$7/(General_Model!$D$4/1000)+2)*(General_Model!$D$26/A716))</f>
        <v>-0.22679939781747302</v>
      </c>
      <c r="C716" s="13">
        <f t="shared" si="11"/>
        <v>0</v>
      </c>
    </row>
    <row r="717" spans="1:3" x14ac:dyDescent="0.25">
      <c r="A717" s="11">
        <v>0.71499999999999997</v>
      </c>
      <c r="B717" s="12">
        <f>(General_Model!$D$6/General_Model!$D$7)-1/(1+General_Model!$D$26/((1.2+0.2*(General_Model!$D$26/A717)+0.35*SQRT(9.80665*(General_Model!$D$4/1000))/A717)*A717))-(A717^2/(2*9.80665*General_Model!$D$7))*((4*(0.3164/((General_Model!$D$14*A717*(General_Model!$D$4/1000)/General_Model!$D$15)^0.25))*General_Model!$D$7/(General_Model!$D$4/1000)+1)+(4*(0.3164/((General_Model!$D$14*A717*(General_Model!$D$4/1000)/General_Model!$D$15)^0.25))*General_Model!$D$7/(General_Model!$D$4/1000)+2)*(General_Model!$D$26/A717))</f>
        <v>-0.22727328992836696</v>
      </c>
      <c r="C717" s="13">
        <f t="shared" si="11"/>
        <v>0</v>
      </c>
    </row>
    <row r="718" spans="1:3" x14ac:dyDescent="0.25">
      <c r="A718" s="11">
        <v>0.71599999999999997</v>
      </c>
      <c r="B718" s="12">
        <f>(General_Model!$D$6/General_Model!$D$7)-1/(1+General_Model!$D$26/((1.2+0.2*(General_Model!$D$26/A718)+0.35*SQRT(9.80665*(General_Model!$D$4/1000))/A718)*A718))-(A718^2/(2*9.80665*General_Model!$D$7))*((4*(0.3164/((General_Model!$D$14*A718*(General_Model!$D$4/1000)/General_Model!$D$15)^0.25))*General_Model!$D$7/(General_Model!$D$4/1000)+1)+(4*(0.3164/((General_Model!$D$14*A718*(General_Model!$D$4/1000)/General_Model!$D$15)^0.25))*General_Model!$D$7/(General_Model!$D$4/1000)+2)*(General_Model!$D$26/A718))</f>
        <v>-0.22774709531513518</v>
      </c>
      <c r="C718" s="13">
        <f t="shared" si="11"/>
        <v>0</v>
      </c>
    </row>
    <row r="719" spans="1:3" x14ac:dyDescent="0.25">
      <c r="A719" s="11">
        <v>0.71699999999999997</v>
      </c>
      <c r="B719" s="12">
        <f>(General_Model!$D$6/General_Model!$D$7)-1/(1+General_Model!$D$26/((1.2+0.2*(General_Model!$D$26/A719)+0.35*SQRT(9.80665*(General_Model!$D$4/1000))/A719)*A719))-(A719^2/(2*9.80665*General_Model!$D$7))*((4*(0.3164/((General_Model!$D$14*A719*(General_Model!$D$4/1000)/General_Model!$D$15)^0.25))*General_Model!$D$7/(General_Model!$D$4/1000)+1)+(4*(0.3164/((General_Model!$D$14*A719*(General_Model!$D$4/1000)/General_Model!$D$15)^0.25))*General_Model!$D$7/(General_Model!$D$4/1000)+2)*(General_Model!$D$26/A719))</f>
        <v>-0.22822081452981208</v>
      </c>
      <c r="C719" s="13">
        <f t="shared" si="11"/>
        <v>0</v>
      </c>
    </row>
    <row r="720" spans="1:3" x14ac:dyDescent="0.25">
      <c r="A720" s="11">
        <v>0.71799999999999997</v>
      </c>
      <c r="B720" s="12">
        <f>(General_Model!$D$6/General_Model!$D$7)-1/(1+General_Model!$D$26/((1.2+0.2*(General_Model!$D$26/A720)+0.35*SQRT(9.80665*(General_Model!$D$4/1000))/A720)*A720))-(A720^2/(2*9.80665*General_Model!$D$7))*((4*(0.3164/((General_Model!$D$14*A720*(General_Model!$D$4/1000)/General_Model!$D$15)^0.25))*General_Model!$D$7/(General_Model!$D$4/1000)+1)+(4*(0.3164/((General_Model!$D$14*A720*(General_Model!$D$4/1000)/General_Model!$D$15)^0.25))*General_Model!$D$7/(General_Model!$D$4/1000)+2)*(General_Model!$D$26/A720))</f>
        <v>-0.22869444812290687</v>
      </c>
      <c r="C720" s="13">
        <f t="shared" si="11"/>
        <v>0</v>
      </c>
    </row>
    <row r="721" spans="1:3" x14ac:dyDescent="0.25">
      <c r="A721" s="11">
        <v>0.71899999999999997</v>
      </c>
      <c r="B721" s="12">
        <f>(General_Model!$D$6/General_Model!$D$7)-1/(1+General_Model!$D$26/((1.2+0.2*(General_Model!$D$26/A721)+0.35*SQRT(9.80665*(General_Model!$D$4/1000))/A721)*A721))-(A721^2/(2*9.80665*General_Model!$D$7))*((4*(0.3164/((General_Model!$D$14*A721*(General_Model!$D$4/1000)/General_Model!$D$15)^0.25))*General_Model!$D$7/(General_Model!$D$4/1000)+1)+(4*(0.3164/((General_Model!$D$14*A721*(General_Model!$D$4/1000)/General_Model!$D$15)^0.25))*General_Model!$D$7/(General_Model!$D$4/1000)+2)*(General_Model!$D$26/A721))</f>
        <v>-0.2291679966434092</v>
      </c>
      <c r="C721" s="13">
        <f t="shared" si="11"/>
        <v>0</v>
      </c>
    </row>
    <row r="722" spans="1:3" x14ac:dyDescent="0.25">
      <c r="A722" s="11">
        <v>0.72</v>
      </c>
      <c r="B722" s="12">
        <f>(General_Model!$D$6/General_Model!$D$7)-1/(1+General_Model!$D$26/((1.2+0.2*(General_Model!$D$26/A722)+0.35*SQRT(9.80665*(General_Model!$D$4/1000))/A722)*A722))-(A722^2/(2*9.80665*General_Model!$D$7))*((4*(0.3164/((General_Model!$D$14*A722*(General_Model!$D$4/1000)/General_Model!$D$15)^0.25))*General_Model!$D$7/(General_Model!$D$4/1000)+1)+(4*(0.3164/((General_Model!$D$14*A722*(General_Model!$D$4/1000)/General_Model!$D$15)^0.25))*General_Model!$D$7/(General_Model!$D$4/1000)+2)*(General_Model!$D$26/A722))</f>
        <v>-0.22964146063879445</v>
      </c>
      <c r="C722" s="13">
        <f t="shared" si="11"/>
        <v>0</v>
      </c>
    </row>
    <row r="723" spans="1:3" x14ac:dyDescent="0.25">
      <c r="A723" s="11">
        <v>0.72099999999999997</v>
      </c>
      <c r="B723" s="12">
        <f>(General_Model!$D$6/General_Model!$D$7)-1/(1+General_Model!$D$26/((1.2+0.2*(General_Model!$D$26/A723)+0.35*SQRT(9.80665*(General_Model!$D$4/1000))/A723)*A723))-(A723^2/(2*9.80665*General_Model!$D$7))*((4*(0.3164/((General_Model!$D$14*A723*(General_Model!$D$4/1000)/General_Model!$D$15)^0.25))*General_Model!$D$7/(General_Model!$D$4/1000)+1)+(4*(0.3164/((General_Model!$D$14*A723*(General_Model!$D$4/1000)/General_Model!$D$15)^0.25))*General_Model!$D$7/(General_Model!$D$4/1000)+2)*(General_Model!$D$26/A723))</f>
        <v>-0.23011484065502891</v>
      </c>
      <c r="C723" s="13">
        <f t="shared" si="11"/>
        <v>0</v>
      </c>
    </row>
    <row r="724" spans="1:3" x14ac:dyDescent="0.25">
      <c r="A724" s="11">
        <v>0.72199999999999998</v>
      </c>
      <c r="B724" s="12">
        <f>(General_Model!$D$6/General_Model!$D$7)-1/(1+General_Model!$D$26/((1.2+0.2*(General_Model!$D$26/A724)+0.35*SQRT(9.80665*(General_Model!$D$4/1000))/A724)*A724))-(A724^2/(2*9.80665*General_Model!$D$7))*((4*(0.3164/((General_Model!$D$14*A724*(General_Model!$D$4/1000)/General_Model!$D$15)^0.25))*General_Model!$D$7/(General_Model!$D$4/1000)+1)+(4*(0.3164/((General_Model!$D$14*A724*(General_Model!$D$4/1000)/General_Model!$D$15)^0.25))*General_Model!$D$7/(General_Model!$D$4/1000)+2)*(General_Model!$D$26/A724))</f>
        <v>-0.2305881372365742</v>
      </c>
      <c r="C724" s="13">
        <f t="shared" si="11"/>
        <v>0</v>
      </c>
    </row>
    <row r="725" spans="1:3" x14ac:dyDescent="0.25">
      <c r="A725" s="11">
        <v>0.72299999999999998</v>
      </c>
      <c r="B725" s="12">
        <f>(General_Model!$D$6/General_Model!$D$7)-1/(1+General_Model!$D$26/((1.2+0.2*(General_Model!$D$26/A725)+0.35*SQRT(9.80665*(General_Model!$D$4/1000))/A725)*A725))-(A725^2/(2*9.80665*General_Model!$D$7))*((4*(0.3164/((General_Model!$D$14*A725*(General_Model!$D$4/1000)/General_Model!$D$15)^0.25))*General_Model!$D$7/(General_Model!$D$4/1000)+1)+(4*(0.3164/((General_Model!$D$14*A725*(General_Model!$D$4/1000)/General_Model!$D$15)^0.25))*General_Model!$D$7/(General_Model!$D$4/1000)+2)*(General_Model!$D$26/A725))</f>
        <v>-0.23106135092639368</v>
      </c>
      <c r="C725" s="13">
        <f t="shared" si="11"/>
        <v>0</v>
      </c>
    </row>
    <row r="726" spans="1:3" x14ac:dyDescent="0.25">
      <c r="A726" s="11">
        <v>0.72399999999999998</v>
      </c>
      <c r="B726" s="12">
        <f>(General_Model!$D$6/General_Model!$D$7)-1/(1+General_Model!$D$26/((1.2+0.2*(General_Model!$D$26/A726)+0.35*SQRT(9.80665*(General_Model!$D$4/1000))/A726)*A726))-(A726^2/(2*9.80665*General_Model!$D$7))*((4*(0.3164/((General_Model!$D$14*A726*(General_Model!$D$4/1000)/General_Model!$D$15)^0.25))*General_Model!$D$7/(General_Model!$D$4/1000)+1)+(4*(0.3164/((General_Model!$D$14*A726*(General_Model!$D$4/1000)/General_Model!$D$15)^0.25))*General_Model!$D$7/(General_Model!$D$4/1000)+2)*(General_Model!$D$26/A726))</f>
        <v>-0.23153448226595633</v>
      </c>
      <c r="C726" s="13">
        <f t="shared" si="11"/>
        <v>0</v>
      </c>
    </row>
    <row r="727" spans="1:3" x14ac:dyDescent="0.25">
      <c r="A727" s="11">
        <v>0.72499999999999998</v>
      </c>
      <c r="B727" s="12">
        <f>(General_Model!$D$6/General_Model!$D$7)-1/(1+General_Model!$D$26/((1.2+0.2*(General_Model!$D$26/A727)+0.35*SQRT(9.80665*(General_Model!$D$4/1000))/A727)*A727))-(A727^2/(2*9.80665*General_Model!$D$7))*((4*(0.3164/((General_Model!$D$14*A727*(General_Model!$D$4/1000)/General_Model!$D$15)^0.25))*General_Model!$D$7/(General_Model!$D$4/1000)+1)+(4*(0.3164/((General_Model!$D$14*A727*(General_Model!$D$4/1000)/General_Model!$D$15)^0.25))*General_Model!$D$7/(General_Model!$D$4/1000)+2)*(General_Model!$D$26/A727))</f>
        <v>-0.2320075317952425</v>
      </c>
      <c r="C727" s="13">
        <f t="shared" si="11"/>
        <v>0</v>
      </c>
    </row>
    <row r="728" spans="1:3" x14ac:dyDescent="0.25">
      <c r="A728" s="11">
        <v>0.72599999999999998</v>
      </c>
      <c r="B728" s="12">
        <f>(General_Model!$D$6/General_Model!$D$7)-1/(1+General_Model!$D$26/((1.2+0.2*(General_Model!$D$26/A728)+0.35*SQRT(9.80665*(General_Model!$D$4/1000))/A728)*A728))-(A728^2/(2*9.80665*General_Model!$D$7))*((4*(0.3164/((General_Model!$D$14*A728*(General_Model!$D$4/1000)/General_Model!$D$15)^0.25))*General_Model!$D$7/(General_Model!$D$4/1000)+1)+(4*(0.3164/((General_Model!$D$14*A728*(General_Model!$D$4/1000)/General_Model!$D$15)^0.25))*General_Model!$D$7/(General_Model!$D$4/1000)+2)*(General_Model!$D$26/A728))</f>
        <v>-0.23248050005274865</v>
      </c>
      <c r="C728" s="13">
        <f t="shared" si="11"/>
        <v>0</v>
      </c>
    </row>
    <row r="729" spans="1:3" x14ac:dyDescent="0.25">
      <c r="A729" s="11">
        <v>0.72699999999999998</v>
      </c>
      <c r="B729" s="12">
        <f>(General_Model!$D$6/General_Model!$D$7)-1/(1+General_Model!$D$26/((1.2+0.2*(General_Model!$D$26/A729)+0.35*SQRT(9.80665*(General_Model!$D$4/1000))/A729)*A729))-(A729^2/(2*9.80665*General_Model!$D$7))*((4*(0.3164/((General_Model!$D$14*A729*(General_Model!$D$4/1000)/General_Model!$D$15)^0.25))*General_Model!$D$7/(General_Model!$D$4/1000)+1)+(4*(0.3164/((General_Model!$D$14*A729*(General_Model!$D$4/1000)/General_Model!$D$15)^0.25))*General_Model!$D$7/(General_Model!$D$4/1000)+2)*(General_Model!$D$26/A729))</f>
        <v>-0.23295338757549258</v>
      </c>
      <c r="C729" s="13">
        <f t="shared" si="11"/>
        <v>0</v>
      </c>
    </row>
    <row r="730" spans="1:3" x14ac:dyDescent="0.25">
      <c r="A730" s="11">
        <v>0.72799999999999998</v>
      </c>
      <c r="B730" s="12">
        <f>(General_Model!$D$6/General_Model!$D$7)-1/(1+General_Model!$D$26/((1.2+0.2*(General_Model!$D$26/A730)+0.35*SQRT(9.80665*(General_Model!$D$4/1000))/A730)*A730))-(A730^2/(2*9.80665*General_Model!$D$7))*((4*(0.3164/((General_Model!$D$14*A730*(General_Model!$D$4/1000)/General_Model!$D$15)^0.25))*General_Model!$D$7/(General_Model!$D$4/1000)+1)+(4*(0.3164/((General_Model!$D$14*A730*(General_Model!$D$4/1000)/General_Model!$D$15)^0.25))*General_Model!$D$7/(General_Model!$D$4/1000)+2)*(General_Model!$D$26/A730))</f>
        <v>-0.23342619489901817</v>
      </c>
      <c r="C730" s="13">
        <f t="shared" si="11"/>
        <v>0</v>
      </c>
    </row>
    <row r="731" spans="1:3" x14ac:dyDescent="0.25">
      <c r="A731" s="11">
        <v>0.72899999999999998</v>
      </c>
      <c r="B731" s="12">
        <f>(General_Model!$D$6/General_Model!$D$7)-1/(1+General_Model!$D$26/((1.2+0.2*(General_Model!$D$26/A731)+0.35*SQRT(9.80665*(General_Model!$D$4/1000))/A731)*A731))-(A731^2/(2*9.80665*General_Model!$D$7))*((4*(0.3164/((General_Model!$D$14*A731*(General_Model!$D$4/1000)/General_Model!$D$15)^0.25))*General_Model!$D$7/(General_Model!$D$4/1000)+1)+(4*(0.3164/((General_Model!$D$14*A731*(General_Model!$D$4/1000)/General_Model!$D$15)^0.25))*General_Model!$D$7/(General_Model!$D$4/1000)+2)*(General_Model!$D$26/A731))</f>
        <v>-0.23389892255740111</v>
      </c>
      <c r="C731" s="13">
        <f t="shared" si="11"/>
        <v>0</v>
      </c>
    </row>
    <row r="732" spans="1:3" x14ac:dyDescent="0.25">
      <c r="A732" s="11">
        <v>0.73</v>
      </c>
      <c r="B732" s="12">
        <f>(General_Model!$D$6/General_Model!$D$7)-1/(1+General_Model!$D$26/((1.2+0.2*(General_Model!$D$26/A732)+0.35*SQRT(9.80665*(General_Model!$D$4/1000))/A732)*A732))-(A732^2/(2*9.80665*General_Model!$D$7))*((4*(0.3164/((General_Model!$D$14*A732*(General_Model!$D$4/1000)/General_Model!$D$15)^0.25))*General_Model!$D$7/(General_Model!$D$4/1000)+1)+(4*(0.3164/((General_Model!$D$14*A732*(General_Model!$D$4/1000)/General_Model!$D$15)^0.25))*General_Model!$D$7/(General_Model!$D$4/1000)+2)*(General_Model!$D$26/A732))</f>
        <v>-0.23437157108325263</v>
      </c>
      <c r="C732" s="13">
        <f t="shared" si="11"/>
        <v>0</v>
      </c>
    </row>
    <row r="733" spans="1:3" x14ac:dyDescent="0.25">
      <c r="A733" s="11">
        <v>0.73099999999999998</v>
      </c>
      <c r="B733" s="12">
        <f>(General_Model!$D$6/General_Model!$D$7)-1/(1+General_Model!$D$26/((1.2+0.2*(General_Model!$D$26/A733)+0.35*SQRT(9.80665*(General_Model!$D$4/1000))/A733)*A733))-(A733^2/(2*9.80665*General_Model!$D$7))*((4*(0.3164/((General_Model!$D$14*A733*(General_Model!$D$4/1000)/General_Model!$D$15)^0.25))*General_Model!$D$7/(General_Model!$D$4/1000)+1)+(4*(0.3164/((General_Model!$D$14*A733*(General_Model!$D$4/1000)/General_Model!$D$15)^0.25))*General_Model!$D$7/(General_Model!$D$4/1000)+2)*(General_Model!$D$26/A733))</f>
        <v>-0.23484414100772549</v>
      </c>
      <c r="C733" s="13">
        <f t="shared" si="11"/>
        <v>0</v>
      </c>
    </row>
    <row r="734" spans="1:3" x14ac:dyDescent="0.25">
      <c r="A734" s="11">
        <v>0.73199999999999998</v>
      </c>
      <c r="B734" s="12">
        <f>(General_Model!$D$6/General_Model!$D$7)-1/(1+General_Model!$D$26/((1.2+0.2*(General_Model!$D$26/A734)+0.35*SQRT(9.80665*(General_Model!$D$4/1000))/A734)*A734))-(A734^2/(2*9.80665*General_Model!$D$7))*((4*(0.3164/((General_Model!$D$14*A734*(General_Model!$D$4/1000)/General_Model!$D$15)^0.25))*General_Model!$D$7/(General_Model!$D$4/1000)+1)+(4*(0.3164/((General_Model!$D$14*A734*(General_Model!$D$4/1000)/General_Model!$D$15)^0.25))*General_Model!$D$7/(General_Model!$D$4/1000)+2)*(General_Model!$D$26/A734))</f>
        <v>-0.23531663286051852</v>
      </c>
      <c r="C734" s="13">
        <f t="shared" si="11"/>
        <v>0</v>
      </c>
    </row>
    <row r="735" spans="1:3" x14ac:dyDescent="0.25">
      <c r="A735" s="11">
        <v>0.73299999999999998</v>
      </c>
      <c r="B735" s="12">
        <f>(General_Model!$D$6/General_Model!$D$7)-1/(1+General_Model!$D$26/((1.2+0.2*(General_Model!$D$26/A735)+0.35*SQRT(9.80665*(General_Model!$D$4/1000))/A735)*A735))-(A735^2/(2*9.80665*General_Model!$D$7))*((4*(0.3164/((General_Model!$D$14*A735*(General_Model!$D$4/1000)/General_Model!$D$15)^0.25))*General_Model!$D$7/(General_Model!$D$4/1000)+1)+(4*(0.3164/((General_Model!$D$14*A735*(General_Model!$D$4/1000)/General_Model!$D$15)^0.25))*General_Model!$D$7/(General_Model!$D$4/1000)+2)*(General_Model!$D$26/A735))</f>
        <v>-0.23578904716988153</v>
      </c>
      <c r="C735" s="13">
        <f t="shared" si="11"/>
        <v>0</v>
      </c>
    </row>
    <row r="736" spans="1:3" x14ac:dyDescent="0.25">
      <c r="A736" s="11">
        <v>0.73399999999999999</v>
      </c>
      <c r="B736" s="12">
        <f>(General_Model!$D$6/General_Model!$D$7)-1/(1+General_Model!$D$26/((1.2+0.2*(General_Model!$D$26/A736)+0.35*SQRT(9.80665*(General_Model!$D$4/1000))/A736)*A736))-(A736^2/(2*9.80665*General_Model!$D$7))*((4*(0.3164/((General_Model!$D$14*A736*(General_Model!$D$4/1000)/General_Model!$D$15)^0.25))*General_Model!$D$7/(General_Model!$D$4/1000)+1)+(4*(0.3164/((General_Model!$D$14*A736*(General_Model!$D$4/1000)/General_Model!$D$15)^0.25))*General_Model!$D$7/(General_Model!$D$4/1000)+2)*(General_Model!$D$26/A736))</f>
        <v>-0.23626138446262041</v>
      </c>
      <c r="C736" s="13">
        <f t="shared" si="11"/>
        <v>0</v>
      </c>
    </row>
    <row r="737" spans="1:3" x14ac:dyDescent="0.25">
      <c r="A737" s="11">
        <v>0.73499999999999999</v>
      </c>
      <c r="B737" s="12">
        <f>(General_Model!$D$6/General_Model!$D$7)-1/(1+General_Model!$D$26/((1.2+0.2*(General_Model!$D$26/A737)+0.35*SQRT(9.80665*(General_Model!$D$4/1000))/A737)*A737))-(A737^2/(2*9.80665*General_Model!$D$7))*((4*(0.3164/((General_Model!$D$14*A737*(General_Model!$D$4/1000)/General_Model!$D$15)^0.25))*General_Model!$D$7/(General_Model!$D$4/1000)+1)+(4*(0.3164/((General_Model!$D$14*A737*(General_Model!$D$4/1000)/General_Model!$D$15)^0.25))*General_Model!$D$7/(General_Model!$D$4/1000)+2)*(General_Model!$D$26/A737))</f>
        <v>-0.23673364526410146</v>
      </c>
      <c r="C737" s="13">
        <f t="shared" si="11"/>
        <v>0</v>
      </c>
    </row>
    <row r="738" spans="1:3" x14ac:dyDescent="0.25">
      <c r="A738" s="11">
        <v>0.73599999999999999</v>
      </c>
      <c r="B738" s="12">
        <f>(General_Model!$D$6/General_Model!$D$7)-1/(1+General_Model!$D$26/((1.2+0.2*(General_Model!$D$26/A738)+0.35*SQRT(9.80665*(General_Model!$D$4/1000))/A738)*A738))-(A738^2/(2*9.80665*General_Model!$D$7))*((4*(0.3164/((General_Model!$D$14*A738*(General_Model!$D$4/1000)/General_Model!$D$15)^0.25))*General_Model!$D$7/(General_Model!$D$4/1000)+1)+(4*(0.3164/((General_Model!$D$14*A738*(General_Model!$D$4/1000)/General_Model!$D$15)^0.25))*General_Model!$D$7/(General_Model!$D$4/1000)+2)*(General_Model!$D$26/A738))</f>
        <v>-0.23720583009825702</v>
      </c>
      <c r="C738" s="13">
        <f t="shared" si="11"/>
        <v>0</v>
      </c>
    </row>
    <row r="739" spans="1:3" x14ac:dyDescent="0.25">
      <c r="A739" s="11">
        <v>0.73699999999999999</v>
      </c>
      <c r="B739" s="12">
        <f>(General_Model!$D$6/General_Model!$D$7)-1/(1+General_Model!$D$26/((1.2+0.2*(General_Model!$D$26/A739)+0.35*SQRT(9.80665*(General_Model!$D$4/1000))/A739)*A739))-(A739^2/(2*9.80665*General_Model!$D$7))*((4*(0.3164/((General_Model!$D$14*A739*(General_Model!$D$4/1000)/General_Model!$D$15)^0.25))*General_Model!$D$7/(General_Model!$D$4/1000)+1)+(4*(0.3164/((General_Model!$D$14*A739*(General_Model!$D$4/1000)/General_Model!$D$15)^0.25))*General_Model!$D$7/(General_Model!$D$4/1000)+2)*(General_Model!$D$26/A739))</f>
        <v>-0.23767793948758975</v>
      </c>
      <c r="C739" s="13">
        <f t="shared" si="11"/>
        <v>0</v>
      </c>
    </row>
    <row r="740" spans="1:3" x14ac:dyDescent="0.25">
      <c r="A740" s="11">
        <v>0.73799999999999999</v>
      </c>
      <c r="B740" s="12">
        <f>(General_Model!$D$6/General_Model!$D$7)-1/(1+General_Model!$D$26/((1.2+0.2*(General_Model!$D$26/A740)+0.35*SQRT(9.80665*(General_Model!$D$4/1000))/A740)*A740))-(A740^2/(2*9.80665*General_Model!$D$7))*((4*(0.3164/((General_Model!$D$14*A740*(General_Model!$D$4/1000)/General_Model!$D$15)^0.25))*General_Model!$D$7/(General_Model!$D$4/1000)+1)+(4*(0.3164/((General_Model!$D$14*A740*(General_Model!$D$4/1000)/General_Model!$D$15)^0.25))*General_Model!$D$7/(General_Model!$D$4/1000)+2)*(General_Model!$D$26/A740))</f>
        <v>-0.23814997395317714</v>
      </c>
      <c r="C740" s="13">
        <f t="shared" si="11"/>
        <v>0</v>
      </c>
    </row>
    <row r="741" spans="1:3" x14ac:dyDescent="0.25">
      <c r="A741" s="11">
        <v>0.73899999999999999</v>
      </c>
      <c r="B741" s="12">
        <f>(General_Model!$D$6/General_Model!$D$7)-1/(1+General_Model!$D$26/((1.2+0.2*(General_Model!$D$26/A741)+0.35*SQRT(9.80665*(General_Model!$D$4/1000))/A741)*A741))-(A741^2/(2*9.80665*General_Model!$D$7))*((4*(0.3164/((General_Model!$D$14*A741*(General_Model!$D$4/1000)/General_Model!$D$15)^0.25))*General_Model!$D$7/(General_Model!$D$4/1000)+1)+(4*(0.3164/((General_Model!$D$14*A741*(General_Model!$D$4/1000)/General_Model!$D$15)^0.25))*General_Model!$D$7/(General_Model!$D$4/1000)+2)*(General_Model!$D$26/A741))</f>
        <v>-0.23862193401467741</v>
      </c>
      <c r="C741" s="13">
        <f t="shared" si="11"/>
        <v>0</v>
      </c>
    </row>
    <row r="742" spans="1:3" x14ac:dyDescent="0.25">
      <c r="A742" s="11">
        <v>0.74</v>
      </c>
      <c r="B742" s="12">
        <f>(General_Model!$D$6/General_Model!$D$7)-1/(1+General_Model!$D$26/((1.2+0.2*(General_Model!$D$26/A742)+0.35*SQRT(9.80665*(General_Model!$D$4/1000))/A742)*A742))-(A742^2/(2*9.80665*General_Model!$D$7))*((4*(0.3164/((General_Model!$D$14*A742*(General_Model!$D$4/1000)/General_Model!$D$15)^0.25))*General_Model!$D$7/(General_Model!$D$4/1000)+1)+(4*(0.3164/((General_Model!$D$14*A742*(General_Model!$D$4/1000)/General_Model!$D$15)^0.25))*General_Model!$D$7/(General_Model!$D$4/1000)+2)*(General_Model!$D$26/A742))</f>
        <v>-0.23909382019033323</v>
      </c>
      <c r="C742" s="13">
        <f t="shared" si="11"/>
        <v>0</v>
      </c>
    </row>
    <row r="743" spans="1:3" x14ac:dyDescent="0.25">
      <c r="A743" s="11">
        <v>0.74099999999999999</v>
      </c>
      <c r="B743" s="12">
        <f>(General_Model!$D$6/General_Model!$D$7)-1/(1+General_Model!$D$26/((1.2+0.2*(General_Model!$D$26/A743)+0.35*SQRT(9.80665*(General_Model!$D$4/1000))/A743)*A743))-(A743^2/(2*9.80665*General_Model!$D$7))*((4*(0.3164/((General_Model!$D$14*A743*(General_Model!$D$4/1000)/General_Model!$D$15)^0.25))*General_Model!$D$7/(General_Model!$D$4/1000)+1)+(4*(0.3164/((General_Model!$D$14*A743*(General_Model!$D$4/1000)/General_Model!$D$15)^0.25))*General_Model!$D$7/(General_Model!$D$4/1000)+2)*(General_Model!$D$26/A743))</f>
        <v>-0.23956563299697711</v>
      </c>
      <c r="C743" s="13">
        <f t="shared" si="11"/>
        <v>0</v>
      </c>
    </row>
    <row r="744" spans="1:3" x14ac:dyDescent="0.25">
      <c r="A744" s="11">
        <v>0.74199999999999999</v>
      </c>
      <c r="B744" s="12">
        <f>(General_Model!$D$6/General_Model!$D$7)-1/(1+General_Model!$D$26/((1.2+0.2*(General_Model!$D$26/A744)+0.35*SQRT(9.80665*(General_Model!$D$4/1000))/A744)*A744))-(A744^2/(2*9.80665*General_Model!$D$7))*((4*(0.3164/((General_Model!$D$14*A744*(General_Model!$D$4/1000)/General_Model!$D$15)^0.25))*General_Model!$D$7/(General_Model!$D$4/1000)+1)+(4*(0.3164/((General_Model!$D$14*A744*(General_Model!$D$4/1000)/General_Model!$D$15)^0.25))*General_Model!$D$7/(General_Model!$D$4/1000)+2)*(General_Model!$D$26/A744))</f>
        <v>-0.24003737295003555</v>
      </c>
      <c r="C744" s="13">
        <f t="shared" si="11"/>
        <v>0</v>
      </c>
    </row>
    <row r="745" spans="1:3" x14ac:dyDescent="0.25">
      <c r="A745" s="11">
        <v>0.74299999999999999</v>
      </c>
      <c r="B745" s="12">
        <f>(General_Model!$D$6/General_Model!$D$7)-1/(1+General_Model!$D$26/((1.2+0.2*(General_Model!$D$26/A745)+0.35*SQRT(9.80665*(General_Model!$D$4/1000))/A745)*A745))-(A745^2/(2*9.80665*General_Model!$D$7))*((4*(0.3164/((General_Model!$D$14*A745*(General_Model!$D$4/1000)/General_Model!$D$15)^0.25))*General_Model!$D$7/(General_Model!$D$4/1000)+1)+(4*(0.3164/((General_Model!$D$14*A745*(General_Model!$D$4/1000)/General_Model!$D$15)^0.25))*General_Model!$D$7/(General_Model!$D$4/1000)+2)*(General_Model!$D$26/A745))</f>
        <v>-0.24050904056353425</v>
      </c>
      <c r="C745" s="13">
        <f t="shared" si="11"/>
        <v>0</v>
      </c>
    </row>
    <row r="746" spans="1:3" x14ac:dyDescent="0.25">
      <c r="A746" s="11">
        <v>0.74399999999999999</v>
      </c>
      <c r="B746" s="12">
        <f>(General_Model!$D$6/General_Model!$D$7)-1/(1+General_Model!$D$26/((1.2+0.2*(General_Model!$D$26/A746)+0.35*SQRT(9.80665*(General_Model!$D$4/1000))/A746)*A746))-(A746^2/(2*9.80665*General_Model!$D$7))*((4*(0.3164/((General_Model!$D$14*A746*(General_Model!$D$4/1000)/General_Model!$D$15)^0.25))*General_Model!$D$7/(General_Model!$D$4/1000)+1)+(4*(0.3164/((General_Model!$D$14*A746*(General_Model!$D$4/1000)/General_Model!$D$15)^0.25))*General_Model!$D$7/(General_Model!$D$4/1000)+2)*(General_Model!$D$26/A746))</f>
        <v>-0.24098063635010256</v>
      </c>
      <c r="C746" s="13">
        <f t="shared" si="11"/>
        <v>0</v>
      </c>
    </row>
    <row r="747" spans="1:3" x14ac:dyDescent="0.25">
      <c r="A747" s="11">
        <v>0.745</v>
      </c>
      <c r="B747" s="12">
        <f>(General_Model!$D$6/General_Model!$D$7)-1/(1+General_Model!$D$26/((1.2+0.2*(General_Model!$D$26/A747)+0.35*SQRT(9.80665*(General_Model!$D$4/1000))/A747)*A747))-(A747^2/(2*9.80665*General_Model!$D$7))*((4*(0.3164/((General_Model!$D$14*A747*(General_Model!$D$4/1000)/General_Model!$D$15)^0.25))*General_Model!$D$7/(General_Model!$D$4/1000)+1)+(4*(0.3164/((General_Model!$D$14*A747*(General_Model!$D$4/1000)/General_Model!$D$15)^0.25))*General_Model!$D$7/(General_Model!$D$4/1000)+2)*(General_Model!$D$26/A747))</f>
        <v>-0.24145216082097853</v>
      </c>
      <c r="C747" s="13">
        <f t="shared" si="11"/>
        <v>0</v>
      </c>
    </row>
    <row r="748" spans="1:3" x14ac:dyDescent="0.25">
      <c r="A748" s="11">
        <v>0.746</v>
      </c>
      <c r="B748" s="12">
        <f>(General_Model!$D$6/General_Model!$D$7)-1/(1+General_Model!$D$26/((1.2+0.2*(General_Model!$D$26/A748)+0.35*SQRT(9.80665*(General_Model!$D$4/1000))/A748)*A748))-(A748^2/(2*9.80665*General_Model!$D$7))*((4*(0.3164/((General_Model!$D$14*A748*(General_Model!$D$4/1000)/General_Model!$D$15)^0.25))*General_Model!$D$7/(General_Model!$D$4/1000)+1)+(4*(0.3164/((General_Model!$D$14*A748*(General_Model!$D$4/1000)/General_Model!$D$15)^0.25))*General_Model!$D$7/(General_Model!$D$4/1000)+2)*(General_Model!$D$26/A748))</f>
        <v>-0.24192361448601296</v>
      </c>
      <c r="C748" s="13">
        <f t="shared" si="11"/>
        <v>0</v>
      </c>
    </row>
    <row r="749" spans="1:3" x14ac:dyDescent="0.25">
      <c r="A749" s="11">
        <v>0.747</v>
      </c>
      <c r="B749" s="12">
        <f>(General_Model!$D$6/General_Model!$D$7)-1/(1+General_Model!$D$26/((1.2+0.2*(General_Model!$D$26/A749)+0.35*SQRT(9.80665*(General_Model!$D$4/1000))/A749)*A749))-(A749^2/(2*9.80665*General_Model!$D$7))*((4*(0.3164/((General_Model!$D$14*A749*(General_Model!$D$4/1000)/General_Model!$D$15)^0.25))*General_Model!$D$7/(General_Model!$D$4/1000)+1)+(4*(0.3164/((General_Model!$D$14*A749*(General_Model!$D$4/1000)/General_Model!$D$15)^0.25))*General_Model!$D$7/(General_Model!$D$4/1000)+2)*(General_Model!$D$26/A749))</f>
        <v>-0.24239499785367419</v>
      </c>
      <c r="C749" s="13">
        <f t="shared" si="11"/>
        <v>0</v>
      </c>
    </row>
    <row r="750" spans="1:3" x14ac:dyDescent="0.25">
      <c r="A750" s="11">
        <v>0.748</v>
      </c>
      <c r="B750" s="12">
        <f>(General_Model!$D$6/General_Model!$D$7)-1/(1+General_Model!$D$26/((1.2+0.2*(General_Model!$D$26/A750)+0.35*SQRT(9.80665*(General_Model!$D$4/1000))/A750)*A750))-(A750^2/(2*9.80665*General_Model!$D$7))*((4*(0.3164/((General_Model!$D$14*A750*(General_Model!$D$4/1000)/General_Model!$D$15)^0.25))*General_Model!$D$7/(General_Model!$D$4/1000)+1)+(4*(0.3164/((General_Model!$D$14*A750*(General_Model!$D$4/1000)/General_Model!$D$15)^0.25))*General_Model!$D$7/(General_Model!$D$4/1000)+2)*(General_Model!$D$26/A750))</f>
        <v>-0.24286631143105336</v>
      </c>
      <c r="C750" s="13">
        <f t="shared" si="11"/>
        <v>0</v>
      </c>
    </row>
    <row r="751" spans="1:3" x14ac:dyDescent="0.25">
      <c r="A751" s="11">
        <v>0.749</v>
      </c>
      <c r="B751" s="12">
        <f>(General_Model!$D$6/General_Model!$D$7)-1/(1+General_Model!$D$26/((1.2+0.2*(General_Model!$D$26/A751)+0.35*SQRT(9.80665*(General_Model!$D$4/1000))/A751)*A751))-(A751^2/(2*9.80665*General_Model!$D$7))*((4*(0.3164/((General_Model!$D$14*A751*(General_Model!$D$4/1000)/General_Model!$D$15)^0.25))*General_Model!$D$7/(General_Model!$D$4/1000)+1)+(4*(0.3164/((General_Model!$D$14*A751*(General_Model!$D$4/1000)/General_Model!$D$15)^0.25))*General_Model!$D$7/(General_Model!$D$4/1000)+2)*(General_Model!$D$26/A751))</f>
        <v>-0.24333755572386828</v>
      </c>
      <c r="C751" s="13">
        <f t="shared" si="11"/>
        <v>0</v>
      </c>
    </row>
    <row r="752" spans="1:3" x14ac:dyDescent="0.25">
      <c r="A752" s="11">
        <v>0.75</v>
      </c>
      <c r="B752" s="12">
        <f>(General_Model!$D$6/General_Model!$D$7)-1/(1+General_Model!$D$26/((1.2+0.2*(General_Model!$D$26/A752)+0.35*SQRT(9.80665*(General_Model!$D$4/1000))/A752)*A752))-(A752^2/(2*9.80665*General_Model!$D$7))*((4*(0.3164/((General_Model!$D$14*A752*(General_Model!$D$4/1000)/General_Model!$D$15)^0.25))*General_Model!$D$7/(General_Model!$D$4/1000)+1)+(4*(0.3164/((General_Model!$D$14*A752*(General_Model!$D$4/1000)/General_Model!$D$15)^0.25))*General_Model!$D$7/(General_Model!$D$4/1000)+2)*(General_Model!$D$26/A752))</f>
        <v>-0.24380873123646815</v>
      </c>
      <c r="C752" s="13">
        <f t="shared" si="11"/>
        <v>0</v>
      </c>
    </row>
    <row r="753" spans="1:3" x14ac:dyDescent="0.25">
      <c r="A753" s="11">
        <v>0.751</v>
      </c>
      <c r="B753" s="12">
        <f>(General_Model!$D$6/General_Model!$D$7)-1/(1+General_Model!$D$26/((1.2+0.2*(General_Model!$D$26/A753)+0.35*SQRT(9.80665*(General_Model!$D$4/1000))/A753)*A753))-(A753^2/(2*9.80665*General_Model!$D$7))*((4*(0.3164/((General_Model!$D$14*A753*(General_Model!$D$4/1000)/General_Model!$D$15)^0.25))*General_Model!$D$7/(General_Model!$D$4/1000)+1)+(4*(0.3164/((General_Model!$D$14*A753*(General_Model!$D$4/1000)/General_Model!$D$15)^0.25))*General_Model!$D$7/(General_Model!$D$4/1000)+2)*(General_Model!$D$26/A753))</f>
        <v>-0.24427983847183823</v>
      </c>
      <c r="C753" s="13">
        <f t="shared" si="11"/>
        <v>0</v>
      </c>
    </row>
    <row r="754" spans="1:3" x14ac:dyDescent="0.25">
      <c r="A754" s="11">
        <v>0.752</v>
      </c>
      <c r="B754" s="12">
        <f>(General_Model!$D$6/General_Model!$D$7)-1/(1+General_Model!$D$26/((1.2+0.2*(General_Model!$D$26/A754)+0.35*SQRT(9.80665*(General_Model!$D$4/1000))/A754)*A754))-(A754^2/(2*9.80665*General_Model!$D$7))*((4*(0.3164/((General_Model!$D$14*A754*(General_Model!$D$4/1000)/General_Model!$D$15)^0.25))*General_Model!$D$7/(General_Model!$D$4/1000)+1)+(4*(0.3164/((General_Model!$D$14*A754*(General_Model!$D$4/1000)/General_Model!$D$15)^0.25))*General_Model!$D$7/(General_Model!$D$4/1000)+2)*(General_Model!$D$26/A754))</f>
        <v>-0.24475087793160483</v>
      </c>
      <c r="C754" s="13">
        <f t="shared" si="11"/>
        <v>0</v>
      </c>
    </row>
    <row r="755" spans="1:3" x14ac:dyDescent="0.25">
      <c r="A755" s="11">
        <v>0.753</v>
      </c>
      <c r="B755" s="12">
        <f>(General_Model!$D$6/General_Model!$D$7)-1/(1+General_Model!$D$26/((1.2+0.2*(General_Model!$D$26/A755)+0.35*SQRT(9.80665*(General_Model!$D$4/1000))/A755)*A755))-(A755^2/(2*9.80665*General_Model!$D$7))*((4*(0.3164/((General_Model!$D$14*A755*(General_Model!$D$4/1000)/General_Model!$D$15)^0.25))*General_Model!$D$7/(General_Model!$D$4/1000)+1)+(4*(0.3164/((General_Model!$D$14*A755*(General_Model!$D$4/1000)/General_Model!$D$15)^0.25))*General_Model!$D$7/(General_Model!$D$4/1000)+2)*(General_Model!$D$26/A755))</f>
        <v>-0.24522185011603895</v>
      </c>
      <c r="C755" s="13">
        <f t="shared" si="11"/>
        <v>0</v>
      </c>
    </row>
    <row r="756" spans="1:3" x14ac:dyDescent="0.25">
      <c r="A756" s="11">
        <v>0.754</v>
      </c>
      <c r="B756" s="12">
        <f>(General_Model!$D$6/General_Model!$D$7)-1/(1+General_Model!$D$26/((1.2+0.2*(General_Model!$D$26/A756)+0.35*SQRT(9.80665*(General_Model!$D$4/1000))/A756)*A756))-(A756^2/(2*9.80665*General_Model!$D$7))*((4*(0.3164/((General_Model!$D$14*A756*(General_Model!$D$4/1000)/General_Model!$D$15)^0.25))*General_Model!$D$7/(General_Model!$D$4/1000)+1)+(4*(0.3164/((General_Model!$D$14*A756*(General_Model!$D$4/1000)/General_Model!$D$15)^0.25))*General_Model!$D$7/(General_Model!$D$4/1000)+2)*(General_Model!$D$26/A756))</f>
        <v>-0.24569275552406131</v>
      </c>
      <c r="C756" s="13">
        <f t="shared" si="11"/>
        <v>0</v>
      </c>
    </row>
    <row r="757" spans="1:3" x14ac:dyDescent="0.25">
      <c r="A757" s="11">
        <v>0.755</v>
      </c>
      <c r="B757" s="12">
        <f>(General_Model!$D$6/General_Model!$D$7)-1/(1+General_Model!$D$26/((1.2+0.2*(General_Model!$D$26/A757)+0.35*SQRT(9.80665*(General_Model!$D$4/1000))/A757)*A757))-(A757^2/(2*9.80665*General_Model!$D$7))*((4*(0.3164/((General_Model!$D$14*A757*(General_Model!$D$4/1000)/General_Model!$D$15)^0.25))*General_Model!$D$7/(General_Model!$D$4/1000)+1)+(4*(0.3164/((General_Model!$D$14*A757*(General_Model!$D$4/1000)/General_Model!$D$15)^0.25))*General_Model!$D$7/(General_Model!$D$4/1000)+2)*(General_Model!$D$26/A757))</f>
        <v>-0.24616359465324683</v>
      </c>
      <c r="C757" s="13">
        <f t="shared" si="11"/>
        <v>0</v>
      </c>
    </row>
    <row r="758" spans="1:3" x14ac:dyDescent="0.25">
      <c r="A758" s="11">
        <v>0.75600000000000001</v>
      </c>
      <c r="B758" s="12">
        <f>(General_Model!$D$6/General_Model!$D$7)-1/(1+General_Model!$D$26/((1.2+0.2*(General_Model!$D$26/A758)+0.35*SQRT(9.80665*(General_Model!$D$4/1000))/A758)*A758))-(A758^2/(2*9.80665*General_Model!$D$7))*((4*(0.3164/((General_Model!$D$14*A758*(General_Model!$D$4/1000)/General_Model!$D$15)^0.25))*General_Model!$D$7/(General_Model!$D$4/1000)+1)+(4*(0.3164/((General_Model!$D$14*A758*(General_Model!$D$4/1000)/General_Model!$D$15)^0.25))*General_Model!$D$7/(General_Model!$D$4/1000)+2)*(General_Model!$D$26/A758))</f>
        <v>-0.24663436799982927</v>
      </c>
      <c r="C758" s="13">
        <f t="shared" si="11"/>
        <v>0</v>
      </c>
    </row>
    <row r="759" spans="1:3" x14ac:dyDescent="0.25">
      <c r="A759" s="11">
        <v>0.75700000000000001</v>
      </c>
      <c r="B759" s="12">
        <f>(General_Model!$D$6/General_Model!$D$7)-1/(1+General_Model!$D$26/((1.2+0.2*(General_Model!$D$26/A759)+0.35*SQRT(9.80665*(General_Model!$D$4/1000))/A759)*A759))-(A759^2/(2*9.80665*General_Model!$D$7))*((4*(0.3164/((General_Model!$D$14*A759*(General_Model!$D$4/1000)/General_Model!$D$15)^0.25))*General_Model!$D$7/(General_Model!$D$4/1000)+1)+(4*(0.3164/((General_Model!$D$14*A759*(General_Model!$D$4/1000)/General_Model!$D$15)^0.25))*General_Model!$D$7/(General_Model!$D$4/1000)+2)*(General_Model!$D$26/A759))</f>
        <v>-0.24710507605870502</v>
      </c>
      <c r="C759" s="13">
        <f t="shared" si="11"/>
        <v>0</v>
      </c>
    </row>
    <row r="760" spans="1:3" x14ac:dyDescent="0.25">
      <c r="A760" s="11">
        <v>0.75800000000000001</v>
      </c>
      <c r="B760" s="12">
        <f>(General_Model!$D$6/General_Model!$D$7)-1/(1+General_Model!$D$26/((1.2+0.2*(General_Model!$D$26/A760)+0.35*SQRT(9.80665*(General_Model!$D$4/1000))/A760)*A760))-(A760^2/(2*9.80665*General_Model!$D$7))*((4*(0.3164/((General_Model!$D$14*A760*(General_Model!$D$4/1000)/General_Model!$D$15)^0.25))*General_Model!$D$7/(General_Model!$D$4/1000)+1)+(4*(0.3164/((General_Model!$D$14*A760*(General_Model!$D$4/1000)/General_Model!$D$15)^0.25))*General_Model!$D$7/(General_Model!$D$4/1000)+2)*(General_Model!$D$26/A760))</f>
        <v>-0.2475757193234383</v>
      </c>
      <c r="C760" s="13">
        <f t="shared" si="11"/>
        <v>0</v>
      </c>
    </row>
    <row r="761" spans="1:3" x14ac:dyDescent="0.25">
      <c r="A761" s="11">
        <v>0.75900000000000001</v>
      </c>
      <c r="B761" s="12">
        <f>(General_Model!$D$6/General_Model!$D$7)-1/(1+General_Model!$D$26/((1.2+0.2*(General_Model!$D$26/A761)+0.35*SQRT(9.80665*(General_Model!$D$4/1000))/A761)*A761))-(A761^2/(2*9.80665*General_Model!$D$7))*((4*(0.3164/((General_Model!$D$14*A761*(General_Model!$D$4/1000)/General_Model!$D$15)^0.25))*General_Model!$D$7/(General_Model!$D$4/1000)+1)+(4*(0.3164/((General_Model!$D$14*A761*(General_Model!$D$4/1000)/General_Model!$D$15)^0.25))*General_Model!$D$7/(General_Model!$D$4/1000)+2)*(General_Model!$D$26/A761))</f>
        <v>-0.2480462982862652</v>
      </c>
      <c r="C761" s="13">
        <f t="shared" si="11"/>
        <v>0</v>
      </c>
    </row>
    <row r="762" spans="1:3" x14ac:dyDescent="0.25">
      <c r="A762" s="11">
        <v>0.76</v>
      </c>
      <c r="B762" s="12">
        <f>(General_Model!$D$6/General_Model!$D$7)-1/(1+General_Model!$D$26/((1.2+0.2*(General_Model!$D$26/A762)+0.35*SQRT(9.80665*(General_Model!$D$4/1000))/A762)*A762))-(A762^2/(2*9.80665*General_Model!$D$7))*((4*(0.3164/((General_Model!$D$14*A762*(General_Model!$D$4/1000)/General_Model!$D$15)^0.25))*General_Model!$D$7/(General_Model!$D$4/1000)+1)+(4*(0.3164/((General_Model!$D$14*A762*(General_Model!$D$4/1000)/General_Model!$D$15)^0.25))*General_Model!$D$7/(General_Model!$D$4/1000)+2)*(General_Model!$D$26/A762))</f>
        <v>-0.24851681343809795</v>
      </c>
      <c r="C762" s="13">
        <f t="shared" si="11"/>
        <v>0</v>
      </c>
    </row>
    <row r="763" spans="1:3" x14ac:dyDescent="0.25">
      <c r="A763" s="11">
        <v>0.76100000000000001</v>
      </c>
      <c r="B763" s="12">
        <f>(General_Model!$D$6/General_Model!$D$7)-1/(1+General_Model!$D$26/((1.2+0.2*(General_Model!$D$26/A763)+0.35*SQRT(9.80665*(General_Model!$D$4/1000))/A763)*A763))-(A763^2/(2*9.80665*General_Model!$D$7))*((4*(0.3164/((General_Model!$D$14*A763*(General_Model!$D$4/1000)/General_Model!$D$15)^0.25))*General_Model!$D$7/(General_Model!$D$4/1000)+1)+(4*(0.3164/((General_Model!$D$14*A763*(General_Model!$D$4/1000)/General_Model!$D$15)^0.25))*General_Model!$D$7/(General_Model!$D$4/1000)+2)*(General_Model!$D$26/A763))</f>
        <v>-0.24898726526852996</v>
      </c>
      <c r="C763" s="13">
        <f t="shared" si="11"/>
        <v>0</v>
      </c>
    </row>
    <row r="764" spans="1:3" x14ac:dyDescent="0.25">
      <c r="A764" s="11">
        <v>0.76200000000000001</v>
      </c>
      <c r="B764" s="12">
        <f>(General_Model!$D$6/General_Model!$D$7)-1/(1+General_Model!$D$26/((1.2+0.2*(General_Model!$D$26/A764)+0.35*SQRT(9.80665*(General_Model!$D$4/1000))/A764)*A764))-(A764^2/(2*9.80665*General_Model!$D$7))*((4*(0.3164/((General_Model!$D$14*A764*(General_Model!$D$4/1000)/General_Model!$D$15)^0.25))*General_Model!$D$7/(General_Model!$D$4/1000)+1)+(4*(0.3164/((General_Model!$D$14*A764*(General_Model!$D$4/1000)/General_Model!$D$15)^0.25))*General_Model!$D$7/(General_Model!$D$4/1000)+2)*(General_Model!$D$26/A764))</f>
        <v>-0.24945765426583924</v>
      </c>
      <c r="C764" s="13">
        <f t="shared" si="11"/>
        <v>0</v>
      </c>
    </row>
    <row r="765" spans="1:3" x14ac:dyDescent="0.25">
      <c r="A765" s="11">
        <v>0.76300000000000001</v>
      </c>
      <c r="B765" s="12">
        <f>(General_Model!$D$6/General_Model!$D$7)-1/(1+General_Model!$D$26/((1.2+0.2*(General_Model!$D$26/A765)+0.35*SQRT(9.80665*(General_Model!$D$4/1000))/A765)*A765))-(A765^2/(2*9.80665*General_Model!$D$7))*((4*(0.3164/((General_Model!$D$14*A765*(General_Model!$D$4/1000)/General_Model!$D$15)^0.25))*General_Model!$D$7/(General_Model!$D$4/1000)+1)+(4*(0.3164/((General_Model!$D$14*A765*(General_Model!$D$4/1000)/General_Model!$D$15)^0.25))*General_Model!$D$7/(General_Model!$D$4/1000)+2)*(General_Model!$D$26/A765))</f>
        <v>-0.24992798091699364</v>
      </c>
      <c r="C765" s="13">
        <f t="shared" si="11"/>
        <v>0</v>
      </c>
    </row>
    <row r="766" spans="1:3" x14ac:dyDescent="0.25">
      <c r="A766" s="11">
        <v>0.76400000000000001</v>
      </c>
      <c r="B766" s="12">
        <f>(General_Model!$D$6/General_Model!$D$7)-1/(1+General_Model!$D$26/((1.2+0.2*(General_Model!$D$26/A766)+0.35*SQRT(9.80665*(General_Model!$D$4/1000))/A766)*A766))-(A766^2/(2*9.80665*General_Model!$D$7))*((4*(0.3164/((General_Model!$D$14*A766*(General_Model!$D$4/1000)/General_Model!$D$15)^0.25))*General_Model!$D$7/(General_Model!$D$4/1000)+1)+(4*(0.3164/((General_Model!$D$14*A766*(General_Model!$D$4/1000)/General_Model!$D$15)^0.25))*General_Model!$D$7/(General_Model!$D$4/1000)+2)*(General_Model!$D$26/A766))</f>
        <v>-0.25039824570765418</v>
      </c>
      <c r="C766" s="13">
        <f t="shared" si="11"/>
        <v>0</v>
      </c>
    </row>
    <row r="767" spans="1:3" x14ac:dyDescent="0.25">
      <c r="A767" s="11">
        <v>0.76500000000000001</v>
      </c>
      <c r="B767" s="12">
        <f>(General_Model!$D$6/General_Model!$D$7)-1/(1+General_Model!$D$26/((1.2+0.2*(General_Model!$D$26/A767)+0.35*SQRT(9.80665*(General_Model!$D$4/1000))/A767)*A767))-(A767^2/(2*9.80665*General_Model!$D$7))*((4*(0.3164/((General_Model!$D$14*A767*(General_Model!$D$4/1000)/General_Model!$D$15)^0.25))*General_Model!$D$7/(General_Model!$D$4/1000)+1)+(4*(0.3164/((General_Model!$D$14*A767*(General_Model!$D$4/1000)/General_Model!$D$15)^0.25))*General_Model!$D$7/(General_Model!$D$4/1000)+2)*(General_Model!$D$26/A767))</f>
        <v>-0.25086844912218076</v>
      </c>
      <c r="C767" s="13">
        <f t="shared" si="11"/>
        <v>0</v>
      </c>
    </row>
    <row r="768" spans="1:3" x14ac:dyDescent="0.25">
      <c r="A768" s="11">
        <v>0.76600000000000001</v>
      </c>
      <c r="B768" s="12">
        <f>(General_Model!$D$6/General_Model!$D$7)-1/(1+General_Model!$D$26/((1.2+0.2*(General_Model!$D$26/A768)+0.35*SQRT(9.80665*(General_Model!$D$4/1000))/A768)*A768))-(A768^2/(2*9.80665*General_Model!$D$7))*((4*(0.3164/((General_Model!$D$14*A768*(General_Model!$D$4/1000)/General_Model!$D$15)^0.25))*General_Model!$D$7/(General_Model!$D$4/1000)+1)+(4*(0.3164/((General_Model!$D$14*A768*(General_Model!$D$4/1000)/General_Model!$D$15)^0.25))*General_Model!$D$7/(General_Model!$D$4/1000)+2)*(General_Model!$D$26/A768))</f>
        <v>-0.25133859164363515</v>
      </c>
      <c r="C768" s="13">
        <f t="shared" si="11"/>
        <v>0</v>
      </c>
    </row>
    <row r="769" spans="1:3" x14ac:dyDescent="0.25">
      <c r="A769" s="11">
        <v>0.76700000000000002</v>
      </c>
      <c r="B769" s="12">
        <f>(General_Model!$D$6/General_Model!$D$7)-1/(1+General_Model!$D$26/((1.2+0.2*(General_Model!$D$26/A769)+0.35*SQRT(9.80665*(General_Model!$D$4/1000))/A769)*A769))-(A769^2/(2*9.80665*General_Model!$D$7))*((4*(0.3164/((General_Model!$D$14*A769*(General_Model!$D$4/1000)/General_Model!$D$15)^0.25))*General_Model!$D$7/(General_Model!$D$4/1000)+1)+(4*(0.3164/((General_Model!$D$14*A769*(General_Model!$D$4/1000)/General_Model!$D$15)^0.25))*General_Model!$D$7/(General_Model!$D$4/1000)+2)*(General_Model!$D$26/A769))</f>
        <v>-0.25180867375378568</v>
      </c>
      <c r="C769" s="13">
        <f t="shared" si="11"/>
        <v>0</v>
      </c>
    </row>
    <row r="770" spans="1:3" x14ac:dyDescent="0.25">
      <c r="A770" s="11">
        <v>0.76800000000000002</v>
      </c>
      <c r="B770" s="12">
        <f>(General_Model!$D$6/General_Model!$D$7)-1/(1+General_Model!$D$26/((1.2+0.2*(General_Model!$D$26/A770)+0.35*SQRT(9.80665*(General_Model!$D$4/1000))/A770)*A770))-(A770^2/(2*9.80665*General_Model!$D$7))*((4*(0.3164/((General_Model!$D$14*A770*(General_Model!$D$4/1000)/General_Model!$D$15)^0.25))*General_Model!$D$7/(General_Model!$D$4/1000)+1)+(4*(0.3164/((General_Model!$D$14*A770*(General_Model!$D$4/1000)/General_Model!$D$15)^0.25))*General_Model!$D$7/(General_Model!$D$4/1000)+2)*(General_Model!$D$26/A770))</f>
        <v>-0.25227869593311236</v>
      </c>
      <c r="C770" s="13">
        <f t="shared" si="11"/>
        <v>0</v>
      </c>
    </row>
    <row r="771" spans="1:3" x14ac:dyDescent="0.25">
      <c r="A771" s="11">
        <v>0.76900000000000002</v>
      </c>
      <c r="B771" s="12">
        <f>(General_Model!$D$6/General_Model!$D$7)-1/(1+General_Model!$D$26/((1.2+0.2*(General_Model!$D$26/A771)+0.35*SQRT(9.80665*(General_Model!$D$4/1000))/A771)*A771))-(A771^2/(2*9.80665*General_Model!$D$7))*((4*(0.3164/((General_Model!$D$14*A771*(General_Model!$D$4/1000)/General_Model!$D$15)^0.25))*General_Model!$D$7/(General_Model!$D$4/1000)+1)+(4*(0.3164/((General_Model!$D$14*A771*(General_Model!$D$4/1000)/General_Model!$D$15)^0.25))*General_Model!$D$7/(General_Model!$D$4/1000)+2)*(General_Model!$D$26/A771))</f>
        <v>-0.25274865866080931</v>
      </c>
      <c r="C771" s="13">
        <f t="shared" ref="C771:C834" si="12">IF(B771*B772&lt;=0,1,0)</f>
        <v>0</v>
      </c>
    </row>
    <row r="772" spans="1:3" x14ac:dyDescent="0.25">
      <c r="A772" s="11">
        <v>0.77</v>
      </c>
      <c r="B772" s="12">
        <f>(General_Model!$D$6/General_Model!$D$7)-1/(1+General_Model!$D$26/((1.2+0.2*(General_Model!$D$26/A772)+0.35*SQRT(9.80665*(General_Model!$D$4/1000))/A772)*A772))-(A772^2/(2*9.80665*General_Model!$D$7))*((4*(0.3164/((General_Model!$D$14*A772*(General_Model!$D$4/1000)/General_Model!$D$15)^0.25))*General_Model!$D$7/(General_Model!$D$4/1000)+1)+(4*(0.3164/((General_Model!$D$14*A772*(General_Model!$D$4/1000)/General_Model!$D$15)^0.25))*General_Model!$D$7/(General_Model!$D$4/1000)+2)*(General_Model!$D$26/A772))</f>
        <v>-0.25321856241479096</v>
      </c>
      <c r="C772" s="13">
        <f t="shared" si="12"/>
        <v>0</v>
      </c>
    </row>
    <row r="773" spans="1:3" x14ac:dyDescent="0.25">
      <c r="A773" s="11">
        <v>0.77100000000000002</v>
      </c>
      <c r="B773" s="12">
        <f>(General_Model!$D$6/General_Model!$D$7)-1/(1+General_Model!$D$26/((1.2+0.2*(General_Model!$D$26/A773)+0.35*SQRT(9.80665*(General_Model!$D$4/1000))/A773)*A773))-(A773^2/(2*9.80665*General_Model!$D$7))*((4*(0.3164/((General_Model!$D$14*A773*(General_Model!$D$4/1000)/General_Model!$D$15)^0.25))*General_Model!$D$7/(General_Model!$D$4/1000)+1)+(4*(0.3164/((General_Model!$D$14*A773*(General_Model!$D$4/1000)/General_Model!$D$15)^0.25))*General_Model!$D$7/(General_Model!$D$4/1000)+2)*(General_Model!$D$26/A773))</f>
        <v>-0.25368840767169487</v>
      </c>
      <c r="C773" s="13">
        <f t="shared" si="12"/>
        <v>0</v>
      </c>
    </row>
    <row r="774" spans="1:3" x14ac:dyDescent="0.25">
      <c r="A774" s="11">
        <v>0.77200000000000002</v>
      </c>
      <c r="B774" s="12">
        <f>(General_Model!$D$6/General_Model!$D$7)-1/(1+General_Model!$D$26/((1.2+0.2*(General_Model!$D$26/A774)+0.35*SQRT(9.80665*(General_Model!$D$4/1000))/A774)*A774))-(A774^2/(2*9.80665*General_Model!$D$7))*((4*(0.3164/((General_Model!$D$14*A774*(General_Model!$D$4/1000)/General_Model!$D$15)^0.25))*General_Model!$D$7/(General_Model!$D$4/1000)+1)+(4*(0.3164/((General_Model!$D$14*A774*(General_Model!$D$4/1000)/General_Model!$D$15)^0.25))*General_Model!$D$7/(General_Model!$D$4/1000)+2)*(General_Model!$D$26/A774))</f>
        <v>-0.25415819490688685</v>
      </c>
      <c r="C774" s="13">
        <f t="shared" si="12"/>
        <v>0</v>
      </c>
    </row>
    <row r="775" spans="1:3" x14ac:dyDescent="0.25">
      <c r="A775" s="11">
        <v>0.77300000000000002</v>
      </c>
      <c r="B775" s="12">
        <f>(General_Model!$D$6/General_Model!$D$7)-1/(1+General_Model!$D$26/((1.2+0.2*(General_Model!$D$26/A775)+0.35*SQRT(9.80665*(General_Model!$D$4/1000))/A775)*A775))-(A775^2/(2*9.80665*General_Model!$D$7))*((4*(0.3164/((General_Model!$D$14*A775*(General_Model!$D$4/1000)/General_Model!$D$15)^0.25))*General_Model!$D$7/(General_Model!$D$4/1000)+1)+(4*(0.3164/((General_Model!$D$14*A775*(General_Model!$D$4/1000)/General_Model!$D$15)^0.25))*General_Model!$D$7/(General_Model!$D$4/1000)+2)*(General_Model!$D$26/A775))</f>
        <v>-0.25462792459446404</v>
      </c>
      <c r="C775" s="13">
        <f t="shared" si="12"/>
        <v>0</v>
      </c>
    </row>
    <row r="776" spans="1:3" x14ac:dyDescent="0.25">
      <c r="A776" s="11">
        <v>0.77400000000000002</v>
      </c>
      <c r="B776" s="12">
        <f>(General_Model!$D$6/General_Model!$D$7)-1/(1+General_Model!$D$26/((1.2+0.2*(General_Model!$D$26/A776)+0.35*SQRT(9.80665*(General_Model!$D$4/1000))/A776)*A776))-(A776^2/(2*9.80665*General_Model!$D$7))*((4*(0.3164/((General_Model!$D$14*A776*(General_Model!$D$4/1000)/General_Model!$D$15)^0.25))*General_Model!$D$7/(General_Model!$D$4/1000)+1)+(4*(0.3164/((General_Model!$D$14*A776*(General_Model!$D$4/1000)/General_Model!$D$15)^0.25))*General_Model!$D$7/(General_Model!$D$4/1000)+2)*(General_Model!$D$26/A776))</f>
        <v>-0.25509759720726033</v>
      </c>
      <c r="C776" s="13">
        <f t="shared" si="12"/>
        <v>0</v>
      </c>
    </row>
    <row r="777" spans="1:3" x14ac:dyDescent="0.25">
      <c r="A777" s="11">
        <v>0.77500000000000002</v>
      </c>
      <c r="B777" s="12">
        <f>(General_Model!$D$6/General_Model!$D$7)-1/(1+General_Model!$D$26/((1.2+0.2*(General_Model!$D$26/A777)+0.35*SQRT(9.80665*(General_Model!$D$4/1000))/A777)*A777))-(A777^2/(2*9.80665*General_Model!$D$7))*((4*(0.3164/((General_Model!$D$14*A777*(General_Model!$D$4/1000)/General_Model!$D$15)^0.25))*General_Model!$D$7/(General_Model!$D$4/1000)+1)+(4*(0.3164/((General_Model!$D$14*A777*(General_Model!$D$4/1000)/General_Model!$D$15)^0.25))*General_Model!$D$7/(General_Model!$D$4/1000)+2)*(General_Model!$D$26/A777))</f>
        <v>-0.25556721321684994</v>
      </c>
      <c r="C777" s="13">
        <f t="shared" si="12"/>
        <v>0</v>
      </c>
    </row>
    <row r="778" spans="1:3" x14ac:dyDescent="0.25">
      <c r="A778" s="11">
        <v>0.77600000000000002</v>
      </c>
      <c r="B778" s="12">
        <f>(General_Model!$D$6/General_Model!$D$7)-1/(1+General_Model!$D$26/((1.2+0.2*(General_Model!$D$26/A778)+0.35*SQRT(9.80665*(General_Model!$D$4/1000))/A778)*A778))-(A778^2/(2*9.80665*General_Model!$D$7))*((4*(0.3164/((General_Model!$D$14*A778*(General_Model!$D$4/1000)/General_Model!$D$15)^0.25))*General_Model!$D$7/(General_Model!$D$4/1000)+1)+(4*(0.3164/((General_Model!$D$14*A778*(General_Model!$D$4/1000)/General_Model!$D$15)^0.25))*General_Model!$D$7/(General_Model!$D$4/1000)+2)*(General_Model!$D$26/A778))</f>
        <v>-0.25603677309355111</v>
      </c>
      <c r="C778" s="13">
        <f t="shared" si="12"/>
        <v>0</v>
      </c>
    </row>
    <row r="779" spans="1:3" x14ac:dyDescent="0.25">
      <c r="A779" s="11">
        <v>0.77700000000000002</v>
      </c>
      <c r="B779" s="12">
        <f>(General_Model!$D$6/General_Model!$D$7)-1/(1+General_Model!$D$26/((1.2+0.2*(General_Model!$D$26/A779)+0.35*SQRT(9.80665*(General_Model!$D$4/1000))/A779)*A779))-(A779^2/(2*9.80665*General_Model!$D$7))*((4*(0.3164/((General_Model!$D$14*A779*(General_Model!$D$4/1000)/General_Model!$D$15)^0.25))*General_Model!$D$7/(General_Model!$D$4/1000)+1)+(4*(0.3164/((General_Model!$D$14*A779*(General_Model!$D$4/1000)/General_Model!$D$15)^0.25))*General_Model!$D$7/(General_Model!$D$4/1000)+2)*(General_Model!$D$26/A779))</f>
        <v>-0.25650627730643094</v>
      </c>
      <c r="C779" s="13">
        <f t="shared" si="12"/>
        <v>0</v>
      </c>
    </row>
    <row r="780" spans="1:3" x14ac:dyDescent="0.25">
      <c r="A780" s="11">
        <v>0.77800000000000002</v>
      </c>
      <c r="B780" s="12">
        <f>(General_Model!$D$6/General_Model!$D$7)-1/(1+General_Model!$D$26/((1.2+0.2*(General_Model!$D$26/A780)+0.35*SQRT(9.80665*(General_Model!$D$4/1000))/A780)*A780))-(A780^2/(2*9.80665*General_Model!$D$7))*((4*(0.3164/((General_Model!$D$14*A780*(General_Model!$D$4/1000)/General_Model!$D$15)^0.25))*General_Model!$D$7/(General_Model!$D$4/1000)+1)+(4*(0.3164/((General_Model!$D$14*A780*(General_Model!$D$4/1000)/General_Model!$D$15)^0.25))*General_Model!$D$7/(General_Model!$D$4/1000)+2)*(General_Model!$D$26/A780))</f>
        <v>-0.25697572632330923</v>
      </c>
      <c r="C780" s="13">
        <f t="shared" si="12"/>
        <v>0</v>
      </c>
    </row>
    <row r="781" spans="1:3" x14ac:dyDescent="0.25">
      <c r="A781" s="11">
        <v>0.77900000000000003</v>
      </c>
      <c r="B781" s="12">
        <f>(General_Model!$D$6/General_Model!$D$7)-1/(1+General_Model!$D$26/((1.2+0.2*(General_Model!$D$26/A781)+0.35*SQRT(9.80665*(General_Model!$D$4/1000))/A781)*A781))-(A781^2/(2*9.80665*General_Model!$D$7))*((4*(0.3164/((General_Model!$D$14*A781*(General_Model!$D$4/1000)/General_Model!$D$15)^0.25))*General_Model!$D$7/(General_Model!$D$4/1000)+1)+(4*(0.3164/((General_Model!$D$14*A781*(General_Model!$D$4/1000)/General_Model!$D$15)^0.25))*General_Model!$D$7/(General_Model!$D$4/1000)+2)*(General_Model!$D$26/A781))</f>
        <v>-0.25744512061076252</v>
      </c>
      <c r="C781" s="13">
        <f t="shared" si="12"/>
        <v>0</v>
      </c>
    </row>
    <row r="782" spans="1:3" x14ac:dyDescent="0.25">
      <c r="A782" s="11">
        <v>0.78</v>
      </c>
      <c r="B782" s="12">
        <f>(General_Model!$D$6/General_Model!$D$7)-1/(1+General_Model!$D$26/((1.2+0.2*(General_Model!$D$26/A782)+0.35*SQRT(9.80665*(General_Model!$D$4/1000))/A782)*A782))-(A782^2/(2*9.80665*General_Model!$D$7))*((4*(0.3164/((General_Model!$D$14*A782*(General_Model!$D$4/1000)/General_Model!$D$15)^0.25))*General_Model!$D$7/(General_Model!$D$4/1000)+1)+(4*(0.3164/((General_Model!$D$14*A782*(General_Model!$D$4/1000)/General_Model!$D$15)^0.25))*General_Model!$D$7/(General_Model!$D$4/1000)+2)*(General_Model!$D$26/A782))</f>
        <v>-0.25791446063412787</v>
      </c>
      <c r="C782" s="13">
        <f t="shared" si="12"/>
        <v>0</v>
      </c>
    </row>
    <row r="783" spans="1:3" x14ac:dyDescent="0.25">
      <c r="A783" s="11">
        <v>0.78100000000000003</v>
      </c>
      <c r="B783" s="12">
        <f>(General_Model!$D$6/General_Model!$D$7)-1/(1+General_Model!$D$26/((1.2+0.2*(General_Model!$D$26/A783)+0.35*SQRT(9.80665*(General_Model!$D$4/1000))/A783)*A783))-(A783^2/(2*9.80665*General_Model!$D$7))*((4*(0.3164/((General_Model!$D$14*A783*(General_Model!$D$4/1000)/General_Model!$D$15)^0.25))*General_Model!$D$7/(General_Model!$D$4/1000)+1)+(4*(0.3164/((General_Model!$D$14*A783*(General_Model!$D$4/1000)/General_Model!$D$15)^0.25))*General_Model!$D$7/(General_Model!$D$4/1000)+2)*(General_Model!$D$26/A783))</f>
        <v>-0.25838374685750742</v>
      </c>
      <c r="C783" s="13">
        <f t="shared" si="12"/>
        <v>0</v>
      </c>
    </row>
    <row r="784" spans="1:3" x14ac:dyDescent="0.25">
      <c r="A784" s="11">
        <v>0.78200000000000003</v>
      </c>
      <c r="B784" s="12">
        <f>(General_Model!$D$6/General_Model!$D$7)-1/(1+General_Model!$D$26/((1.2+0.2*(General_Model!$D$26/A784)+0.35*SQRT(9.80665*(General_Model!$D$4/1000))/A784)*A784))-(A784^2/(2*9.80665*General_Model!$D$7))*((4*(0.3164/((General_Model!$D$14*A784*(General_Model!$D$4/1000)/General_Model!$D$15)^0.25))*General_Model!$D$7/(General_Model!$D$4/1000)+1)+(4*(0.3164/((General_Model!$D$14*A784*(General_Model!$D$4/1000)/General_Model!$D$15)^0.25))*General_Model!$D$7/(General_Model!$D$4/1000)+2)*(General_Model!$D$26/A784))</f>
        <v>-0.25885297974377242</v>
      </c>
      <c r="C784" s="13">
        <f t="shared" si="12"/>
        <v>0</v>
      </c>
    </row>
    <row r="785" spans="1:3" x14ac:dyDescent="0.25">
      <c r="A785" s="11">
        <v>0.78300000000000003</v>
      </c>
      <c r="B785" s="12">
        <f>(General_Model!$D$6/General_Model!$D$7)-1/(1+General_Model!$D$26/((1.2+0.2*(General_Model!$D$26/A785)+0.35*SQRT(9.80665*(General_Model!$D$4/1000))/A785)*A785))-(A785^2/(2*9.80665*General_Model!$D$7))*((4*(0.3164/((General_Model!$D$14*A785*(General_Model!$D$4/1000)/General_Model!$D$15)^0.25))*General_Model!$D$7/(General_Model!$D$4/1000)+1)+(4*(0.3164/((General_Model!$D$14*A785*(General_Model!$D$4/1000)/General_Model!$D$15)^0.25))*General_Model!$D$7/(General_Model!$D$4/1000)+2)*(General_Model!$D$26/A785))</f>
        <v>-0.25932215975456674</v>
      </c>
      <c r="C785" s="13">
        <f t="shared" si="12"/>
        <v>0</v>
      </c>
    </row>
    <row r="786" spans="1:3" x14ac:dyDescent="0.25">
      <c r="A786" s="11">
        <v>0.78400000000000003</v>
      </c>
      <c r="B786" s="12">
        <f>(General_Model!$D$6/General_Model!$D$7)-1/(1+General_Model!$D$26/((1.2+0.2*(General_Model!$D$26/A786)+0.35*SQRT(9.80665*(General_Model!$D$4/1000))/A786)*A786))-(A786^2/(2*9.80665*General_Model!$D$7))*((4*(0.3164/((General_Model!$D$14*A786*(General_Model!$D$4/1000)/General_Model!$D$15)^0.25))*General_Model!$D$7/(General_Model!$D$4/1000)+1)+(4*(0.3164/((General_Model!$D$14*A786*(General_Model!$D$4/1000)/General_Model!$D$15)^0.25))*General_Model!$D$7/(General_Model!$D$4/1000)+2)*(General_Model!$D$26/A786))</f>
        <v>-0.25979128735031126</v>
      </c>
      <c r="C786" s="13">
        <f t="shared" si="12"/>
        <v>0</v>
      </c>
    </row>
    <row r="787" spans="1:3" x14ac:dyDescent="0.25">
      <c r="A787" s="11">
        <v>0.78500000000000003</v>
      </c>
      <c r="B787" s="12">
        <f>(General_Model!$D$6/General_Model!$D$7)-1/(1+General_Model!$D$26/((1.2+0.2*(General_Model!$D$26/A787)+0.35*SQRT(9.80665*(General_Model!$D$4/1000))/A787)*A787))-(A787^2/(2*9.80665*General_Model!$D$7))*((4*(0.3164/((General_Model!$D$14*A787*(General_Model!$D$4/1000)/General_Model!$D$15)^0.25))*General_Model!$D$7/(General_Model!$D$4/1000)+1)+(4*(0.3164/((General_Model!$D$14*A787*(General_Model!$D$4/1000)/General_Model!$D$15)^0.25))*General_Model!$D$7/(General_Model!$D$4/1000)+2)*(General_Model!$D$26/A787))</f>
        <v>-0.26026036299020772</v>
      </c>
      <c r="C787" s="13">
        <f t="shared" si="12"/>
        <v>0</v>
      </c>
    </row>
    <row r="788" spans="1:3" x14ac:dyDescent="0.25">
      <c r="A788" s="11">
        <v>0.78600000000000003</v>
      </c>
      <c r="B788" s="12">
        <f>(General_Model!$D$6/General_Model!$D$7)-1/(1+General_Model!$D$26/((1.2+0.2*(General_Model!$D$26/A788)+0.35*SQRT(9.80665*(General_Model!$D$4/1000))/A788)*A788))-(A788^2/(2*9.80665*General_Model!$D$7))*((4*(0.3164/((General_Model!$D$14*A788*(General_Model!$D$4/1000)/General_Model!$D$15)^0.25))*General_Model!$D$7/(General_Model!$D$4/1000)+1)+(4*(0.3164/((General_Model!$D$14*A788*(General_Model!$D$4/1000)/General_Model!$D$15)^0.25))*General_Model!$D$7/(General_Model!$D$4/1000)+2)*(General_Model!$D$26/A788))</f>
        <v>-0.26072938713224286</v>
      </c>
      <c r="C788" s="13">
        <f t="shared" si="12"/>
        <v>0</v>
      </c>
    </row>
    <row r="789" spans="1:3" x14ac:dyDescent="0.25">
      <c r="A789" s="11">
        <v>0.78700000000000003</v>
      </c>
      <c r="B789" s="12">
        <f>(General_Model!$D$6/General_Model!$D$7)-1/(1+General_Model!$D$26/((1.2+0.2*(General_Model!$D$26/A789)+0.35*SQRT(9.80665*(General_Model!$D$4/1000))/A789)*A789))-(A789^2/(2*9.80665*General_Model!$D$7))*((4*(0.3164/((General_Model!$D$14*A789*(General_Model!$D$4/1000)/General_Model!$D$15)^0.25))*General_Model!$D$7/(General_Model!$D$4/1000)+1)+(4*(0.3164/((General_Model!$D$14*A789*(General_Model!$D$4/1000)/General_Model!$D$15)^0.25))*General_Model!$D$7/(General_Model!$D$4/1000)+2)*(General_Model!$D$26/A789))</f>
        <v>-0.26119836023319243</v>
      </c>
      <c r="C789" s="13">
        <f t="shared" si="12"/>
        <v>0</v>
      </c>
    </row>
    <row r="790" spans="1:3" x14ac:dyDescent="0.25">
      <c r="A790" s="11">
        <v>0.78800000000000003</v>
      </c>
      <c r="B790" s="12">
        <f>(General_Model!$D$6/General_Model!$D$7)-1/(1+General_Model!$D$26/((1.2+0.2*(General_Model!$D$26/A790)+0.35*SQRT(9.80665*(General_Model!$D$4/1000))/A790)*A790))-(A790^2/(2*9.80665*General_Model!$D$7))*((4*(0.3164/((General_Model!$D$14*A790*(General_Model!$D$4/1000)/General_Model!$D$15)^0.25))*General_Model!$D$7/(General_Model!$D$4/1000)+1)+(4*(0.3164/((General_Model!$D$14*A790*(General_Model!$D$4/1000)/General_Model!$D$15)^0.25))*General_Model!$D$7/(General_Model!$D$4/1000)+2)*(General_Model!$D$26/A790))</f>
        <v>-0.26166728274862439</v>
      </c>
      <c r="C790" s="13">
        <f t="shared" si="12"/>
        <v>0</v>
      </c>
    </row>
    <row r="791" spans="1:3" x14ac:dyDescent="0.25">
      <c r="A791" s="11">
        <v>0.78900000000000003</v>
      </c>
      <c r="B791" s="12">
        <f>(General_Model!$D$6/General_Model!$D$7)-1/(1+General_Model!$D$26/((1.2+0.2*(General_Model!$D$26/A791)+0.35*SQRT(9.80665*(General_Model!$D$4/1000))/A791)*A791))-(A791^2/(2*9.80665*General_Model!$D$7))*((4*(0.3164/((General_Model!$D$14*A791*(General_Model!$D$4/1000)/General_Model!$D$15)^0.25))*General_Model!$D$7/(General_Model!$D$4/1000)+1)+(4*(0.3164/((General_Model!$D$14*A791*(General_Model!$D$4/1000)/General_Model!$D$15)^0.25))*General_Model!$D$7/(General_Model!$D$4/1000)+2)*(General_Model!$D$26/A791))</f>
        <v>-0.262136155132904</v>
      </c>
      <c r="C791" s="13">
        <f t="shared" si="12"/>
        <v>0</v>
      </c>
    </row>
    <row r="792" spans="1:3" x14ac:dyDescent="0.25">
      <c r="A792" s="11">
        <v>0.79</v>
      </c>
      <c r="B792" s="12">
        <f>(General_Model!$D$6/General_Model!$D$7)-1/(1+General_Model!$D$26/((1.2+0.2*(General_Model!$D$26/A792)+0.35*SQRT(9.80665*(General_Model!$D$4/1000))/A792)*A792))-(A792^2/(2*9.80665*General_Model!$D$7))*((4*(0.3164/((General_Model!$D$14*A792*(General_Model!$D$4/1000)/General_Model!$D$15)^0.25))*General_Model!$D$7/(General_Model!$D$4/1000)+1)+(4*(0.3164/((General_Model!$D$14*A792*(General_Model!$D$4/1000)/General_Model!$D$15)^0.25))*General_Model!$D$7/(General_Model!$D$4/1000)+2)*(General_Model!$D$26/A792))</f>
        <v>-0.26260497783919678</v>
      </c>
      <c r="C792" s="13">
        <f t="shared" si="12"/>
        <v>0</v>
      </c>
    </row>
    <row r="793" spans="1:3" x14ac:dyDescent="0.25">
      <c r="A793" s="11">
        <v>0.79100000000000004</v>
      </c>
      <c r="B793" s="12">
        <f>(General_Model!$D$6/General_Model!$D$7)-1/(1+General_Model!$D$26/((1.2+0.2*(General_Model!$D$26/A793)+0.35*SQRT(9.80665*(General_Model!$D$4/1000))/A793)*A793))-(A793^2/(2*9.80665*General_Model!$D$7))*((4*(0.3164/((General_Model!$D$14*A793*(General_Model!$D$4/1000)/General_Model!$D$15)^0.25))*General_Model!$D$7/(General_Model!$D$4/1000)+1)+(4*(0.3164/((General_Model!$D$14*A793*(General_Model!$D$4/1000)/General_Model!$D$15)^0.25))*General_Model!$D$7/(General_Model!$D$4/1000)+2)*(General_Model!$D$26/A793))</f>
        <v>-0.26307375131947297</v>
      </c>
      <c r="C793" s="13">
        <f t="shared" si="12"/>
        <v>0</v>
      </c>
    </row>
    <row r="794" spans="1:3" x14ac:dyDescent="0.25">
      <c r="A794" s="11">
        <v>0.79200000000000004</v>
      </c>
      <c r="B794" s="12">
        <f>(General_Model!$D$6/General_Model!$D$7)-1/(1+General_Model!$D$26/((1.2+0.2*(General_Model!$D$26/A794)+0.35*SQRT(9.80665*(General_Model!$D$4/1000))/A794)*A794))-(A794^2/(2*9.80665*General_Model!$D$7))*((4*(0.3164/((General_Model!$D$14*A794*(General_Model!$D$4/1000)/General_Model!$D$15)^0.25))*General_Model!$D$7/(General_Model!$D$4/1000)+1)+(4*(0.3164/((General_Model!$D$14*A794*(General_Model!$D$4/1000)/General_Model!$D$15)^0.25))*General_Model!$D$7/(General_Model!$D$4/1000)+2)*(General_Model!$D$26/A794))</f>
        <v>-0.26354247602451109</v>
      </c>
      <c r="C794" s="13">
        <f t="shared" si="12"/>
        <v>0</v>
      </c>
    </row>
    <row r="795" spans="1:3" x14ac:dyDescent="0.25">
      <c r="A795" s="11">
        <v>0.79300000000000004</v>
      </c>
      <c r="B795" s="12">
        <f>(General_Model!$D$6/General_Model!$D$7)-1/(1+General_Model!$D$26/((1.2+0.2*(General_Model!$D$26/A795)+0.35*SQRT(9.80665*(General_Model!$D$4/1000))/A795)*A795))-(A795^2/(2*9.80665*General_Model!$D$7))*((4*(0.3164/((General_Model!$D$14*A795*(General_Model!$D$4/1000)/General_Model!$D$15)^0.25))*General_Model!$D$7/(General_Model!$D$4/1000)+1)+(4*(0.3164/((General_Model!$D$14*A795*(General_Model!$D$4/1000)/General_Model!$D$15)^0.25))*General_Model!$D$7/(General_Model!$D$4/1000)+2)*(General_Model!$D$26/A795))</f>
        <v>-0.26401115240390199</v>
      </c>
      <c r="C795" s="13">
        <f t="shared" si="12"/>
        <v>0</v>
      </c>
    </row>
    <row r="796" spans="1:3" x14ac:dyDescent="0.25">
      <c r="A796" s="11">
        <v>0.79400000000000004</v>
      </c>
      <c r="B796" s="12">
        <f>(General_Model!$D$6/General_Model!$D$7)-1/(1+General_Model!$D$26/((1.2+0.2*(General_Model!$D$26/A796)+0.35*SQRT(9.80665*(General_Model!$D$4/1000))/A796)*A796))-(A796^2/(2*9.80665*General_Model!$D$7))*((4*(0.3164/((General_Model!$D$14*A796*(General_Model!$D$4/1000)/General_Model!$D$15)^0.25))*General_Model!$D$7/(General_Model!$D$4/1000)+1)+(4*(0.3164/((General_Model!$D$14*A796*(General_Model!$D$4/1000)/General_Model!$D$15)^0.25))*General_Model!$D$7/(General_Model!$D$4/1000)+2)*(General_Model!$D$26/A796))</f>
        <v>-0.26447978090605262</v>
      </c>
      <c r="C796" s="13">
        <f t="shared" si="12"/>
        <v>0</v>
      </c>
    </row>
    <row r="797" spans="1:3" x14ac:dyDescent="0.25">
      <c r="A797" s="11">
        <v>0.79500000000000004</v>
      </c>
      <c r="B797" s="12">
        <f>(General_Model!$D$6/General_Model!$D$7)-1/(1+General_Model!$D$26/((1.2+0.2*(General_Model!$D$26/A797)+0.35*SQRT(9.80665*(General_Model!$D$4/1000))/A797)*A797))-(A797^2/(2*9.80665*General_Model!$D$7))*((4*(0.3164/((General_Model!$D$14*A797*(General_Model!$D$4/1000)/General_Model!$D$15)^0.25))*General_Model!$D$7/(General_Model!$D$4/1000)+1)+(4*(0.3164/((General_Model!$D$14*A797*(General_Model!$D$4/1000)/General_Model!$D$15)^0.25))*General_Model!$D$7/(General_Model!$D$4/1000)+2)*(General_Model!$D$26/A797))</f>
        <v>-0.26494836197818977</v>
      </c>
      <c r="C797" s="13">
        <f t="shared" si="12"/>
        <v>0</v>
      </c>
    </row>
    <row r="798" spans="1:3" x14ac:dyDescent="0.25">
      <c r="A798" s="11">
        <v>0.79600000000000004</v>
      </c>
      <c r="B798" s="12">
        <f>(General_Model!$D$6/General_Model!$D$7)-1/(1+General_Model!$D$26/((1.2+0.2*(General_Model!$D$26/A798)+0.35*SQRT(9.80665*(General_Model!$D$4/1000))/A798)*A798))-(A798^2/(2*9.80665*General_Model!$D$7))*((4*(0.3164/((General_Model!$D$14*A798*(General_Model!$D$4/1000)/General_Model!$D$15)^0.25))*General_Model!$D$7/(General_Model!$D$4/1000)+1)+(4*(0.3164/((General_Model!$D$14*A798*(General_Model!$D$4/1000)/General_Model!$D$15)^0.25))*General_Model!$D$7/(General_Model!$D$4/1000)+2)*(General_Model!$D$26/A798))</f>
        <v>-0.26541689606636421</v>
      </c>
      <c r="C798" s="13">
        <f t="shared" si="12"/>
        <v>0</v>
      </c>
    </row>
    <row r="799" spans="1:3" x14ac:dyDescent="0.25">
      <c r="A799" s="11">
        <v>0.79700000000000004</v>
      </c>
      <c r="B799" s="12">
        <f>(General_Model!$D$6/General_Model!$D$7)-1/(1+General_Model!$D$26/((1.2+0.2*(General_Model!$D$26/A799)+0.35*SQRT(9.80665*(General_Model!$D$4/1000))/A799)*A799))-(A799^2/(2*9.80665*General_Model!$D$7))*((4*(0.3164/((General_Model!$D$14*A799*(General_Model!$D$4/1000)/General_Model!$D$15)^0.25))*General_Model!$D$7/(General_Model!$D$4/1000)+1)+(4*(0.3164/((General_Model!$D$14*A799*(General_Model!$D$4/1000)/General_Model!$D$15)^0.25))*General_Model!$D$7/(General_Model!$D$4/1000)+2)*(General_Model!$D$26/A799))</f>
        <v>-0.265885383615454</v>
      </c>
      <c r="C799" s="13">
        <f t="shared" si="12"/>
        <v>0</v>
      </c>
    </row>
    <row r="800" spans="1:3" x14ac:dyDescent="0.25">
      <c r="A800" s="11">
        <v>0.79800000000000004</v>
      </c>
      <c r="B800" s="12">
        <f>(General_Model!$D$6/General_Model!$D$7)-1/(1+General_Model!$D$26/((1.2+0.2*(General_Model!$D$26/A800)+0.35*SQRT(9.80665*(General_Model!$D$4/1000))/A800)*A800))-(A800^2/(2*9.80665*General_Model!$D$7))*((4*(0.3164/((General_Model!$D$14*A800*(General_Model!$D$4/1000)/General_Model!$D$15)^0.25))*General_Model!$D$7/(General_Model!$D$4/1000)+1)+(4*(0.3164/((General_Model!$D$14*A800*(General_Model!$D$4/1000)/General_Model!$D$15)^0.25))*General_Model!$D$7/(General_Model!$D$4/1000)+2)*(General_Model!$D$26/A800))</f>
        <v>-0.2663538250691686</v>
      </c>
      <c r="C800" s="13">
        <f t="shared" si="12"/>
        <v>0</v>
      </c>
    </row>
    <row r="801" spans="1:3" x14ac:dyDescent="0.25">
      <c r="A801" s="11">
        <v>0.79900000000000004</v>
      </c>
      <c r="B801" s="12">
        <f>(General_Model!$D$6/General_Model!$D$7)-1/(1+General_Model!$D$26/((1.2+0.2*(General_Model!$D$26/A801)+0.35*SQRT(9.80665*(General_Model!$D$4/1000))/A801)*A801))-(A801^2/(2*9.80665*General_Model!$D$7))*((4*(0.3164/((General_Model!$D$14*A801*(General_Model!$D$4/1000)/General_Model!$D$15)^0.25))*General_Model!$D$7/(General_Model!$D$4/1000)+1)+(4*(0.3164/((General_Model!$D$14*A801*(General_Model!$D$4/1000)/General_Model!$D$15)^0.25))*General_Model!$D$7/(General_Model!$D$4/1000)+2)*(General_Model!$D$26/A801))</f>
        <v>-0.26682222087005314</v>
      </c>
      <c r="C801" s="13">
        <f t="shared" si="12"/>
        <v>0</v>
      </c>
    </row>
    <row r="802" spans="1:3" x14ac:dyDescent="0.25">
      <c r="A802" s="11">
        <v>0.8</v>
      </c>
      <c r="B802" s="12">
        <f>(General_Model!$D$6/General_Model!$D$7)-1/(1+General_Model!$D$26/((1.2+0.2*(General_Model!$D$26/A802)+0.35*SQRT(9.80665*(General_Model!$D$4/1000))/A802)*A802))-(A802^2/(2*9.80665*General_Model!$D$7))*((4*(0.3164/((General_Model!$D$14*A802*(General_Model!$D$4/1000)/General_Model!$D$15)^0.25))*General_Model!$D$7/(General_Model!$D$4/1000)+1)+(4*(0.3164/((General_Model!$D$14*A802*(General_Model!$D$4/1000)/General_Model!$D$15)^0.25))*General_Model!$D$7/(General_Model!$D$4/1000)+2)*(General_Model!$D$26/A802))</f>
        <v>-0.26729057145949076</v>
      </c>
      <c r="C802" s="13">
        <f t="shared" si="12"/>
        <v>0</v>
      </c>
    </row>
    <row r="803" spans="1:3" x14ac:dyDescent="0.25">
      <c r="A803" s="11">
        <v>0.80100000000000005</v>
      </c>
      <c r="B803" s="12">
        <f>(General_Model!$D$6/General_Model!$D$7)-1/(1+General_Model!$D$26/((1.2+0.2*(General_Model!$D$26/A803)+0.35*SQRT(9.80665*(General_Model!$D$4/1000))/A803)*A803))-(A803^2/(2*9.80665*General_Model!$D$7))*((4*(0.3164/((General_Model!$D$14*A803*(General_Model!$D$4/1000)/General_Model!$D$15)^0.25))*General_Model!$D$7/(General_Model!$D$4/1000)+1)+(4*(0.3164/((General_Model!$D$14*A803*(General_Model!$D$4/1000)/General_Model!$D$15)^0.25))*General_Model!$D$7/(General_Model!$D$4/1000)+2)*(General_Model!$D$26/A803))</f>
        <v>-0.26775887727770797</v>
      </c>
      <c r="C803" s="13">
        <f t="shared" si="12"/>
        <v>0</v>
      </c>
    </row>
    <row r="804" spans="1:3" x14ac:dyDescent="0.25">
      <c r="A804" s="11">
        <v>0.80200000000000005</v>
      </c>
      <c r="B804" s="12">
        <f>(General_Model!$D$6/General_Model!$D$7)-1/(1+General_Model!$D$26/((1.2+0.2*(General_Model!$D$26/A804)+0.35*SQRT(9.80665*(General_Model!$D$4/1000))/A804)*A804))-(A804^2/(2*9.80665*General_Model!$D$7))*((4*(0.3164/((General_Model!$D$14*A804*(General_Model!$D$4/1000)/General_Model!$D$15)^0.25))*General_Model!$D$7/(General_Model!$D$4/1000)+1)+(4*(0.3164/((General_Model!$D$14*A804*(General_Model!$D$4/1000)/General_Model!$D$15)^0.25))*General_Model!$D$7/(General_Model!$D$4/1000)+2)*(General_Model!$D$26/A804))</f>
        <v>-0.26822713876377746</v>
      </c>
      <c r="C804" s="13">
        <f t="shared" si="12"/>
        <v>0</v>
      </c>
    </row>
    <row r="805" spans="1:3" x14ac:dyDescent="0.25">
      <c r="A805" s="11">
        <v>0.80300000000000005</v>
      </c>
      <c r="B805" s="12">
        <f>(General_Model!$D$6/General_Model!$D$7)-1/(1+General_Model!$D$26/((1.2+0.2*(General_Model!$D$26/A805)+0.35*SQRT(9.80665*(General_Model!$D$4/1000))/A805)*A805))-(A805^2/(2*9.80665*General_Model!$D$7))*((4*(0.3164/((General_Model!$D$14*A805*(General_Model!$D$4/1000)/General_Model!$D$15)^0.25))*General_Model!$D$7/(General_Model!$D$4/1000)+1)+(4*(0.3164/((General_Model!$D$14*A805*(General_Model!$D$4/1000)/General_Model!$D$15)^0.25))*General_Model!$D$7/(General_Model!$D$4/1000)+2)*(General_Model!$D$26/A805))</f>
        <v>-0.2686953563556217</v>
      </c>
      <c r="C805" s="13">
        <f t="shared" si="12"/>
        <v>0</v>
      </c>
    </row>
    <row r="806" spans="1:3" x14ac:dyDescent="0.25">
      <c r="A806" s="11">
        <v>0.80400000000000005</v>
      </c>
      <c r="B806" s="12">
        <f>(General_Model!$D$6/General_Model!$D$7)-1/(1+General_Model!$D$26/((1.2+0.2*(General_Model!$D$26/A806)+0.35*SQRT(9.80665*(General_Model!$D$4/1000))/A806)*A806))-(A806^2/(2*9.80665*General_Model!$D$7))*((4*(0.3164/((General_Model!$D$14*A806*(General_Model!$D$4/1000)/General_Model!$D$15)^0.25))*General_Model!$D$7/(General_Model!$D$4/1000)+1)+(4*(0.3164/((General_Model!$D$14*A806*(General_Model!$D$4/1000)/General_Model!$D$15)^0.25))*General_Model!$D$7/(General_Model!$D$4/1000)+2)*(General_Model!$D$26/A806))</f>
        <v>-0.26916353049001718</v>
      </c>
      <c r="C806" s="13">
        <f t="shared" si="12"/>
        <v>0</v>
      </c>
    </row>
    <row r="807" spans="1:3" x14ac:dyDescent="0.25">
      <c r="A807" s="11">
        <v>0.80500000000000005</v>
      </c>
      <c r="B807" s="12">
        <f>(General_Model!$D$6/General_Model!$D$7)-1/(1+General_Model!$D$26/((1.2+0.2*(General_Model!$D$26/A807)+0.35*SQRT(9.80665*(General_Model!$D$4/1000))/A807)*A807))-(A807^2/(2*9.80665*General_Model!$D$7))*((4*(0.3164/((General_Model!$D$14*A807*(General_Model!$D$4/1000)/General_Model!$D$15)^0.25))*General_Model!$D$7/(General_Model!$D$4/1000)+1)+(4*(0.3164/((General_Model!$D$14*A807*(General_Model!$D$4/1000)/General_Model!$D$15)^0.25))*General_Model!$D$7/(General_Model!$D$4/1000)+2)*(General_Model!$D$26/A807))</f>
        <v>-0.26963166160259822</v>
      </c>
      <c r="C807" s="13">
        <f t="shared" si="12"/>
        <v>0</v>
      </c>
    </row>
    <row r="808" spans="1:3" x14ac:dyDescent="0.25">
      <c r="A808" s="11">
        <v>0.80600000000000005</v>
      </c>
      <c r="B808" s="12">
        <f>(General_Model!$D$6/General_Model!$D$7)-1/(1+General_Model!$D$26/((1.2+0.2*(General_Model!$D$26/A808)+0.35*SQRT(9.80665*(General_Model!$D$4/1000))/A808)*A808))-(A808^2/(2*9.80665*General_Model!$D$7))*((4*(0.3164/((General_Model!$D$14*A808*(General_Model!$D$4/1000)/General_Model!$D$15)^0.25))*General_Model!$D$7/(General_Model!$D$4/1000)+1)+(4*(0.3164/((General_Model!$D$14*A808*(General_Model!$D$4/1000)/General_Model!$D$15)^0.25))*General_Model!$D$7/(General_Model!$D$4/1000)+2)*(General_Model!$D$26/A808))</f>
        <v>-0.27009975012785997</v>
      </c>
      <c r="C808" s="13">
        <f t="shared" si="12"/>
        <v>0</v>
      </c>
    </row>
    <row r="809" spans="1:3" x14ac:dyDescent="0.25">
      <c r="A809" s="11">
        <v>0.80700000000000005</v>
      </c>
      <c r="B809" s="12">
        <f>(General_Model!$D$6/General_Model!$D$7)-1/(1+General_Model!$D$26/((1.2+0.2*(General_Model!$D$26/A809)+0.35*SQRT(9.80665*(General_Model!$D$4/1000))/A809)*A809))-(A809^2/(2*9.80665*General_Model!$D$7))*((4*(0.3164/((General_Model!$D$14*A809*(General_Model!$D$4/1000)/General_Model!$D$15)^0.25))*General_Model!$D$7/(General_Model!$D$4/1000)+1)+(4*(0.3164/((General_Model!$D$14*A809*(General_Model!$D$4/1000)/General_Model!$D$15)^0.25))*General_Model!$D$7/(General_Model!$D$4/1000)+2)*(General_Model!$D$26/A809))</f>
        <v>-0.27056779649916207</v>
      </c>
      <c r="C809" s="13">
        <f t="shared" si="12"/>
        <v>0</v>
      </c>
    </row>
    <row r="810" spans="1:3" x14ac:dyDescent="0.25">
      <c r="A810" s="11">
        <v>0.80800000000000005</v>
      </c>
      <c r="B810" s="12">
        <f>(General_Model!$D$6/General_Model!$D$7)-1/(1+General_Model!$D$26/((1.2+0.2*(General_Model!$D$26/A810)+0.35*SQRT(9.80665*(General_Model!$D$4/1000))/A810)*A810))-(A810^2/(2*9.80665*General_Model!$D$7))*((4*(0.3164/((General_Model!$D$14*A810*(General_Model!$D$4/1000)/General_Model!$D$15)^0.25))*General_Model!$D$7/(General_Model!$D$4/1000)+1)+(4*(0.3164/((General_Model!$D$14*A810*(General_Model!$D$4/1000)/General_Model!$D$15)^0.25))*General_Model!$D$7/(General_Model!$D$4/1000)+2)*(General_Model!$D$26/A810))</f>
        <v>-0.2710358011487331</v>
      </c>
      <c r="C810" s="13">
        <f t="shared" si="12"/>
        <v>0</v>
      </c>
    </row>
    <row r="811" spans="1:3" x14ac:dyDescent="0.25">
      <c r="A811" s="11">
        <v>0.80900000000000005</v>
      </c>
      <c r="B811" s="12">
        <f>(General_Model!$D$6/General_Model!$D$7)-1/(1+General_Model!$D$26/((1.2+0.2*(General_Model!$D$26/A811)+0.35*SQRT(9.80665*(General_Model!$D$4/1000))/A811)*A811))-(A811^2/(2*9.80665*General_Model!$D$7))*((4*(0.3164/((General_Model!$D$14*A811*(General_Model!$D$4/1000)/General_Model!$D$15)^0.25))*General_Model!$D$7/(General_Model!$D$4/1000)+1)+(4*(0.3164/((General_Model!$D$14*A811*(General_Model!$D$4/1000)/General_Model!$D$15)^0.25))*General_Model!$D$7/(General_Model!$D$4/1000)+2)*(General_Model!$D$26/A811))</f>
        <v>-0.27150376450767377</v>
      </c>
      <c r="C811" s="13">
        <f t="shared" si="12"/>
        <v>0</v>
      </c>
    </row>
    <row r="812" spans="1:3" x14ac:dyDescent="0.25">
      <c r="A812" s="11">
        <v>0.81</v>
      </c>
      <c r="B812" s="12">
        <f>(General_Model!$D$6/General_Model!$D$7)-1/(1+General_Model!$D$26/((1.2+0.2*(General_Model!$D$26/A812)+0.35*SQRT(9.80665*(General_Model!$D$4/1000))/A812)*A812))-(A812^2/(2*9.80665*General_Model!$D$7))*((4*(0.3164/((General_Model!$D$14*A812*(General_Model!$D$4/1000)/General_Model!$D$15)^0.25))*General_Model!$D$7/(General_Model!$D$4/1000)+1)+(4*(0.3164/((General_Model!$D$14*A812*(General_Model!$D$4/1000)/General_Model!$D$15)^0.25))*General_Model!$D$7/(General_Model!$D$4/1000)+2)*(General_Model!$D$26/A812))</f>
        <v>-0.27197168700596031</v>
      </c>
      <c r="C812" s="13">
        <f t="shared" si="12"/>
        <v>0</v>
      </c>
    </row>
    <row r="813" spans="1:3" x14ac:dyDescent="0.25">
      <c r="A813" s="11">
        <v>0.81100000000000005</v>
      </c>
      <c r="B813" s="12">
        <f>(General_Model!$D$6/General_Model!$D$7)-1/(1+General_Model!$D$26/((1.2+0.2*(General_Model!$D$26/A813)+0.35*SQRT(9.80665*(General_Model!$D$4/1000))/A813)*A813))-(A813^2/(2*9.80665*General_Model!$D$7))*((4*(0.3164/((General_Model!$D$14*A813*(General_Model!$D$4/1000)/General_Model!$D$15)^0.25))*General_Model!$D$7/(General_Model!$D$4/1000)+1)+(4*(0.3164/((General_Model!$D$14*A813*(General_Model!$D$4/1000)/General_Model!$D$15)^0.25))*General_Model!$D$7/(General_Model!$D$4/1000)+2)*(General_Model!$D$26/A813))</f>
        <v>-0.27243956907244815</v>
      </c>
      <c r="C813" s="13">
        <f t="shared" si="12"/>
        <v>0</v>
      </c>
    </row>
    <row r="814" spans="1:3" x14ac:dyDescent="0.25">
      <c r="A814" s="11">
        <v>0.81200000000000006</v>
      </c>
      <c r="B814" s="12">
        <f>(General_Model!$D$6/General_Model!$D$7)-1/(1+General_Model!$D$26/((1.2+0.2*(General_Model!$D$26/A814)+0.35*SQRT(9.80665*(General_Model!$D$4/1000))/A814)*A814))-(A814^2/(2*9.80665*General_Model!$D$7))*((4*(0.3164/((General_Model!$D$14*A814*(General_Model!$D$4/1000)/General_Model!$D$15)^0.25))*General_Model!$D$7/(General_Model!$D$4/1000)+1)+(4*(0.3164/((General_Model!$D$14*A814*(General_Model!$D$4/1000)/General_Model!$D$15)^0.25))*General_Model!$D$7/(General_Model!$D$4/1000)+2)*(General_Model!$D$26/A814))</f>
        <v>-0.27290741113487593</v>
      </c>
      <c r="C814" s="13">
        <f t="shared" si="12"/>
        <v>0</v>
      </c>
    </row>
    <row r="815" spans="1:3" x14ac:dyDescent="0.25">
      <c r="A815" s="11">
        <v>0.81300000000000006</v>
      </c>
      <c r="B815" s="12">
        <f>(General_Model!$D$6/General_Model!$D$7)-1/(1+General_Model!$D$26/((1.2+0.2*(General_Model!$D$26/A815)+0.35*SQRT(9.80665*(General_Model!$D$4/1000))/A815)*A815))-(A815^2/(2*9.80665*General_Model!$D$7))*((4*(0.3164/((General_Model!$D$14*A815*(General_Model!$D$4/1000)/General_Model!$D$15)^0.25))*General_Model!$D$7/(General_Model!$D$4/1000)+1)+(4*(0.3164/((General_Model!$D$14*A815*(General_Model!$D$4/1000)/General_Model!$D$15)^0.25))*General_Model!$D$7/(General_Model!$D$4/1000)+2)*(General_Model!$D$26/A815))</f>
        <v>-0.2733752136198685</v>
      </c>
      <c r="C815" s="13">
        <f t="shared" si="12"/>
        <v>0</v>
      </c>
    </row>
    <row r="816" spans="1:3" x14ac:dyDescent="0.25">
      <c r="A816" s="11">
        <v>0.81400000000000006</v>
      </c>
      <c r="B816" s="12">
        <f>(General_Model!$D$6/General_Model!$D$7)-1/(1+General_Model!$D$26/((1.2+0.2*(General_Model!$D$26/A816)+0.35*SQRT(9.80665*(General_Model!$D$4/1000))/A816)*A816))-(A816^2/(2*9.80665*General_Model!$D$7))*((4*(0.3164/((General_Model!$D$14*A816*(General_Model!$D$4/1000)/General_Model!$D$15)^0.25))*General_Model!$D$7/(General_Model!$D$4/1000)+1)+(4*(0.3164/((General_Model!$D$14*A816*(General_Model!$D$4/1000)/General_Model!$D$15)^0.25))*General_Model!$D$7/(General_Model!$D$4/1000)+2)*(General_Model!$D$26/A816))</f>
        <v>-0.27384297695294124</v>
      </c>
      <c r="C816" s="13">
        <f t="shared" si="12"/>
        <v>0</v>
      </c>
    </row>
    <row r="817" spans="1:3" x14ac:dyDescent="0.25">
      <c r="A817" s="11">
        <v>0.81500000000000006</v>
      </c>
      <c r="B817" s="12">
        <f>(General_Model!$D$6/General_Model!$D$7)-1/(1+General_Model!$D$26/((1.2+0.2*(General_Model!$D$26/A817)+0.35*SQRT(9.80665*(General_Model!$D$4/1000))/A817)*A817))-(A817^2/(2*9.80665*General_Model!$D$7))*((4*(0.3164/((General_Model!$D$14*A817*(General_Model!$D$4/1000)/General_Model!$D$15)^0.25))*General_Model!$D$7/(General_Model!$D$4/1000)+1)+(4*(0.3164/((General_Model!$D$14*A817*(General_Model!$D$4/1000)/General_Model!$D$15)^0.25))*General_Model!$D$7/(General_Model!$D$4/1000)+2)*(General_Model!$D$26/A817))</f>
        <v>-0.27431070155850235</v>
      </c>
      <c r="C817" s="13">
        <f t="shared" si="12"/>
        <v>0</v>
      </c>
    </row>
    <row r="818" spans="1:3" x14ac:dyDescent="0.25">
      <c r="A818" s="11">
        <v>0.81600000000000006</v>
      </c>
      <c r="B818" s="12">
        <f>(General_Model!$D$6/General_Model!$D$7)-1/(1+General_Model!$D$26/((1.2+0.2*(General_Model!$D$26/A818)+0.35*SQRT(9.80665*(General_Model!$D$4/1000))/A818)*A818))-(A818^2/(2*9.80665*General_Model!$D$7))*((4*(0.3164/((General_Model!$D$14*A818*(General_Model!$D$4/1000)/General_Model!$D$15)^0.25))*General_Model!$D$7/(General_Model!$D$4/1000)+1)+(4*(0.3164/((General_Model!$D$14*A818*(General_Model!$D$4/1000)/General_Model!$D$15)^0.25))*General_Model!$D$7/(General_Model!$D$4/1000)+2)*(General_Model!$D$26/A818))</f>
        <v>-0.27477838785985786</v>
      </c>
      <c r="C818" s="13">
        <f t="shared" si="12"/>
        <v>0</v>
      </c>
    </row>
    <row r="819" spans="1:3" x14ac:dyDescent="0.25">
      <c r="A819" s="11">
        <v>0.81700000000000006</v>
      </c>
      <c r="B819" s="12">
        <f>(General_Model!$D$6/General_Model!$D$7)-1/(1+General_Model!$D$26/((1.2+0.2*(General_Model!$D$26/A819)+0.35*SQRT(9.80665*(General_Model!$D$4/1000))/A819)*A819))-(A819^2/(2*9.80665*General_Model!$D$7))*((4*(0.3164/((General_Model!$D$14*A819*(General_Model!$D$4/1000)/General_Model!$D$15)^0.25))*General_Model!$D$7/(General_Model!$D$4/1000)+1)+(4*(0.3164/((General_Model!$D$14*A819*(General_Model!$D$4/1000)/General_Model!$D$15)^0.25))*General_Model!$D$7/(General_Model!$D$4/1000)+2)*(General_Model!$D$26/A819))</f>
        <v>-0.2752460362792144</v>
      </c>
      <c r="C819" s="13">
        <f t="shared" si="12"/>
        <v>0</v>
      </c>
    </row>
    <row r="820" spans="1:3" x14ac:dyDescent="0.25">
      <c r="A820" s="11">
        <v>0.81800000000000006</v>
      </c>
      <c r="B820" s="12">
        <f>(General_Model!$D$6/General_Model!$D$7)-1/(1+General_Model!$D$26/((1.2+0.2*(General_Model!$D$26/A820)+0.35*SQRT(9.80665*(General_Model!$D$4/1000))/A820)*A820))-(A820^2/(2*9.80665*General_Model!$D$7))*((4*(0.3164/((General_Model!$D$14*A820*(General_Model!$D$4/1000)/General_Model!$D$15)^0.25))*General_Model!$D$7/(General_Model!$D$4/1000)+1)+(4*(0.3164/((General_Model!$D$14*A820*(General_Model!$D$4/1000)/General_Model!$D$15)^0.25))*General_Model!$D$7/(General_Model!$D$4/1000)+2)*(General_Model!$D$26/A820))</f>
        <v>-0.27571364723768221</v>
      </c>
      <c r="C820" s="13">
        <f t="shared" si="12"/>
        <v>0</v>
      </c>
    </row>
    <row r="821" spans="1:3" x14ac:dyDescent="0.25">
      <c r="A821" s="11">
        <v>0.81900000000000006</v>
      </c>
      <c r="B821" s="12">
        <f>(General_Model!$D$6/General_Model!$D$7)-1/(1+General_Model!$D$26/((1.2+0.2*(General_Model!$D$26/A821)+0.35*SQRT(9.80665*(General_Model!$D$4/1000))/A821)*A821))-(A821^2/(2*9.80665*General_Model!$D$7))*((4*(0.3164/((General_Model!$D$14*A821*(General_Model!$D$4/1000)/General_Model!$D$15)^0.25))*General_Model!$D$7/(General_Model!$D$4/1000)+1)+(4*(0.3164/((General_Model!$D$14*A821*(General_Model!$D$4/1000)/General_Model!$D$15)^0.25))*General_Model!$D$7/(General_Model!$D$4/1000)+2)*(General_Model!$D$26/A821))</f>
        <v>-0.27618122115527954</v>
      </c>
      <c r="C821" s="13">
        <f t="shared" si="12"/>
        <v>0</v>
      </c>
    </row>
    <row r="822" spans="1:3" x14ac:dyDescent="0.25">
      <c r="A822" s="11">
        <v>0.82000000000000006</v>
      </c>
      <c r="B822" s="12">
        <f>(General_Model!$D$6/General_Model!$D$7)-1/(1+General_Model!$D$26/((1.2+0.2*(General_Model!$D$26/A822)+0.35*SQRT(9.80665*(General_Model!$D$4/1000))/A822)*A822))-(A822^2/(2*9.80665*General_Model!$D$7))*((4*(0.3164/((General_Model!$D$14*A822*(General_Model!$D$4/1000)/General_Model!$D$15)^0.25))*General_Model!$D$7/(General_Model!$D$4/1000)+1)+(4*(0.3164/((General_Model!$D$14*A822*(General_Model!$D$4/1000)/General_Model!$D$15)^0.25))*General_Model!$D$7/(General_Model!$D$4/1000)+2)*(General_Model!$D$26/A822))</f>
        <v>-0.27664875845093639</v>
      </c>
      <c r="C822" s="13">
        <f t="shared" si="12"/>
        <v>0</v>
      </c>
    </row>
    <row r="823" spans="1:3" x14ac:dyDescent="0.25">
      <c r="A823" s="11">
        <v>0.82100000000000006</v>
      </c>
      <c r="B823" s="12">
        <f>(General_Model!$D$6/General_Model!$D$7)-1/(1+General_Model!$D$26/((1.2+0.2*(General_Model!$D$26/A823)+0.35*SQRT(9.80665*(General_Model!$D$4/1000))/A823)*A823))-(A823^2/(2*9.80665*General_Model!$D$7))*((4*(0.3164/((General_Model!$D$14*A823*(General_Model!$D$4/1000)/General_Model!$D$15)^0.25))*General_Model!$D$7/(General_Model!$D$4/1000)+1)+(4*(0.3164/((General_Model!$D$14*A823*(General_Model!$D$4/1000)/General_Model!$D$15)^0.25))*General_Model!$D$7/(General_Model!$D$4/1000)+2)*(General_Model!$D$26/A823))</f>
        <v>-0.27711625954249608</v>
      </c>
      <c r="C823" s="13">
        <f t="shared" si="12"/>
        <v>0</v>
      </c>
    </row>
    <row r="824" spans="1:3" x14ac:dyDescent="0.25">
      <c r="A824" s="11">
        <v>0.82200000000000006</v>
      </c>
      <c r="B824" s="12">
        <f>(General_Model!$D$6/General_Model!$D$7)-1/(1+General_Model!$D$26/((1.2+0.2*(General_Model!$D$26/A824)+0.35*SQRT(9.80665*(General_Model!$D$4/1000))/A824)*A824))-(A824^2/(2*9.80665*General_Model!$D$7))*((4*(0.3164/((General_Model!$D$14*A824*(General_Model!$D$4/1000)/General_Model!$D$15)^0.25))*General_Model!$D$7/(General_Model!$D$4/1000)+1)+(4*(0.3164/((General_Model!$D$14*A824*(General_Model!$D$4/1000)/General_Model!$D$15)^0.25))*General_Model!$D$7/(General_Model!$D$4/1000)+2)*(General_Model!$D$26/A824))</f>
        <v>-0.27758372484672106</v>
      </c>
      <c r="C824" s="13">
        <f t="shared" si="12"/>
        <v>0</v>
      </c>
    </row>
    <row r="825" spans="1:3" x14ac:dyDescent="0.25">
      <c r="A825" s="11">
        <v>0.82300000000000006</v>
      </c>
      <c r="B825" s="12">
        <f>(General_Model!$D$6/General_Model!$D$7)-1/(1+General_Model!$D$26/((1.2+0.2*(General_Model!$D$26/A825)+0.35*SQRT(9.80665*(General_Model!$D$4/1000))/A825)*A825))-(A825^2/(2*9.80665*General_Model!$D$7))*((4*(0.3164/((General_Model!$D$14*A825*(General_Model!$D$4/1000)/General_Model!$D$15)^0.25))*General_Model!$D$7/(General_Model!$D$4/1000)+1)+(4*(0.3164/((General_Model!$D$14*A825*(General_Model!$D$4/1000)/General_Model!$D$15)^0.25))*General_Model!$D$7/(General_Model!$D$4/1000)+2)*(General_Model!$D$26/A825))</f>
        <v>-0.27805115477929493</v>
      </c>
      <c r="C825" s="13">
        <f t="shared" si="12"/>
        <v>0</v>
      </c>
    </row>
    <row r="826" spans="1:3" x14ac:dyDescent="0.25">
      <c r="A826" s="11">
        <v>0.82400000000000007</v>
      </c>
      <c r="B826" s="12">
        <f>(General_Model!$D$6/General_Model!$D$7)-1/(1+General_Model!$D$26/((1.2+0.2*(General_Model!$D$26/A826)+0.35*SQRT(9.80665*(General_Model!$D$4/1000))/A826)*A826))-(A826^2/(2*9.80665*General_Model!$D$7))*((4*(0.3164/((General_Model!$D$14*A826*(General_Model!$D$4/1000)/General_Model!$D$15)^0.25))*General_Model!$D$7/(General_Model!$D$4/1000)+1)+(4*(0.3164/((General_Model!$D$14*A826*(General_Model!$D$4/1000)/General_Model!$D$15)^0.25))*General_Model!$D$7/(General_Model!$D$4/1000)+2)*(General_Model!$D$26/A826))</f>
        <v>-0.27851854975482637</v>
      </c>
      <c r="C826" s="13">
        <f t="shared" si="12"/>
        <v>0</v>
      </c>
    </row>
    <row r="827" spans="1:3" x14ac:dyDescent="0.25">
      <c r="A827" s="11">
        <v>0.82500000000000007</v>
      </c>
      <c r="B827" s="12">
        <f>(General_Model!$D$6/General_Model!$D$7)-1/(1+General_Model!$D$26/((1.2+0.2*(General_Model!$D$26/A827)+0.35*SQRT(9.80665*(General_Model!$D$4/1000))/A827)*A827))-(A827^2/(2*9.80665*General_Model!$D$7))*((4*(0.3164/((General_Model!$D$14*A827*(General_Model!$D$4/1000)/General_Model!$D$15)^0.25))*General_Model!$D$7/(General_Model!$D$4/1000)+1)+(4*(0.3164/((General_Model!$D$14*A827*(General_Model!$D$4/1000)/General_Model!$D$15)^0.25))*General_Model!$D$7/(General_Model!$D$4/1000)+2)*(General_Model!$D$26/A827))</f>
        <v>-0.27898591018685187</v>
      </c>
      <c r="C827" s="13">
        <f t="shared" si="12"/>
        <v>0</v>
      </c>
    </row>
    <row r="828" spans="1:3" x14ac:dyDescent="0.25">
      <c r="A828" s="11">
        <v>0.82600000000000007</v>
      </c>
      <c r="B828" s="12">
        <f>(General_Model!$D$6/General_Model!$D$7)-1/(1+General_Model!$D$26/((1.2+0.2*(General_Model!$D$26/A828)+0.35*SQRT(9.80665*(General_Model!$D$4/1000))/A828)*A828))-(A828^2/(2*9.80665*General_Model!$D$7))*((4*(0.3164/((General_Model!$D$14*A828*(General_Model!$D$4/1000)/General_Model!$D$15)^0.25))*General_Model!$D$7/(General_Model!$D$4/1000)+1)+(4*(0.3164/((General_Model!$D$14*A828*(General_Model!$D$4/1000)/General_Model!$D$15)^0.25))*General_Model!$D$7/(General_Model!$D$4/1000)+2)*(General_Model!$D$26/A828))</f>
        <v>-0.27945323648784048</v>
      </c>
      <c r="C828" s="13">
        <f t="shared" si="12"/>
        <v>0</v>
      </c>
    </row>
    <row r="829" spans="1:3" x14ac:dyDescent="0.25">
      <c r="A829" s="11">
        <v>0.82700000000000007</v>
      </c>
      <c r="B829" s="12">
        <f>(General_Model!$D$6/General_Model!$D$7)-1/(1+General_Model!$D$26/((1.2+0.2*(General_Model!$D$26/A829)+0.35*SQRT(9.80665*(General_Model!$D$4/1000))/A829)*A829))-(A829^2/(2*9.80665*General_Model!$D$7))*((4*(0.3164/((General_Model!$D$14*A829*(General_Model!$D$4/1000)/General_Model!$D$15)^0.25))*General_Model!$D$7/(General_Model!$D$4/1000)+1)+(4*(0.3164/((General_Model!$D$14*A829*(General_Model!$D$4/1000)/General_Model!$D$15)^0.25))*General_Model!$D$7/(General_Model!$D$4/1000)+2)*(General_Model!$D$26/A829))</f>
        <v>-0.2799205290691959</v>
      </c>
      <c r="C829" s="13">
        <f t="shared" si="12"/>
        <v>0</v>
      </c>
    </row>
    <row r="830" spans="1:3" x14ac:dyDescent="0.25">
      <c r="A830" s="11">
        <v>0.82800000000000007</v>
      </c>
      <c r="B830" s="12">
        <f>(General_Model!$D$6/General_Model!$D$7)-1/(1+General_Model!$D$26/((1.2+0.2*(General_Model!$D$26/A830)+0.35*SQRT(9.80665*(General_Model!$D$4/1000))/A830)*A830))-(A830^2/(2*9.80665*General_Model!$D$7))*((4*(0.3164/((General_Model!$D$14*A830*(General_Model!$D$4/1000)/General_Model!$D$15)^0.25))*General_Model!$D$7/(General_Model!$D$4/1000)+1)+(4*(0.3164/((General_Model!$D$14*A830*(General_Model!$D$4/1000)/General_Model!$D$15)^0.25))*General_Model!$D$7/(General_Model!$D$4/1000)+2)*(General_Model!$D$26/A830))</f>
        <v>-0.28038778834126044</v>
      </c>
      <c r="C830" s="13">
        <f t="shared" si="12"/>
        <v>0</v>
      </c>
    </row>
    <row r="831" spans="1:3" x14ac:dyDescent="0.25">
      <c r="A831" s="11">
        <v>0.82900000000000007</v>
      </c>
      <c r="B831" s="12">
        <f>(General_Model!$D$6/General_Model!$D$7)-1/(1+General_Model!$D$26/((1.2+0.2*(General_Model!$D$26/A831)+0.35*SQRT(9.80665*(General_Model!$D$4/1000))/A831)*A831))-(A831^2/(2*9.80665*General_Model!$D$7))*((4*(0.3164/((General_Model!$D$14*A831*(General_Model!$D$4/1000)/General_Model!$D$15)^0.25))*General_Model!$D$7/(General_Model!$D$4/1000)+1)+(4*(0.3164/((General_Model!$D$14*A831*(General_Model!$D$4/1000)/General_Model!$D$15)^0.25))*General_Model!$D$7/(General_Model!$D$4/1000)+2)*(General_Model!$D$26/A831))</f>
        <v>-0.28085501471331831</v>
      </c>
      <c r="C831" s="13">
        <f t="shared" si="12"/>
        <v>0</v>
      </c>
    </row>
    <row r="832" spans="1:3" x14ac:dyDescent="0.25">
      <c r="A832" s="11">
        <v>0.83000000000000007</v>
      </c>
      <c r="B832" s="12">
        <f>(General_Model!$D$6/General_Model!$D$7)-1/(1+General_Model!$D$26/((1.2+0.2*(General_Model!$D$26/A832)+0.35*SQRT(9.80665*(General_Model!$D$4/1000))/A832)*A832))-(A832^2/(2*9.80665*General_Model!$D$7))*((4*(0.3164/((General_Model!$D$14*A832*(General_Model!$D$4/1000)/General_Model!$D$15)^0.25))*General_Model!$D$7/(General_Model!$D$4/1000)+1)+(4*(0.3164/((General_Model!$D$14*A832*(General_Model!$D$4/1000)/General_Model!$D$15)^0.25))*General_Model!$D$7/(General_Model!$D$4/1000)+2)*(General_Model!$D$26/A832))</f>
        <v>-0.28132220859359885</v>
      </c>
      <c r="C832" s="13">
        <f t="shared" si="12"/>
        <v>0</v>
      </c>
    </row>
    <row r="833" spans="1:3" x14ac:dyDescent="0.25">
      <c r="A833" s="11">
        <v>0.83100000000000007</v>
      </c>
      <c r="B833" s="12">
        <f>(General_Model!$D$6/General_Model!$D$7)-1/(1+General_Model!$D$26/((1.2+0.2*(General_Model!$D$26/A833)+0.35*SQRT(9.80665*(General_Model!$D$4/1000))/A833)*A833))-(A833^2/(2*9.80665*General_Model!$D$7))*((4*(0.3164/((General_Model!$D$14*A833*(General_Model!$D$4/1000)/General_Model!$D$15)^0.25))*General_Model!$D$7/(General_Model!$D$4/1000)+1)+(4*(0.3164/((General_Model!$D$14*A833*(General_Model!$D$4/1000)/General_Model!$D$15)^0.25))*General_Model!$D$7/(General_Model!$D$4/1000)+2)*(General_Model!$D$26/A833))</f>
        <v>-0.28178937038928037</v>
      </c>
      <c r="C833" s="13">
        <f t="shared" si="12"/>
        <v>0</v>
      </c>
    </row>
    <row r="834" spans="1:3" x14ac:dyDescent="0.25">
      <c r="A834" s="11">
        <v>0.83200000000000007</v>
      </c>
      <c r="B834" s="12">
        <f>(General_Model!$D$6/General_Model!$D$7)-1/(1+General_Model!$D$26/((1.2+0.2*(General_Model!$D$26/A834)+0.35*SQRT(9.80665*(General_Model!$D$4/1000))/A834)*A834))-(A834^2/(2*9.80665*General_Model!$D$7))*((4*(0.3164/((General_Model!$D$14*A834*(General_Model!$D$4/1000)/General_Model!$D$15)^0.25))*General_Model!$D$7/(General_Model!$D$4/1000)+1)+(4*(0.3164/((General_Model!$D$14*A834*(General_Model!$D$4/1000)/General_Model!$D$15)^0.25))*General_Model!$D$7/(General_Model!$D$4/1000)+2)*(General_Model!$D$26/A834))</f>
        <v>-0.2822565005064927</v>
      </c>
      <c r="C834" s="13">
        <f t="shared" si="12"/>
        <v>0</v>
      </c>
    </row>
    <row r="835" spans="1:3" x14ac:dyDescent="0.25">
      <c r="A835" s="11">
        <v>0.83300000000000007</v>
      </c>
      <c r="B835" s="12">
        <f>(General_Model!$D$6/General_Model!$D$7)-1/(1+General_Model!$D$26/((1.2+0.2*(General_Model!$D$26/A835)+0.35*SQRT(9.80665*(General_Model!$D$4/1000))/A835)*A835))-(A835^2/(2*9.80665*General_Model!$D$7))*((4*(0.3164/((General_Model!$D$14*A835*(General_Model!$D$4/1000)/General_Model!$D$15)^0.25))*General_Model!$D$7/(General_Model!$D$4/1000)+1)+(4*(0.3164/((General_Model!$D$14*A835*(General_Model!$D$4/1000)/General_Model!$D$15)^0.25))*General_Model!$D$7/(General_Model!$D$4/1000)+2)*(General_Model!$D$26/A835))</f>
        <v>-0.28272359935032093</v>
      </c>
      <c r="C835" s="13">
        <f t="shared" ref="C835:C898" si="13">IF(B835*B836&lt;=0,1,0)</f>
        <v>0</v>
      </c>
    </row>
    <row r="836" spans="1:3" x14ac:dyDescent="0.25">
      <c r="A836" s="11">
        <v>0.83399999999999996</v>
      </c>
      <c r="B836" s="12">
        <f>(General_Model!$D$6/General_Model!$D$7)-1/(1+General_Model!$D$26/((1.2+0.2*(General_Model!$D$26/A836)+0.35*SQRT(9.80665*(General_Model!$D$4/1000))/A836)*A836))-(A836^2/(2*9.80665*General_Model!$D$7))*((4*(0.3164/((General_Model!$D$14*A836*(General_Model!$D$4/1000)/General_Model!$D$15)^0.25))*General_Model!$D$7/(General_Model!$D$4/1000)+1)+(4*(0.3164/((General_Model!$D$14*A836*(General_Model!$D$4/1000)/General_Model!$D$15)^0.25))*General_Model!$D$7/(General_Model!$D$4/1000)+2)*(General_Model!$D$26/A836))</f>
        <v>-0.2831906673248088</v>
      </c>
      <c r="C836" s="13">
        <f t="shared" si="13"/>
        <v>0</v>
      </c>
    </row>
    <row r="837" spans="1:3" x14ac:dyDescent="0.25">
      <c r="A837" s="11">
        <v>0.83499999999999996</v>
      </c>
      <c r="B837" s="12">
        <f>(General_Model!$D$6/General_Model!$D$7)-1/(1+General_Model!$D$26/((1.2+0.2*(General_Model!$D$26/A837)+0.35*SQRT(9.80665*(General_Model!$D$4/1000))/A837)*A837))-(A837^2/(2*9.80665*General_Model!$D$7))*((4*(0.3164/((General_Model!$D$14*A837*(General_Model!$D$4/1000)/General_Model!$D$15)^0.25))*General_Model!$D$7/(General_Model!$D$4/1000)+1)+(4*(0.3164/((General_Model!$D$14*A837*(General_Model!$D$4/1000)/General_Model!$D$15)^0.25))*General_Model!$D$7/(General_Model!$D$4/1000)+2)*(General_Model!$D$26/A837))</f>
        <v>-0.28365770483296193</v>
      </c>
      <c r="C837" s="13">
        <f t="shared" si="13"/>
        <v>0</v>
      </c>
    </row>
    <row r="838" spans="1:3" x14ac:dyDescent="0.25">
      <c r="A838" s="11">
        <v>0.83599999999999997</v>
      </c>
      <c r="B838" s="12">
        <f>(General_Model!$D$6/General_Model!$D$7)-1/(1+General_Model!$D$26/((1.2+0.2*(General_Model!$D$26/A838)+0.35*SQRT(9.80665*(General_Model!$D$4/1000))/A838)*A838))-(A838^2/(2*9.80665*General_Model!$D$7))*((4*(0.3164/((General_Model!$D$14*A838*(General_Model!$D$4/1000)/General_Model!$D$15)^0.25))*General_Model!$D$7/(General_Model!$D$4/1000)+1)+(4*(0.3164/((General_Model!$D$14*A838*(General_Model!$D$4/1000)/General_Model!$D$15)^0.25))*General_Model!$D$7/(General_Model!$D$4/1000)+2)*(General_Model!$D$26/A838))</f>
        <v>-0.28412471227675051</v>
      </c>
      <c r="C838" s="13">
        <f t="shared" si="13"/>
        <v>0</v>
      </c>
    </row>
    <row r="839" spans="1:3" x14ac:dyDescent="0.25">
      <c r="A839" s="11">
        <v>0.83699999999999997</v>
      </c>
      <c r="B839" s="12">
        <f>(General_Model!$D$6/General_Model!$D$7)-1/(1+General_Model!$D$26/((1.2+0.2*(General_Model!$D$26/A839)+0.35*SQRT(9.80665*(General_Model!$D$4/1000))/A839)*A839))-(A839^2/(2*9.80665*General_Model!$D$7))*((4*(0.3164/((General_Model!$D$14*A839*(General_Model!$D$4/1000)/General_Model!$D$15)^0.25))*General_Model!$D$7/(General_Model!$D$4/1000)+1)+(4*(0.3164/((General_Model!$D$14*A839*(General_Model!$D$4/1000)/General_Model!$D$15)^0.25))*General_Model!$D$7/(General_Model!$D$4/1000)+2)*(General_Model!$D$26/A839))</f>
        <v>-0.28459169005711393</v>
      </c>
      <c r="C839" s="13">
        <f t="shared" si="13"/>
        <v>0</v>
      </c>
    </row>
    <row r="840" spans="1:3" x14ac:dyDescent="0.25">
      <c r="A840" s="11">
        <v>0.83799999999999997</v>
      </c>
      <c r="B840" s="12">
        <f>(General_Model!$D$6/General_Model!$D$7)-1/(1+General_Model!$D$26/((1.2+0.2*(General_Model!$D$26/A840)+0.35*SQRT(9.80665*(General_Model!$D$4/1000))/A840)*A840))-(A840^2/(2*9.80665*General_Model!$D$7))*((4*(0.3164/((General_Model!$D$14*A840*(General_Model!$D$4/1000)/General_Model!$D$15)^0.25))*General_Model!$D$7/(General_Model!$D$4/1000)+1)+(4*(0.3164/((General_Model!$D$14*A840*(General_Model!$D$4/1000)/General_Model!$D$15)^0.25))*General_Model!$D$7/(General_Model!$D$4/1000)+2)*(General_Model!$D$26/A840))</f>
        <v>-0.28505863857396246</v>
      </c>
      <c r="C840" s="13">
        <f t="shared" si="13"/>
        <v>0</v>
      </c>
    </row>
    <row r="841" spans="1:3" x14ac:dyDescent="0.25">
      <c r="A841" s="11">
        <v>0.83899999999999997</v>
      </c>
      <c r="B841" s="12">
        <f>(General_Model!$D$6/General_Model!$D$7)-1/(1+General_Model!$D$26/((1.2+0.2*(General_Model!$D$26/A841)+0.35*SQRT(9.80665*(General_Model!$D$4/1000))/A841)*A841))-(A841^2/(2*9.80665*General_Model!$D$7))*((4*(0.3164/((General_Model!$D$14*A841*(General_Model!$D$4/1000)/General_Model!$D$15)^0.25))*General_Model!$D$7/(General_Model!$D$4/1000)+1)+(4*(0.3164/((General_Model!$D$14*A841*(General_Model!$D$4/1000)/General_Model!$D$15)^0.25))*General_Model!$D$7/(General_Model!$D$4/1000)+2)*(General_Model!$D$26/A841))</f>
        <v>-0.2855255582261812</v>
      </c>
      <c r="C841" s="13">
        <f t="shared" si="13"/>
        <v>0</v>
      </c>
    </row>
    <row r="842" spans="1:3" x14ac:dyDescent="0.25">
      <c r="A842" s="11">
        <v>0.84</v>
      </c>
      <c r="B842" s="12">
        <f>(General_Model!$D$6/General_Model!$D$7)-1/(1+General_Model!$D$26/((1.2+0.2*(General_Model!$D$26/A842)+0.35*SQRT(9.80665*(General_Model!$D$4/1000))/A842)*A842))-(A842^2/(2*9.80665*General_Model!$D$7))*((4*(0.3164/((General_Model!$D$14*A842*(General_Model!$D$4/1000)/General_Model!$D$15)^0.25))*General_Model!$D$7/(General_Model!$D$4/1000)+1)+(4*(0.3164/((General_Model!$D$14*A842*(General_Model!$D$4/1000)/General_Model!$D$15)^0.25))*General_Model!$D$7/(General_Model!$D$4/1000)+2)*(General_Model!$D$26/A842))</f>
        <v>-0.28599244941163404</v>
      </c>
      <c r="C842" s="13">
        <f t="shared" si="13"/>
        <v>0</v>
      </c>
    </row>
    <row r="843" spans="1:3" x14ac:dyDescent="0.25">
      <c r="A843" s="11">
        <v>0.84099999999999997</v>
      </c>
      <c r="B843" s="12">
        <f>(General_Model!$D$6/General_Model!$D$7)-1/(1+General_Model!$D$26/((1.2+0.2*(General_Model!$D$26/A843)+0.35*SQRT(9.80665*(General_Model!$D$4/1000))/A843)*A843))-(A843^2/(2*9.80665*General_Model!$D$7))*((4*(0.3164/((General_Model!$D$14*A843*(General_Model!$D$4/1000)/General_Model!$D$15)^0.25))*General_Model!$D$7/(General_Model!$D$4/1000)+1)+(4*(0.3164/((General_Model!$D$14*A843*(General_Model!$D$4/1000)/General_Model!$D$15)^0.25))*General_Model!$D$7/(General_Model!$D$4/1000)+2)*(General_Model!$D$26/A843))</f>
        <v>-0.28645931252716539</v>
      </c>
      <c r="C843" s="13">
        <f t="shared" si="13"/>
        <v>0</v>
      </c>
    </row>
    <row r="844" spans="1:3" x14ac:dyDescent="0.25">
      <c r="A844" s="11">
        <v>0.84199999999999997</v>
      </c>
      <c r="B844" s="12">
        <f>(General_Model!$D$6/General_Model!$D$7)-1/(1+General_Model!$D$26/((1.2+0.2*(General_Model!$D$26/A844)+0.35*SQRT(9.80665*(General_Model!$D$4/1000))/A844)*A844))-(A844^2/(2*9.80665*General_Model!$D$7))*((4*(0.3164/((General_Model!$D$14*A844*(General_Model!$D$4/1000)/General_Model!$D$15)^0.25))*General_Model!$D$7/(General_Model!$D$4/1000)+1)+(4*(0.3164/((General_Model!$D$14*A844*(General_Model!$D$4/1000)/General_Model!$D$15)^0.25))*General_Model!$D$7/(General_Model!$D$4/1000)+2)*(General_Model!$D$26/A844))</f>
        <v>-0.28692614796860438</v>
      </c>
      <c r="C844" s="13">
        <f t="shared" si="13"/>
        <v>0</v>
      </c>
    </row>
    <row r="845" spans="1:3" x14ac:dyDescent="0.25">
      <c r="A845" s="11">
        <v>0.84299999999999997</v>
      </c>
      <c r="B845" s="12">
        <f>(General_Model!$D$6/General_Model!$D$7)-1/(1+General_Model!$D$26/((1.2+0.2*(General_Model!$D$26/A845)+0.35*SQRT(9.80665*(General_Model!$D$4/1000))/A845)*A845))-(A845^2/(2*9.80665*General_Model!$D$7))*((4*(0.3164/((General_Model!$D$14*A845*(General_Model!$D$4/1000)/General_Model!$D$15)^0.25))*General_Model!$D$7/(General_Model!$D$4/1000)+1)+(4*(0.3164/((General_Model!$D$14*A845*(General_Model!$D$4/1000)/General_Model!$D$15)^0.25))*General_Model!$D$7/(General_Model!$D$4/1000)+2)*(General_Model!$D$26/A845))</f>
        <v>-0.28739295613076798</v>
      </c>
      <c r="C845" s="13">
        <f t="shared" si="13"/>
        <v>0</v>
      </c>
    </row>
    <row r="846" spans="1:3" x14ac:dyDescent="0.25">
      <c r="A846" s="11">
        <v>0.84399999999999997</v>
      </c>
      <c r="B846" s="12">
        <f>(General_Model!$D$6/General_Model!$D$7)-1/(1+General_Model!$D$26/((1.2+0.2*(General_Model!$D$26/A846)+0.35*SQRT(9.80665*(General_Model!$D$4/1000))/A846)*A846))-(A846^2/(2*9.80665*General_Model!$D$7))*((4*(0.3164/((General_Model!$D$14*A846*(General_Model!$D$4/1000)/General_Model!$D$15)^0.25))*General_Model!$D$7/(General_Model!$D$4/1000)+1)+(4*(0.3164/((General_Model!$D$14*A846*(General_Model!$D$4/1000)/General_Model!$D$15)^0.25))*General_Model!$D$7/(General_Model!$D$4/1000)+2)*(General_Model!$D$26/A846))</f>
        <v>-0.28785973740746384</v>
      </c>
      <c r="C846" s="13">
        <f t="shared" si="13"/>
        <v>0</v>
      </c>
    </row>
    <row r="847" spans="1:3" x14ac:dyDescent="0.25">
      <c r="A847" s="11">
        <v>0.84499999999999997</v>
      </c>
      <c r="B847" s="12">
        <f>(General_Model!$D$6/General_Model!$D$7)-1/(1+General_Model!$D$26/((1.2+0.2*(General_Model!$D$26/A847)+0.35*SQRT(9.80665*(General_Model!$D$4/1000))/A847)*A847))-(A847^2/(2*9.80665*General_Model!$D$7))*((4*(0.3164/((General_Model!$D$14*A847*(General_Model!$D$4/1000)/General_Model!$D$15)^0.25))*General_Model!$D$7/(General_Model!$D$4/1000)+1)+(4*(0.3164/((General_Model!$D$14*A847*(General_Model!$D$4/1000)/General_Model!$D$15)^0.25))*General_Model!$D$7/(General_Model!$D$4/1000)+2)*(General_Model!$D$26/A847))</f>
        <v>-0.28832649219149364</v>
      </c>
      <c r="C847" s="13">
        <f t="shared" si="13"/>
        <v>0</v>
      </c>
    </row>
    <row r="848" spans="1:3" x14ac:dyDescent="0.25">
      <c r="A848" s="11">
        <v>0.84599999999999997</v>
      </c>
      <c r="B848" s="12">
        <f>(General_Model!$D$6/General_Model!$D$7)-1/(1+General_Model!$D$26/((1.2+0.2*(General_Model!$D$26/A848)+0.35*SQRT(9.80665*(General_Model!$D$4/1000))/A848)*A848))-(A848^2/(2*9.80665*General_Model!$D$7))*((4*(0.3164/((General_Model!$D$14*A848*(General_Model!$D$4/1000)/General_Model!$D$15)^0.25))*General_Model!$D$7/(General_Model!$D$4/1000)+1)+(4*(0.3164/((General_Model!$D$14*A848*(General_Model!$D$4/1000)/General_Model!$D$15)^0.25))*General_Model!$D$7/(General_Model!$D$4/1000)+2)*(General_Model!$D$26/A848))</f>
        <v>-0.28879322087465609</v>
      </c>
      <c r="C848" s="13">
        <f t="shared" si="13"/>
        <v>0</v>
      </c>
    </row>
    <row r="849" spans="1:3" x14ac:dyDescent="0.25">
      <c r="A849" s="11">
        <v>0.84699999999999998</v>
      </c>
      <c r="B849" s="12">
        <f>(General_Model!$D$6/General_Model!$D$7)-1/(1+General_Model!$D$26/((1.2+0.2*(General_Model!$D$26/A849)+0.35*SQRT(9.80665*(General_Model!$D$4/1000))/A849)*A849))-(A849^2/(2*9.80665*General_Model!$D$7))*((4*(0.3164/((General_Model!$D$14*A849*(General_Model!$D$4/1000)/General_Model!$D$15)^0.25))*General_Model!$D$7/(General_Model!$D$4/1000)+1)+(4*(0.3164/((General_Model!$D$14*A849*(General_Model!$D$4/1000)/General_Model!$D$15)^0.25))*General_Model!$D$7/(General_Model!$D$4/1000)+2)*(General_Model!$D$26/A849))</f>
        <v>-0.28925992384775057</v>
      </c>
      <c r="C849" s="13">
        <f t="shared" si="13"/>
        <v>0</v>
      </c>
    </row>
    <row r="850" spans="1:3" x14ac:dyDescent="0.25">
      <c r="A850" s="11">
        <v>0.84799999999999998</v>
      </c>
      <c r="B850" s="12">
        <f>(General_Model!$D$6/General_Model!$D$7)-1/(1+General_Model!$D$26/((1.2+0.2*(General_Model!$D$26/A850)+0.35*SQRT(9.80665*(General_Model!$D$4/1000))/A850)*A850))-(A850^2/(2*9.80665*General_Model!$D$7))*((4*(0.3164/((General_Model!$D$14*A850*(General_Model!$D$4/1000)/General_Model!$D$15)^0.25))*General_Model!$D$7/(General_Model!$D$4/1000)+1)+(4*(0.3164/((General_Model!$D$14*A850*(General_Model!$D$4/1000)/General_Model!$D$15)^0.25))*General_Model!$D$7/(General_Model!$D$4/1000)+2)*(General_Model!$D$26/A850))</f>
        <v>-0.28972660150057949</v>
      </c>
      <c r="C850" s="13">
        <f t="shared" si="13"/>
        <v>0</v>
      </c>
    </row>
    <row r="851" spans="1:3" x14ac:dyDescent="0.25">
      <c r="A851" s="11">
        <v>0.84899999999999998</v>
      </c>
      <c r="B851" s="12">
        <f>(General_Model!$D$6/General_Model!$D$7)-1/(1+General_Model!$D$26/((1.2+0.2*(General_Model!$D$26/A851)+0.35*SQRT(9.80665*(General_Model!$D$4/1000))/A851)*A851))-(A851^2/(2*9.80665*General_Model!$D$7))*((4*(0.3164/((General_Model!$D$14*A851*(General_Model!$D$4/1000)/General_Model!$D$15)^0.25))*General_Model!$D$7/(General_Model!$D$4/1000)+1)+(4*(0.3164/((General_Model!$D$14*A851*(General_Model!$D$4/1000)/General_Model!$D$15)^0.25))*General_Model!$D$7/(General_Model!$D$4/1000)+2)*(General_Model!$D$26/A851))</f>
        <v>-0.29019325422195236</v>
      </c>
      <c r="C851" s="13">
        <f t="shared" si="13"/>
        <v>0</v>
      </c>
    </row>
    <row r="852" spans="1:3" x14ac:dyDescent="0.25">
      <c r="A852" s="11">
        <v>0.85</v>
      </c>
      <c r="B852" s="12">
        <f>(General_Model!$D$6/General_Model!$D$7)-1/(1+General_Model!$D$26/((1.2+0.2*(General_Model!$D$26/A852)+0.35*SQRT(9.80665*(General_Model!$D$4/1000))/A852)*A852))-(A852^2/(2*9.80665*General_Model!$D$7))*((4*(0.3164/((General_Model!$D$14*A852*(General_Model!$D$4/1000)/General_Model!$D$15)^0.25))*General_Model!$D$7/(General_Model!$D$4/1000)+1)+(4*(0.3164/((General_Model!$D$14*A852*(General_Model!$D$4/1000)/General_Model!$D$15)^0.25))*General_Model!$D$7/(General_Model!$D$4/1000)+2)*(General_Model!$D$26/A852))</f>
        <v>-0.29065988239968743</v>
      </c>
      <c r="C852" s="13">
        <f t="shared" si="13"/>
        <v>0</v>
      </c>
    </row>
    <row r="853" spans="1:3" x14ac:dyDescent="0.25">
      <c r="A853" s="11">
        <v>0.85099999999999998</v>
      </c>
      <c r="B853" s="12">
        <f>(General_Model!$D$6/General_Model!$D$7)-1/(1+General_Model!$D$26/((1.2+0.2*(General_Model!$D$26/A853)+0.35*SQRT(9.80665*(General_Model!$D$4/1000))/A853)*A853))-(A853^2/(2*9.80665*General_Model!$D$7))*((4*(0.3164/((General_Model!$D$14*A853*(General_Model!$D$4/1000)/General_Model!$D$15)^0.25))*General_Model!$D$7/(General_Model!$D$4/1000)+1)+(4*(0.3164/((General_Model!$D$14*A853*(General_Model!$D$4/1000)/General_Model!$D$15)^0.25))*General_Model!$D$7/(General_Model!$D$4/1000)+2)*(General_Model!$D$26/A853))</f>
        <v>-0.29112648642061689</v>
      </c>
      <c r="C853" s="13">
        <f t="shared" si="13"/>
        <v>0</v>
      </c>
    </row>
    <row r="854" spans="1:3" x14ac:dyDescent="0.25">
      <c r="A854" s="11">
        <v>0.85199999999999998</v>
      </c>
      <c r="B854" s="12">
        <f>(General_Model!$D$6/General_Model!$D$7)-1/(1+General_Model!$D$26/((1.2+0.2*(General_Model!$D$26/A854)+0.35*SQRT(9.80665*(General_Model!$D$4/1000))/A854)*A854))-(A854^2/(2*9.80665*General_Model!$D$7))*((4*(0.3164/((General_Model!$D$14*A854*(General_Model!$D$4/1000)/General_Model!$D$15)^0.25))*General_Model!$D$7/(General_Model!$D$4/1000)+1)+(4*(0.3164/((General_Model!$D$14*A854*(General_Model!$D$4/1000)/General_Model!$D$15)^0.25))*General_Model!$D$7/(General_Model!$D$4/1000)+2)*(General_Model!$D$26/A854))</f>
        <v>-0.2915930666705876</v>
      </c>
      <c r="C854" s="13">
        <f t="shared" si="13"/>
        <v>0</v>
      </c>
    </row>
    <row r="855" spans="1:3" x14ac:dyDescent="0.25">
      <c r="A855" s="11">
        <v>0.85299999999999998</v>
      </c>
      <c r="B855" s="12">
        <f>(General_Model!$D$6/General_Model!$D$7)-1/(1+General_Model!$D$26/((1.2+0.2*(General_Model!$D$26/A855)+0.35*SQRT(9.80665*(General_Model!$D$4/1000))/A855)*A855))-(A855^2/(2*9.80665*General_Model!$D$7))*((4*(0.3164/((General_Model!$D$14*A855*(General_Model!$D$4/1000)/General_Model!$D$15)^0.25))*General_Model!$D$7/(General_Model!$D$4/1000)+1)+(4*(0.3164/((General_Model!$D$14*A855*(General_Model!$D$4/1000)/General_Model!$D$15)^0.25))*General_Model!$D$7/(General_Model!$D$4/1000)+2)*(General_Model!$D$26/A855))</f>
        <v>-0.29205962353446635</v>
      </c>
      <c r="C855" s="13">
        <f t="shared" si="13"/>
        <v>0</v>
      </c>
    </row>
    <row r="856" spans="1:3" x14ac:dyDescent="0.25">
      <c r="A856" s="11">
        <v>0.85399999999999998</v>
      </c>
      <c r="B856" s="12">
        <f>(General_Model!$D$6/General_Model!$D$7)-1/(1+General_Model!$D$26/((1.2+0.2*(General_Model!$D$26/A856)+0.35*SQRT(9.80665*(General_Model!$D$4/1000))/A856)*A856))-(A856^2/(2*9.80665*General_Model!$D$7))*((4*(0.3164/((General_Model!$D$14*A856*(General_Model!$D$4/1000)/General_Model!$D$15)^0.25))*General_Model!$D$7/(General_Model!$D$4/1000)+1)+(4*(0.3164/((General_Model!$D$14*A856*(General_Model!$D$4/1000)/General_Model!$D$15)^0.25))*General_Model!$D$7/(General_Model!$D$4/1000)+2)*(General_Model!$D$26/A856))</f>
        <v>-0.2925261573961413</v>
      </c>
      <c r="C856" s="13">
        <f t="shared" si="13"/>
        <v>0</v>
      </c>
    </row>
    <row r="857" spans="1:3" x14ac:dyDescent="0.25">
      <c r="A857" s="11">
        <v>0.85499999999999998</v>
      </c>
      <c r="B857" s="12">
        <f>(General_Model!$D$6/General_Model!$D$7)-1/(1+General_Model!$D$26/((1.2+0.2*(General_Model!$D$26/A857)+0.35*SQRT(9.80665*(General_Model!$D$4/1000))/A857)*A857))-(A857^2/(2*9.80665*General_Model!$D$7))*((4*(0.3164/((General_Model!$D$14*A857*(General_Model!$D$4/1000)/General_Model!$D$15)^0.25))*General_Model!$D$7/(General_Model!$D$4/1000)+1)+(4*(0.3164/((General_Model!$D$14*A857*(General_Model!$D$4/1000)/General_Model!$D$15)^0.25))*General_Model!$D$7/(General_Model!$D$4/1000)+2)*(General_Model!$D$26/A857))</f>
        <v>-0.2929926686385258</v>
      </c>
      <c r="C857" s="13">
        <f t="shared" si="13"/>
        <v>0</v>
      </c>
    </row>
    <row r="858" spans="1:3" x14ac:dyDescent="0.25">
      <c r="A858" s="11">
        <v>0.85599999999999998</v>
      </c>
      <c r="B858" s="12">
        <f>(General_Model!$D$6/General_Model!$D$7)-1/(1+General_Model!$D$26/((1.2+0.2*(General_Model!$D$26/A858)+0.35*SQRT(9.80665*(General_Model!$D$4/1000))/A858)*A858))-(A858^2/(2*9.80665*General_Model!$D$7))*((4*(0.3164/((General_Model!$D$14*A858*(General_Model!$D$4/1000)/General_Model!$D$15)^0.25))*General_Model!$D$7/(General_Model!$D$4/1000)+1)+(4*(0.3164/((General_Model!$D$14*A858*(General_Model!$D$4/1000)/General_Model!$D$15)^0.25))*General_Model!$D$7/(General_Model!$D$4/1000)+2)*(General_Model!$D$26/A858))</f>
        <v>-0.29345915764356123</v>
      </c>
      <c r="C858" s="13">
        <f t="shared" si="13"/>
        <v>0</v>
      </c>
    </row>
    <row r="859" spans="1:3" x14ac:dyDescent="0.25">
      <c r="A859" s="11">
        <v>0.85699999999999998</v>
      </c>
      <c r="B859" s="12">
        <f>(General_Model!$D$6/General_Model!$D$7)-1/(1+General_Model!$D$26/((1.2+0.2*(General_Model!$D$26/A859)+0.35*SQRT(9.80665*(General_Model!$D$4/1000))/A859)*A859))-(A859^2/(2*9.80665*General_Model!$D$7))*((4*(0.3164/((General_Model!$D$14*A859*(General_Model!$D$4/1000)/General_Model!$D$15)^0.25))*General_Model!$D$7/(General_Model!$D$4/1000)+1)+(4*(0.3164/((General_Model!$D$14*A859*(General_Model!$D$4/1000)/General_Model!$D$15)^0.25))*General_Model!$D$7/(General_Model!$D$4/1000)+2)*(General_Model!$D$26/A859))</f>
        <v>-0.29392562479222029</v>
      </c>
      <c r="C859" s="13">
        <f t="shared" si="13"/>
        <v>0</v>
      </c>
    </row>
    <row r="860" spans="1:3" x14ac:dyDescent="0.25">
      <c r="A860" s="11">
        <v>0.85799999999999998</v>
      </c>
      <c r="B860" s="12">
        <f>(General_Model!$D$6/General_Model!$D$7)-1/(1+General_Model!$D$26/((1.2+0.2*(General_Model!$D$26/A860)+0.35*SQRT(9.80665*(General_Model!$D$4/1000))/A860)*A860))-(A860^2/(2*9.80665*General_Model!$D$7))*((4*(0.3164/((General_Model!$D$14*A860*(General_Model!$D$4/1000)/General_Model!$D$15)^0.25))*General_Model!$D$7/(General_Model!$D$4/1000)+1)+(4*(0.3164/((General_Model!$D$14*A860*(General_Model!$D$4/1000)/General_Model!$D$15)^0.25))*General_Model!$D$7/(General_Model!$D$4/1000)+2)*(General_Model!$D$26/A860))</f>
        <v>-0.29439207046450944</v>
      </c>
      <c r="C860" s="13">
        <f t="shared" si="13"/>
        <v>0</v>
      </c>
    </row>
    <row r="861" spans="1:3" x14ac:dyDescent="0.25">
      <c r="A861" s="11">
        <v>0.85899999999999999</v>
      </c>
      <c r="B861" s="12">
        <f>(General_Model!$D$6/General_Model!$D$7)-1/(1+General_Model!$D$26/((1.2+0.2*(General_Model!$D$26/A861)+0.35*SQRT(9.80665*(General_Model!$D$4/1000))/A861)*A861))-(A861^2/(2*9.80665*General_Model!$D$7))*((4*(0.3164/((General_Model!$D$14*A861*(General_Model!$D$4/1000)/General_Model!$D$15)^0.25))*General_Model!$D$7/(General_Model!$D$4/1000)+1)+(4*(0.3164/((General_Model!$D$14*A861*(General_Model!$D$4/1000)/General_Model!$D$15)^0.25))*General_Model!$D$7/(General_Model!$D$4/1000)+2)*(General_Model!$D$26/A861))</f>
        <v>-0.29485849503947248</v>
      </c>
      <c r="C861" s="13">
        <f t="shared" si="13"/>
        <v>0</v>
      </c>
    </row>
    <row r="862" spans="1:3" x14ac:dyDescent="0.25">
      <c r="A862" s="11">
        <v>0.86</v>
      </c>
      <c r="B862" s="12">
        <f>(General_Model!$D$6/General_Model!$D$7)-1/(1+General_Model!$D$26/((1.2+0.2*(General_Model!$D$26/A862)+0.35*SQRT(9.80665*(General_Model!$D$4/1000))/A862)*A862))-(A862^2/(2*9.80665*General_Model!$D$7))*((4*(0.3164/((General_Model!$D$14*A862*(General_Model!$D$4/1000)/General_Model!$D$15)^0.25))*General_Model!$D$7/(General_Model!$D$4/1000)+1)+(4*(0.3164/((General_Model!$D$14*A862*(General_Model!$D$4/1000)/General_Model!$D$15)^0.25))*General_Model!$D$7/(General_Model!$D$4/1000)+2)*(General_Model!$D$26/A862))</f>
        <v>-0.29532489889519309</v>
      </c>
      <c r="C862" s="13">
        <f t="shared" si="13"/>
        <v>0</v>
      </c>
    </row>
    <row r="863" spans="1:3" x14ac:dyDescent="0.25">
      <c r="A863" s="11">
        <v>0.86099999999999999</v>
      </c>
      <c r="B863" s="12">
        <f>(General_Model!$D$6/General_Model!$D$7)-1/(1+General_Model!$D$26/((1.2+0.2*(General_Model!$D$26/A863)+0.35*SQRT(9.80665*(General_Model!$D$4/1000))/A863)*A863))-(A863^2/(2*9.80665*General_Model!$D$7))*((4*(0.3164/((General_Model!$D$14*A863*(General_Model!$D$4/1000)/General_Model!$D$15)^0.25))*General_Model!$D$7/(General_Model!$D$4/1000)+1)+(4*(0.3164/((General_Model!$D$14*A863*(General_Model!$D$4/1000)/General_Model!$D$15)^0.25))*General_Model!$D$7/(General_Model!$D$4/1000)+2)*(General_Model!$D$26/A863))</f>
        <v>-0.29579128240879843</v>
      </c>
      <c r="C863" s="13">
        <f t="shared" si="13"/>
        <v>0</v>
      </c>
    </row>
    <row r="864" spans="1:3" x14ac:dyDescent="0.25">
      <c r="A864" s="11">
        <v>0.86199999999999999</v>
      </c>
      <c r="B864" s="12">
        <f>(General_Model!$D$6/General_Model!$D$7)-1/(1+General_Model!$D$26/((1.2+0.2*(General_Model!$D$26/A864)+0.35*SQRT(9.80665*(General_Model!$D$4/1000))/A864)*A864))-(A864^2/(2*9.80665*General_Model!$D$7))*((4*(0.3164/((General_Model!$D$14*A864*(General_Model!$D$4/1000)/General_Model!$D$15)^0.25))*General_Model!$D$7/(General_Model!$D$4/1000)+1)+(4*(0.3164/((General_Model!$D$14*A864*(General_Model!$D$4/1000)/General_Model!$D$15)^0.25))*General_Model!$D$7/(General_Model!$D$4/1000)+2)*(General_Model!$D$26/A864))</f>
        <v>-0.29625764595646131</v>
      </c>
      <c r="C864" s="13">
        <f t="shared" si="13"/>
        <v>0</v>
      </c>
    </row>
    <row r="865" spans="1:3" x14ac:dyDescent="0.25">
      <c r="A865" s="11">
        <v>0.86299999999999999</v>
      </c>
      <c r="B865" s="12">
        <f>(General_Model!$D$6/General_Model!$D$7)-1/(1+General_Model!$D$26/((1.2+0.2*(General_Model!$D$26/A865)+0.35*SQRT(9.80665*(General_Model!$D$4/1000))/A865)*A865))-(A865^2/(2*9.80665*General_Model!$D$7))*((4*(0.3164/((General_Model!$D$14*A865*(General_Model!$D$4/1000)/General_Model!$D$15)^0.25))*General_Model!$D$7/(General_Model!$D$4/1000)+1)+(4*(0.3164/((General_Model!$D$14*A865*(General_Model!$D$4/1000)/General_Model!$D$15)^0.25))*General_Model!$D$7/(General_Model!$D$4/1000)+2)*(General_Model!$D$26/A865))</f>
        <v>-0.29672398991340376</v>
      </c>
      <c r="C865" s="13">
        <f t="shared" si="13"/>
        <v>0</v>
      </c>
    </row>
    <row r="866" spans="1:3" x14ac:dyDescent="0.25">
      <c r="A866" s="11">
        <v>0.86399999999999999</v>
      </c>
      <c r="B866" s="12">
        <f>(General_Model!$D$6/General_Model!$D$7)-1/(1+General_Model!$D$26/((1.2+0.2*(General_Model!$D$26/A866)+0.35*SQRT(9.80665*(General_Model!$D$4/1000))/A866)*A866))-(A866^2/(2*9.80665*General_Model!$D$7))*((4*(0.3164/((General_Model!$D$14*A866*(General_Model!$D$4/1000)/General_Model!$D$15)^0.25))*General_Model!$D$7/(General_Model!$D$4/1000)+1)+(4*(0.3164/((General_Model!$D$14*A866*(General_Model!$D$4/1000)/General_Model!$D$15)^0.25))*General_Model!$D$7/(General_Model!$D$4/1000)+2)*(General_Model!$D$26/A866))</f>
        <v>-0.29719031465389967</v>
      </c>
      <c r="C866" s="13">
        <f t="shared" si="13"/>
        <v>0</v>
      </c>
    </row>
    <row r="867" spans="1:3" x14ac:dyDescent="0.25">
      <c r="A867" s="11">
        <v>0.86499999999999999</v>
      </c>
      <c r="B867" s="12">
        <f>(General_Model!$D$6/General_Model!$D$7)-1/(1+General_Model!$D$26/((1.2+0.2*(General_Model!$D$26/A867)+0.35*SQRT(9.80665*(General_Model!$D$4/1000))/A867)*A867))-(A867^2/(2*9.80665*General_Model!$D$7))*((4*(0.3164/((General_Model!$D$14*A867*(General_Model!$D$4/1000)/General_Model!$D$15)^0.25))*General_Model!$D$7/(General_Model!$D$4/1000)+1)+(4*(0.3164/((General_Model!$D$14*A867*(General_Model!$D$4/1000)/General_Model!$D$15)^0.25))*General_Model!$D$7/(General_Model!$D$4/1000)+2)*(General_Model!$D$26/A867))</f>
        <v>-0.29765662055127801</v>
      </c>
      <c r="C867" s="13">
        <f t="shared" si="13"/>
        <v>0</v>
      </c>
    </row>
    <row r="868" spans="1:3" x14ac:dyDescent="0.25">
      <c r="A868" s="11">
        <v>0.86599999999999999</v>
      </c>
      <c r="B868" s="12">
        <f>(General_Model!$D$6/General_Model!$D$7)-1/(1+General_Model!$D$26/((1.2+0.2*(General_Model!$D$26/A868)+0.35*SQRT(9.80665*(General_Model!$D$4/1000))/A868)*A868))-(A868^2/(2*9.80665*General_Model!$D$7))*((4*(0.3164/((General_Model!$D$14*A868*(General_Model!$D$4/1000)/General_Model!$D$15)^0.25))*General_Model!$D$7/(General_Model!$D$4/1000)+1)+(4*(0.3164/((General_Model!$D$14*A868*(General_Model!$D$4/1000)/General_Model!$D$15)^0.25))*General_Model!$D$7/(General_Model!$D$4/1000)+2)*(General_Model!$D$26/A868))</f>
        <v>-0.2981229079779254</v>
      </c>
      <c r="C868" s="13">
        <f t="shared" si="13"/>
        <v>0</v>
      </c>
    </row>
    <row r="869" spans="1:3" x14ac:dyDescent="0.25">
      <c r="A869" s="11">
        <v>0.86699999999999999</v>
      </c>
      <c r="B869" s="12">
        <f>(General_Model!$D$6/General_Model!$D$7)-1/(1+General_Model!$D$26/((1.2+0.2*(General_Model!$D$26/A869)+0.35*SQRT(9.80665*(General_Model!$D$4/1000))/A869)*A869))-(A869^2/(2*9.80665*General_Model!$D$7))*((4*(0.3164/((General_Model!$D$14*A869*(General_Model!$D$4/1000)/General_Model!$D$15)^0.25))*General_Model!$D$7/(General_Model!$D$4/1000)+1)+(4*(0.3164/((General_Model!$D$14*A869*(General_Model!$D$4/1000)/General_Model!$D$15)^0.25))*General_Model!$D$7/(General_Model!$D$4/1000)+2)*(General_Model!$D$26/A869))</f>
        <v>-0.29858917730528933</v>
      </c>
      <c r="C869" s="13">
        <f t="shared" si="13"/>
        <v>0</v>
      </c>
    </row>
    <row r="870" spans="1:3" x14ac:dyDescent="0.25">
      <c r="A870" s="11">
        <v>0.86799999999999999</v>
      </c>
      <c r="B870" s="12">
        <f>(General_Model!$D$6/General_Model!$D$7)-1/(1+General_Model!$D$26/((1.2+0.2*(General_Model!$D$26/A870)+0.35*SQRT(9.80665*(General_Model!$D$4/1000))/A870)*A870))-(A870^2/(2*9.80665*General_Model!$D$7))*((4*(0.3164/((General_Model!$D$14*A870*(General_Model!$D$4/1000)/General_Model!$D$15)^0.25))*General_Model!$D$7/(General_Model!$D$4/1000)+1)+(4*(0.3164/((General_Model!$D$14*A870*(General_Model!$D$4/1000)/General_Model!$D$15)^0.25))*General_Model!$D$7/(General_Model!$D$4/1000)+2)*(General_Model!$D$26/A870))</f>
        <v>-0.29905542890388093</v>
      </c>
      <c r="C870" s="13">
        <f t="shared" si="13"/>
        <v>0</v>
      </c>
    </row>
    <row r="871" spans="1:3" x14ac:dyDescent="0.25">
      <c r="A871" s="11">
        <v>0.86899999999999999</v>
      </c>
      <c r="B871" s="12">
        <f>(General_Model!$D$6/General_Model!$D$7)-1/(1+General_Model!$D$26/((1.2+0.2*(General_Model!$D$26/A871)+0.35*SQRT(9.80665*(General_Model!$D$4/1000))/A871)*A871))-(A871^2/(2*9.80665*General_Model!$D$7))*((4*(0.3164/((General_Model!$D$14*A871*(General_Model!$D$4/1000)/General_Model!$D$15)^0.25))*General_Model!$D$7/(General_Model!$D$4/1000)+1)+(4*(0.3164/((General_Model!$D$14*A871*(General_Model!$D$4/1000)/General_Model!$D$15)^0.25))*General_Model!$D$7/(General_Model!$D$4/1000)+2)*(General_Model!$D$26/A871))</f>
        <v>-0.29952166314327777</v>
      </c>
      <c r="C871" s="13">
        <f t="shared" si="13"/>
        <v>0</v>
      </c>
    </row>
    <row r="872" spans="1:3" x14ac:dyDescent="0.25">
      <c r="A872" s="11">
        <v>0.87</v>
      </c>
      <c r="B872" s="12">
        <f>(General_Model!$D$6/General_Model!$D$7)-1/(1+General_Model!$D$26/((1.2+0.2*(General_Model!$D$26/A872)+0.35*SQRT(9.80665*(General_Model!$D$4/1000))/A872)*A872))-(A872^2/(2*9.80665*General_Model!$D$7))*((4*(0.3164/((General_Model!$D$14*A872*(General_Model!$D$4/1000)/General_Model!$D$15)^0.25))*General_Model!$D$7/(General_Model!$D$4/1000)+1)+(4*(0.3164/((General_Model!$D$14*A872*(General_Model!$D$4/1000)/General_Model!$D$15)^0.25))*General_Model!$D$7/(General_Model!$D$4/1000)+2)*(General_Model!$D$26/A872))</f>
        <v>-0.29998788039212665</v>
      </c>
      <c r="C872" s="13">
        <f t="shared" si="13"/>
        <v>0</v>
      </c>
    </row>
    <row r="873" spans="1:3" x14ac:dyDescent="0.25">
      <c r="A873" s="11">
        <v>0.871</v>
      </c>
      <c r="B873" s="12">
        <f>(General_Model!$D$6/General_Model!$D$7)-1/(1+General_Model!$D$26/((1.2+0.2*(General_Model!$D$26/A873)+0.35*SQRT(9.80665*(General_Model!$D$4/1000))/A873)*A873))-(A873^2/(2*9.80665*General_Model!$D$7))*((4*(0.3164/((General_Model!$D$14*A873*(General_Model!$D$4/1000)/General_Model!$D$15)^0.25))*General_Model!$D$7/(General_Model!$D$4/1000)+1)+(4*(0.3164/((General_Model!$D$14*A873*(General_Model!$D$4/1000)/General_Model!$D$15)^0.25))*General_Model!$D$7/(General_Model!$D$4/1000)+2)*(General_Model!$D$26/A873))</f>
        <v>-0.30045408101814741</v>
      </c>
      <c r="C873" s="13">
        <f t="shared" si="13"/>
        <v>0</v>
      </c>
    </row>
    <row r="874" spans="1:3" x14ac:dyDescent="0.25">
      <c r="A874" s="11">
        <v>0.872</v>
      </c>
      <c r="B874" s="12">
        <f>(General_Model!$D$6/General_Model!$D$7)-1/(1+General_Model!$D$26/((1.2+0.2*(General_Model!$D$26/A874)+0.35*SQRT(9.80665*(General_Model!$D$4/1000))/A874)*A874))-(A874^2/(2*9.80665*General_Model!$D$7))*((4*(0.3164/((General_Model!$D$14*A874*(General_Model!$D$4/1000)/General_Model!$D$15)^0.25))*General_Model!$D$7/(General_Model!$D$4/1000)+1)+(4*(0.3164/((General_Model!$D$14*A874*(General_Model!$D$4/1000)/General_Model!$D$15)^0.25))*General_Model!$D$7/(General_Model!$D$4/1000)+2)*(General_Model!$D$26/A874))</f>
        <v>-0.30092026538813399</v>
      </c>
      <c r="C874" s="13">
        <f t="shared" si="13"/>
        <v>0</v>
      </c>
    </row>
    <row r="875" spans="1:3" x14ac:dyDescent="0.25">
      <c r="A875" s="11">
        <v>0.873</v>
      </c>
      <c r="B875" s="12">
        <f>(General_Model!$D$6/General_Model!$D$7)-1/(1+General_Model!$D$26/((1.2+0.2*(General_Model!$D$26/A875)+0.35*SQRT(9.80665*(General_Model!$D$4/1000))/A875)*A875))-(A875^2/(2*9.80665*General_Model!$D$7))*((4*(0.3164/((General_Model!$D$14*A875*(General_Model!$D$4/1000)/General_Model!$D$15)^0.25))*General_Model!$D$7/(General_Model!$D$4/1000)+1)+(4*(0.3164/((General_Model!$D$14*A875*(General_Model!$D$4/1000)/General_Model!$D$15)^0.25))*General_Model!$D$7/(General_Model!$D$4/1000)+2)*(General_Model!$D$26/A875))</f>
        <v>-0.3013864338679596</v>
      </c>
      <c r="C875" s="13">
        <f t="shared" si="13"/>
        <v>0</v>
      </c>
    </row>
    <row r="876" spans="1:3" x14ac:dyDescent="0.25">
      <c r="A876" s="11">
        <v>0.874</v>
      </c>
      <c r="B876" s="12">
        <f>(General_Model!$D$6/General_Model!$D$7)-1/(1+General_Model!$D$26/((1.2+0.2*(General_Model!$D$26/A876)+0.35*SQRT(9.80665*(General_Model!$D$4/1000))/A876)*A876))-(A876^2/(2*9.80665*General_Model!$D$7))*((4*(0.3164/((General_Model!$D$14*A876*(General_Model!$D$4/1000)/General_Model!$D$15)^0.25))*General_Model!$D$7/(General_Model!$D$4/1000)+1)+(4*(0.3164/((General_Model!$D$14*A876*(General_Model!$D$4/1000)/General_Model!$D$15)^0.25))*General_Model!$D$7/(General_Model!$D$4/1000)+2)*(General_Model!$D$26/A876))</f>
        <v>-0.3018525868225771</v>
      </c>
      <c r="C876" s="13">
        <f t="shared" si="13"/>
        <v>0</v>
      </c>
    </row>
    <row r="877" spans="1:3" x14ac:dyDescent="0.25">
      <c r="A877" s="11">
        <v>0.875</v>
      </c>
      <c r="B877" s="12">
        <f>(General_Model!$D$6/General_Model!$D$7)-1/(1+General_Model!$D$26/((1.2+0.2*(General_Model!$D$26/A877)+0.35*SQRT(9.80665*(General_Model!$D$4/1000))/A877)*A877))-(A877^2/(2*9.80665*General_Model!$D$7))*((4*(0.3164/((General_Model!$D$14*A877*(General_Model!$D$4/1000)/General_Model!$D$15)^0.25))*General_Model!$D$7/(General_Model!$D$4/1000)+1)+(4*(0.3164/((General_Model!$D$14*A877*(General_Model!$D$4/1000)/General_Model!$D$15)^0.25))*General_Model!$D$7/(General_Model!$D$4/1000)+2)*(General_Model!$D$26/A877))</f>
        <v>-0.30231872461602377</v>
      </c>
      <c r="C877" s="13">
        <f t="shared" si="13"/>
        <v>0</v>
      </c>
    </row>
    <row r="878" spans="1:3" x14ac:dyDescent="0.25">
      <c r="A878" s="11">
        <v>0.876</v>
      </c>
      <c r="B878" s="12">
        <f>(General_Model!$D$6/General_Model!$D$7)-1/(1+General_Model!$D$26/((1.2+0.2*(General_Model!$D$26/A878)+0.35*SQRT(9.80665*(General_Model!$D$4/1000))/A878)*A878))-(A878^2/(2*9.80665*General_Model!$D$7))*((4*(0.3164/((General_Model!$D$14*A878*(General_Model!$D$4/1000)/General_Model!$D$15)^0.25))*General_Model!$D$7/(General_Model!$D$4/1000)+1)+(4*(0.3164/((General_Model!$D$14*A878*(General_Model!$D$4/1000)/General_Model!$D$15)^0.25))*General_Model!$D$7/(General_Model!$D$4/1000)+2)*(General_Model!$D$26/A878))</f>
        <v>-0.30278484761142299</v>
      </c>
      <c r="C878" s="13">
        <f t="shared" si="13"/>
        <v>0</v>
      </c>
    </row>
    <row r="879" spans="1:3" x14ac:dyDescent="0.25">
      <c r="A879" s="11">
        <v>0.877</v>
      </c>
      <c r="B879" s="12">
        <f>(General_Model!$D$6/General_Model!$D$7)-1/(1+General_Model!$D$26/((1.2+0.2*(General_Model!$D$26/A879)+0.35*SQRT(9.80665*(General_Model!$D$4/1000))/A879)*A879))-(A879^2/(2*9.80665*General_Model!$D$7))*((4*(0.3164/((General_Model!$D$14*A879*(General_Model!$D$4/1000)/General_Model!$D$15)^0.25))*General_Model!$D$7/(General_Model!$D$4/1000)+1)+(4*(0.3164/((General_Model!$D$14*A879*(General_Model!$D$4/1000)/General_Model!$D$15)^0.25))*General_Model!$D$7/(General_Model!$D$4/1000)+2)*(General_Model!$D$26/A879))</f>
        <v>-0.30325095617098796</v>
      </c>
      <c r="C879" s="13">
        <f t="shared" si="13"/>
        <v>0</v>
      </c>
    </row>
    <row r="880" spans="1:3" x14ac:dyDescent="0.25">
      <c r="A880" s="11">
        <v>0.878</v>
      </c>
      <c r="B880" s="12">
        <f>(General_Model!$D$6/General_Model!$D$7)-1/(1+General_Model!$D$26/((1.2+0.2*(General_Model!$D$26/A880)+0.35*SQRT(9.80665*(General_Model!$D$4/1000))/A880)*A880))-(A880^2/(2*9.80665*General_Model!$D$7))*((4*(0.3164/((General_Model!$D$14*A880*(General_Model!$D$4/1000)/General_Model!$D$15)^0.25))*General_Model!$D$7/(General_Model!$D$4/1000)+1)+(4*(0.3164/((General_Model!$D$14*A880*(General_Model!$D$4/1000)/General_Model!$D$15)^0.25))*General_Model!$D$7/(General_Model!$D$4/1000)+2)*(General_Model!$D$26/A880))</f>
        <v>-0.30371705065602361</v>
      </c>
      <c r="C880" s="13">
        <f t="shared" si="13"/>
        <v>0</v>
      </c>
    </row>
    <row r="881" spans="1:3" x14ac:dyDescent="0.25">
      <c r="A881" s="11">
        <v>0.879</v>
      </c>
      <c r="B881" s="12">
        <f>(General_Model!$D$6/General_Model!$D$7)-1/(1+General_Model!$D$26/((1.2+0.2*(General_Model!$D$26/A881)+0.35*SQRT(9.80665*(General_Model!$D$4/1000))/A881)*A881))-(A881^2/(2*9.80665*General_Model!$D$7))*((4*(0.3164/((General_Model!$D$14*A881*(General_Model!$D$4/1000)/General_Model!$D$15)^0.25))*General_Model!$D$7/(General_Model!$D$4/1000)+1)+(4*(0.3164/((General_Model!$D$14*A881*(General_Model!$D$4/1000)/General_Model!$D$15)^0.25))*General_Model!$D$7/(General_Model!$D$4/1000)+2)*(General_Model!$D$26/A881))</f>
        <v>-0.30418313142692976</v>
      </c>
      <c r="C881" s="13">
        <f t="shared" si="13"/>
        <v>0</v>
      </c>
    </row>
    <row r="882" spans="1:3" x14ac:dyDescent="0.25">
      <c r="A882" s="11">
        <v>0.88</v>
      </c>
      <c r="B882" s="12">
        <f>(General_Model!$D$6/General_Model!$D$7)-1/(1+General_Model!$D$26/((1.2+0.2*(General_Model!$D$26/A882)+0.35*SQRT(9.80665*(General_Model!$D$4/1000))/A882)*A882))-(A882^2/(2*9.80665*General_Model!$D$7))*((4*(0.3164/((General_Model!$D$14*A882*(General_Model!$D$4/1000)/General_Model!$D$15)^0.25))*General_Model!$D$7/(General_Model!$D$4/1000)+1)+(4*(0.3164/((General_Model!$D$14*A882*(General_Model!$D$4/1000)/General_Model!$D$15)^0.25))*General_Model!$D$7/(General_Model!$D$4/1000)+2)*(General_Model!$D$26/A882))</f>
        <v>-0.30464919884320396</v>
      </c>
      <c r="C882" s="13">
        <f t="shared" si="13"/>
        <v>0</v>
      </c>
    </row>
    <row r="883" spans="1:3" x14ac:dyDescent="0.25">
      <c r="A883" s="11">
        <v>0.88100000000000001</v>
      </c>
      <c r="B883" s="12">
        <f>(General_Model!$D$6/General_Model!$D$7)-1/(1+General_Model!$D$26/((1.2+0.2*(General_Model!$D$26/A883)+0.35*SQRT(9.80665*(General_Model!$D$4/1000))/A883)*A883))-(A883^2/(2*9.80665*General_Model!$D$7))*((4*(0.3164/((General_Model!$D$14*A883*(General_Model!$D$4/1000)/General_Model!$D$15)^0.25))*General_Model!$D$7/(General_Model!$D$4/1000)+1)+(4*(0.3164/((General_Model!$D$14*A883*(General_Model!$D$4/1000)/General_Model!$D$15)^0.25))*General_Model!$D$7/(General_Model!$D$4/1000)+2)*(General_Model!$D$26/A883))</f>
        <v>-0.30511525326344446</v>
      </c>
      <c r="C883" s="13">
        <f t="shared" si="13"/>
        <v>0</v>
      </c>
    </row>
    <row r="884" spans="1:3" x14ac:dyDescent="0.25">
      <c r="A884" s="11">
        <v>0.88200000000000001</v>
      </c>
      <c r="B884" s="12">
        <f>(General_Model!$D$6/General_Model!$D$7)-1/(1+General_Model!$D$26/((1.2+0.2*(General_Model!$D$26/A884)+0.35*SQRT(9.80665*(General_Model!$D$4/1000))/A884)*A884))-(A884^2/(2*9.80665*General_Model!$D$7))*((4*(0.3164/((General_Model!$D$14*A884*(General_Model!$D$4/1000)/General_Model!$D$15)^0.25))*General_Model!$D$7/(General_Model!$D$4/1000)+1)+(4*(0.3164/((General_Model!$D$14*A884*(General_Model!$D$4/1000)/General_Model!$D$15)^0.25))*General_Model!$D$7/(General_Model!$D$4/1000)+2)*(General_Model!$D$26/A884))</f>
        <v>-0.30558129504535231</v>
      </c>
      <c r="C884" s="13">
        <f t="shared" si="13"/>
        <v>0</v>
      </c>
    </row>
    <row r="885" spans="1:3" x14ac:dyDescent="0.25">
      <c r="A885" s="11">
        <v>0.88300000000000001</v>
      </c>
      <c r="B885" s="12">
        <f>(General_Model!$D$6/General_Model!$D$7)-1/(1+General_Model!$D$26/((1.2+0.2*(General_Model!$D$26/A885)+0.35*SQRT(9.80665*(General_Model!$D$4/1000))/A885)*A885))-(A885^2/(2*9.80665*General_Model!$D$7))*((4*(0.3164/((General_Model!$D$14*A885*(General_Model!$D$4/1000)/General_Model!$D$15)^0.25))*General_Model!$D$7/(General_Model!$D$4/1000)+1)+(4*(0.3164/((General_Model!$D$14*A885*(General_Model!$D$4/1000)/General_Model!$D$15)^0.25))*General_Model!$D$7/(General_Model!$D$4/1000)+2)*(General_Model!$D$26/A885))</f>
        <v>-0.3060473245457348</v>
      </c>
      <c r="C885" s="13">
        <f t="shared" si="13"/>
        <v>0</v>
      </c>
    </row>
    <row r="886" spans="1:3" x14ac:dyDescent="0.25">
      <c r="A886" s="11">
        <v>0.88400000000000001</v>
      </c>
      <c r="B886" s="12">
        <f>(General_Model!$D$6/General_Model!$D$7)-1/(1+General_Model!$D$26/((1.2+0.2*(General_Model!$D$26/A886)+0.35*SQRT(9.80665*(General_Model!$D$4/1000))/A886)*A886))-(A886^2/(2*9.80665*General_Model!$D$7))*((4*(0.3164/((General_Model!$D$14*A886*(General_Model!$D$4/1000)/General_Model!$D$15)^0.25))*General_Model!$D$7/(General_Model!$D$4/1000)+1)+(4*(0.3164/((General_Model!$D$14*A886*(General_Model!$D$4/1000)/General_Model!$D$15)^0.25))*General_Model!$D$7/(General_Model!$D$4/1000)+2)*(General_Model!$D$26/A886))</f>
        <v>-0.30651334212050796</v>
      </c>
      <c r="C886" s="13">
        <f t="shared" si="13"/>
        <v>0</v>
      </c>
    </row>
    <row r="887" spans="1:3" x14ac:dyDescent="0.25">
      <c r="A887" s="11">
        <v>0.88500000000000001</v>
      </c>
      <c r="B887" s="12">
        <f>(General_Model!$D$6/General_Model!$D$7)-1/(1+General_Model!$D$26/((1.2+0.2*(General_Model!$D$26/A887)+0.35*SQRT(9.80665*(General_Model!$D$4/1000))/A887)*A887))-(A887^2/(2*9.80665*General_Model!$D$7))*((4*(0.3164/((General_Model!$D$14*A887*(General_Model!$D$4/1000)/General_Model!$D$15)^0.25))*General_Model!$D$7/(General_Model!$D$4/1000)+1)+(4*(0.3164/((General_Model!$D$14*A887*(General_Model!$D$4/1000)/General_Model!$D$15)^0.25))*General_Model!$D$7/(General_Model!$D$4/1000)+2)*(General_Model!$D$26/A887))</f>
        <v>-0.30697934812469907</v>
      </c>
      <c r="C887" s="13">
        <f t="shared" si="13"/>
        <v>0</v>
      </c>
    </row>
    <row r="888" spans="1:3" x14ac:dyDescent="0.25">
      <c r="A888" s="11">
        <v>0.88600000000000001</v>
      </c>
      <c r="B888" s="12">
        <f>(General_Model!$D$6/General_Model!$D$7)-1/(1+General_Model!$D$26/((1.2+0.2*(General_Model!$D$26/A888)+0.35*SQRT(9.80665*(General_Model!$D$4/1000))/A888)*A888))-(A888^2/(2*9.80665*General_Model!$D$7))*((4*(0.3164/((General_Model!$D$14*A888*(General_Model!$D$4/1000)/General_Model!$D$15)^0.25))*General_Model!$D$7/(General_Model!$D$4/1000)+1)+(4*(0.3164/((General_Model!$D$14*A888*(General_Model!$D$4/1000)/General_Model!$D$15)^0.25))*General_Model!$D$7/(General_Model!$D$4/1000)+2)*(General_Model!$D$26/A888))</f>
        <v>-0.30744534291244952</v>
      </c>
      <c r="C888" s="13">
        <f t="shared" si="13"/>
        <v>0</v>
      </c>
    </row>
    <row r="889" spans="1:3" x14ac:dyDescent="0.25">
      <c r="A889" s="11">
        <v>0.88700000000000001</v>
      </c>
      <c r="B889" s="12">
        <f>(General_Model!$D$6/General_Model!$D$7)-1/(1+General_Model!$D$26/((1.2+0.2*(General_Model!$D$26/A889)+0.35*SQRT(9.80665*(General_Model!$D$4/1000))/A889)*A889))-(A889^2/(2*9.80665*General_Model!$D$7))*((4*(0.3164/((General_Model!$D$14*A889*(General_Model!$D$4/1000)/General_Model!$D$15)^0.25))*General_Model!$D$7/(General_Model!$D$4/1000)+1)+(4*(0.3164/((General_Model!$D$14*A889*(General_Model!$D$4/1000)/General_Model!$D$15)^0.25))*General_Model!$D$7/(General_Model!$D$4/1000)+2)*(General_Model!$D$26/A889))</f>
        <v>-0.30791132683701783</v>
      </c>
      <c r="C889" s="13">
        <f t="shared" si="13"/>
        <v>0</v>
      </c>
    </row>
    <row r="890" spans="1:3" x14ac:dyDescent="0.25">
      <c r="A890" s="11">
        <v>0.88800000000000001</v>
      </c>
      <c r="B890" s="12">
        <f>(General_Model!$D$6/General_Model!$D$7)-1/(1+General_Model!$D$26/((1.2+0.2*(General_Model!$D$26/A890)+0.35*SQRT(9.80665*(General_Model!$D$4/1000))/A890)*A890))-(A890^2/(2*9.80665*General_Model!$D$7))*((4*(0.3164/((General_Model!$D$14*A890*(General_Model!$D$4/1000)/General_Model!$D$15)^0.25))*General_Model!$D$7/(General_Model!$D$4/1000)+1)+(4*(0.3164/((General_Model!$D$14*A890*(General_Model!$D$4/1000)/General_Model!$D$15)^0.25))*General_Model!$D$7/(General_Model!$D$4/1000)+2)*(General_Model!$D$26/A890))</f>
        <v>-0.30837730025078175</v>
      </c>
      <c r="C890" s="13">
        <f t="shared" si="13"/>
        <v>0</v>
      </c>
    </row>
    <row r="891" spans="1:3" x14ac:dyDescent="0.25">
      <c r="A891" s="11">
        <v>0.88900000000000001</v>
      </c>
      <c r="B891" s="12">
        <f>(General_Model!$D$6/General_Model!$D$7)-1/(1+General_Model!$D$26/((1.2+0.2*(General_Model!$D$26/A891)+0.35*SQRT(9.80665*(General_Model!$D$4/1000))/A891)*A891))-(A891^2/(2*9.80665*General_Model!$D$7))*((4*(0.3164/((General_Model!$D$14*A891*(General_Model!$D$4/1000)/General_Model!$D$15)^0.25))*General_Model!$D$7/(General_Model!$D$4/1000)+1)+(4*(0.3164/((General_Model!$D$14*A891*(General_Model!$D$4/1000)/General_Model!$D$15)^0.25))*General_Model!$D$7/(General_Model!$D$4/1000)+2)*(General_Model!$D$26/A891))</f>
        <v>-0.30884326350524149</v>
      </c>
      <c r="C891" s="13">
        <f t="shared" si="13"/>
        <v>0</v>
      </c>
    </row>
    <row r="892" spans="1:3" x14ac:dyDescent="0.25">
      <c r="A892" s="11">
        <v>0.89</v>
      </c>
      <c r="B892" s="12">
        <f>(General_Model!$D$6/General_Model!$D$7)-1/(1+General_Model!$D$26/((1.2+0.2*(General_Model!$D$26/A892)+0.35*SQRT(9.80665*(General_Model!$D$4/1000))/A892)*A892))-(A892^2/(2*9.80665*General_Model!$D$7))*((4*(0.3164/((General_Model!$D$14*A892*(General_Model!$D$4/1000)/General_Model!$D$15)^0.25))*General_Model!$D$7/(General_Model!$D$4/1000)+1)+(4*(0.3164/((General_Model!$D$14*A892*(General_Model!$D$4/1000)/General_Model!$D$15)^0.25))*General_Model!$D$7/(General_Model!$D$4/1000)+2)*(General_Model!$D$26/A892))</f>
        <v>-0.30930921695102187</v>
      </c>
      <c r="C892" s="13">
        <f t="shared" si="13"/>
        <v>0</v>
      </c>
    </row>
    <row r="893" spans="1:3" x14ac:dyDescent="0.25">
      <c r="A893" s="11">
        <v>0.89100000000000001</v>
      </c>
      <c r="B893" s="12">
        <f>(General_Model!$D$6/General_Model!$D$7)-1/(1+General_Model!$D$26/((1.2+0.2*(General_Model!$D$26/A893)+0.35*SQRT(9.80665*(General_Model!$D$4/1000))/A893)*A893))-(A893^2/(2*9.80665*General_Model!$D$7))*((4*(0.3164/((General_Model!$D$14*A893*(General_Model!$D$4/1000)/General_Model!$D$15)^0.25))*General_Model!$D$7/(General_Model!$D$4/1000)+1)+(4*(0.3164/((General_Model!$D$14*A893*(General_Model!$D$4/1000)/General_Model!$D$15)^0.25))*General_Model!$D$7/(General_Model!$D$4/1000)+2)*(General_Model!$D$26/A893))</f>
        <v>-0.30977516093787594</v>
      </c>
      <c r="C893" s="13">
        <f t="shared" si="13"/>
        <v>0</v>
      </c>
    </row>
    <row r="894" spans="1:3" x14ac:dyDescent="0.25">
      <c r="A894" s="11">
        <v>0.89200000000000002</v>
      </c>
      <c r="B894" s="12">
        <f>(General_Model!$D$6/General_Model!$D$7)-1/(1+General_Model!$D$26/((1.2+0.2*(General_Model!$D$26/A894)+0.35*SQRT(9.80665*(General_Model!$D$4/1000))/A894)*A894))-(A894^2/(2*9.80665*General_Model!$D$7))*((4*(0.3164/((General_Model!$D$14*A894*(General_Model!$D$4/1000)/General_Model!$D$15)^0.25))*General_Model!$D$7/(General_Model!$D$4/1000)+1)+(4*(0.3164/((General_Model!$D$14*A894*(General_Model!$D$4/1000)/General_Model!$D$15)^0.25))*General_Model!$D$7/(General_Model!$D$4/1000)+2)*(General_Model!$D$26/A894))</f>
        <v>-0.31024109581468629</v>
      </c>
      <c r="C894" s="13">
        <f t="shared" si="13"/>
        <v>0</v>
      </c>
    </row>
    <row r="895" spans="1:3" x14ac:dyDescent="0.25">
      <c r="A895" s="11">
        <v>0.89300000000000002</v>
      </c>
      <c r="B895" s="12">
        <f>(General_Model!$D$6/General_Model!$D$7)-1/(1+General_Model!$D$26/((1.2+0.2*(General_Model!$D$26/A895)+0.35*SQRT(9.80665*(General_Model!$D$4/1000))/A895)*A895))-(A895^2/(2*9.80665*General_Model!$D$7))*((4*(0.3164/((General_Model!$D$14*A895*(General_Model!$D$4/1000)/General_Model!$D$15)^0.25))*General_Model!$D$7/(General_Model!$D$4/1000)+1)+(4*(0.3164/((General_Model!$D$14*A895*(General_Model!$D$4/1000)/General_Model!$D$15)^0.25))*General_Model!$D$7/(General_Model!$D$4/1000)+2)*(General_Model!$D$26/A895))</f>
        <v>-0.31070702192946886</v>
      </c>
      <c r="C895" s="13">
        <f t="shared" si="13"/>
        <v>0</v>
      </c>
    </row>
    <row r="896" spans="1:3" x14ac:dyDescent="0.25">
      <c r="A896" s="11">
        <v>0.89400000000000002</v>
      </c>
      <c r="B896" s="12">
        <f>(General_Model!$D$6/General_Model!$D$7)-1/(1+General_Model!$D$26/((1.2+0.2*(General_Model!$D$26/A896)+0.35*SQRT(9.80665*(General_Model!$D$4/1000))/A896)*A896))-(A896^2/(2*9.80665*General_Model!$D$7))*((4*(0.3164/((General_Model!$D$14*A896*(General_Model!$D$4/1000)/General_Model!$D$15)^0.25))*General_Model!$D$7/(General_Model!$D$4/1000)+1)+(4*(0.3164/((General_Model!$D$14*A896*(General_Model!$D$4/1000)/General_Model!$D$15)^0.25))*General_Model!$D$7/(General_Model!$D$4/1000)+2)*(General_Model!$D$26/A896))</f>
        <v>-0.31117293962937453</v>
      </c>
      <c r="C896" s="13">
        <f t="shared" si="13"/>
        <v>0</v>
      </c>
    </row>
    <row r="897" spans="1:3" x14ac:dyDescent="0.25">
      <c r="A897" s="11">
        <v>0.89500000000000002</v>
      </c>
      <c r="B897" s="12">
        <f>(General_Model!$D$6/General_Model!$D$7)-1/(1+General_Model!$D$26/((1.2+0.2*(General_Model!$D$26/A897)+0.35*SQRT(9.80665*(General_Model!$D$4/1000))/A897)*A897))-(A897^2/(2*9.80665*General_Model!$D$7))*((4*(0.3164/((General_Model!$D$14*A897*(General_Model!$D$4/1000)/General_Model!$D$15)^0.25))*General_Model!$D$7/(General_Model!$D$4/1000)+1)+(4*(0.3164/((General_Model!$D$14*A897*(General_Model!$D$4/1000)/General_Model!$D$15)^0.25))*General_Model!$D$7/(General_Model!$D$4/1000)+2)*(General_Model!$D$26/A897))</f>
        <v>-0.31163884926069324</v>
      </c>
      <c r="C897" s="13">
        <f t="shared" si="13"/>
        <v>0</v>
      </c>
    </row>
    <row r="898" spans="1:3" x14ac:dyDescent="0.25">
      <c r="A898" s="11">
        <v>0.89600000000000002</v>
      </c>
      <c r="B898" s="12">
        <f>(General_Model!$D$6/General_Model!$D$7)-1/(1+General_Model!$D$26/((1.2+0.2*(General_Model!$D$26/A898)+0.35*SQRT(9.80665*(General_Model!$D$4/1000))/A898)*A898))-(A898^2/(2*9.80665*General_Model!$D$7))*((4*(0.3164/((General_Model!$D$14*A898*(General_Model!$D$4/1000)/General_Model!$D$15)^0.25))*General_Model!$D$7/(General_Model!$D$4/1000)+1)+(4*(0.3164/((General_Model!$D$14*A898*(General_Model!$D$4/1000)/General_Model!$D$15)^0.25))*General_Model!$D$7/(General_Model!$D$4/1000)+2)*(General_Model!$D$26/A898))</f>
        <v>-0.31210475116885517</v>
      </c>
      <c r="C898" s="13">
        <f t="shared" si="13"/>
        <v>0</v>
      </c>
    </row>
    <row r="899" spans="1:3" x14ac:dyDescent="0.25">
      <c r="A899" s="11">
        <v>0.89700000000000002</v>
      </c>
      <c r="B899" s="12">
        <f>(General_Model!$D$6/General_Model!$D$7)-1/(1+General_Model!$D$26/((1.2+0.2*(General_Model!$D$26/A899)+0.35*SQRT(9.80665*(General_Model!$D$4/1000))/A899)*A899))-(A899^2/(2*9.80665*General_Model!$D$7))*((4*(0.3164/((General_Model!$D$14*A899*(General_Model!$D$4/1000)/General_Model!$D$15)^0.25))*General_Model!$D$7/(General_Model!$D$4/1000)+1)+(4*(0.3164/((General_Model!$D$14*A899*(General_Model!$D$4/1000)/General_Model!$D$15)^0.25))*General_Model!$D$7/(General_Model!$D$4/1000)+2)*(General_Model!$D$26/A899))</f>
        <v>-0.31257064569843385</v>
      </c>
      <c r="C899" s="13">
        <f t="shared" ref="C899:C962" si="14">IF(B899*B900&lt;=0,1,0)</f>
        <v>0</v>
      </c>
    </row>
    <row r="900" spans="1:3" x14ac:dyDescent="0.25">
      <c r="A900" s="11">
        <v>0.89800000000000002</v>
      </c>
      <c r="B900" s="12">
        <f>(General_Model!$D$6/General_Model!$D$7)-1/(1+General_Model!$D$26/((1.2+0.2*(General_Model!$D$26/A900)+0.35*SQRT(9.80665*(General_Model!$D$4/1000))/A900)*A900))-(A900^2/(2*9.80665*General_Model!$D$7))*((4*(0.3164/((General_Model!$D$14*A900*(General_Model!$D$4/1000)/General_Model!$D$15)^0.25))*General_Model!$D$7/(General_Model!$D$4/1000)+1)+(4*(0.3164/((General_Model!$D$14*A900*(General_Model!$D$4/1000)/General_Model!$D$15)^0.25))*General_Model!$D$7/(General_Model!$D$4/1000)+2)*(General_Model!$D$26/A900))</f>
        <v>-0.31303653319314884</v>
      </c>
      <c r="C900" s="13">
        <f t="shared" si="14"/>
        <v>0</v>
      </c>
    </row>
    <row r="901" spans="1:3" x14ac:dyDescent="0.25">
      <c r="A901" s="11">
        <v>0.89900000000000002</v>
      </c>
      <c r="B901" s="12">
        <f>(General_Model!$D$6/General_Model!$D$7)-1/(1+General_Model!$D$26/((1.2+0.2*(General_Model!$D$26/A901)+0.35*SQRT(9.80665*(General_Model!$D$4/1000))/A901)*A901))-(A901^2/(2*9.80665*General_Model!$D$7))*((4*(0.3164/((General_Model!$D$14*A901*(General_Model!$D$4/1000)/General_Model!$D$15)^0.25))*General_Model!$D$7/(General_Model!$D$4/1000)+1)+(4*(0.3164/((General_Model!$D$14*A901*(General_Model!$D$4/1000)/General_Model!$D$15)^0.25))*General_Model!$D$7/(General_Model!$D$4/1000)+2)*(General_Model!$D$26/A901))</f>
        <v>-0.31350241399586865</v>
      </c>
      <c r="C901" s="13">
        <f t="shared" si="14"/>
        <v>0</v>
      </c>
    </row>
    <row r="902" spans="1:3" x14ac:dyDescent="0.25">
      <c r="A902" s="11">
        <v>0.9</v>
      </c>
      <c r="B902" s="12">
        <f>(General_Model!$D$6/General_Model!$D$7)-1/(1+General_Model!$D$26/((1.2+0.2*(General_Model!$D$26/A902)+0.35*SQRT(9.80665*(General_Model!$D$4/1000))/A902)*A902))-(A902^2/(2*9.80665*General_Model!$D$7))*((4*(0.3164/((General_Model!$D$14*A902*(General_Model!$D$4/1000)/General_Model!$D$15)^0.25))*General_Model!$D$7/(General_Model!$D$4/1000)+1)+(4*(0.3164/((General_Model!$D$14*A902*(General_Model!$D$4/1000)/General_Model!$D$15)^0.25))*General_Model!$D$7/(General_Model!$D$4/1000)+2)*(General_Model!$D$26/A902))</f>
        <v>-0.31396828844861246</v>
      </c>
      <c r="C902" s="13">
        <f t="shared" si="14"/>
        <v>0</v>
      </c>
    </row>
    <row r="903" spans="1:3" x14ac:dyDescent="0.25">
      <c r="A903" s="11">
        <v>0.90100000000000002</v>
      </c>
      <c r="B903" s="12">
        <f>(General_Model!$D$6/General_Model!$D$7)-1/(1+General_Model!$D$26/((1.2+0.2*(General_Model!$D$26/A903)+0.35*SQRT(9.80665*(General_Model!$D$4/1000))/A903)*A903))-(A903^2/(2*9.80665*General_Model!$D$7))*((4*(0.3164/((General_Model!$D$14*A903*(General_Model!$D$4/1000)/General_Model!$D$15)^0.25))*General_Model!$D$7/(General_Model!$D$4/1000)+1)+(4*(0.3164/((General_Model!$D$14*A903*(General_Model!$D$4/1000)/General_Model!$D$15)^0.25))*General_Model!$D$7/(General_Model!$D$4/1000)+2)*(General_Model!$D$26/A903))</f>
        <v>-0.31443415689255361</v>
      </c>
      <c r="C903" s="13">
        <f t="shared" si="14"/>
        <v>0</v>
      </c>
    </row>
    <row r="904" spans="1:3" x14ac:dyDescent="0.25">
      <c r="A904" s="11">
        <v>0.90200000000000002</v>
      </c>
      <c r="B904" s="12">
        <f>(General_Model!$D$6/General_Model!$D$7)-1/(1+General_Model!$D$26/((1.2+0.2*(General_Model!$D$26/A904)+0.35*SQRT(9.80665*(General_Model!$D$4/1000))/A904)*A904))-(A904^2/(2*9.80665*General_Model!$D$7))*((4*(0.3164/((General_Model!$D$14*A904*(General_Model!$D$4/1000)/General_Model!$D$15)^0.25))*General_Model!$D$7/(General_Model!$D$4/1000)+1)+(4*(0.3164/((General_Model!$D$14*A904*(General_Model!$D$4/1000)/General_Model!$D$15)^0.25))*General_Model!$D$7/(General_Model!$D$4/1000)+2)*(General_Model!$D$26/A904))</f>
        <v>-0.31490001966802139</v>
      </c>
      <c r="C904" s="13">
        <f t="shared" si="14"/>
        <v>0</v>
      </c>
    </row>
    <row r="905" spans="1:3" x14ac:dyDescent="0.25">
      <c r="A905" s="11">
        <v>0.90300000000000002</v>
      </c>
      <c r="B905" s="12">
        <f>(General_Model!$D$6/General_Model!$D$7)-1/(1+General_Model!$D$26/((1.2+0.2*(General_Model!$D$26/A905)+0.35*SQRT(9.80665*(General_Model!$D$4/1000))/A905)*A905))-(A905^2/(2*9.80665*General_Model!$D$7))*((4*(0.3164/((General_Model!$D$14*A905*(General_Model!$D$4/1000)/General_Model!$D$15)^0.25))*General_Model!$D$7/(General_Model!$D$4/1000)+1)+(4*(0.3164/((General_Model!$D$14*A905*(General_Model!$D$4/1000)/General_Model!$D$15)^0.25))*General_Model!$D$7/(General_Model!$D$4/1000)+2)*(General_Model!$D$26/A905))</f>
        <v>-0.31536587711450426</v>
      </c>
      <c r="C905" s="13">
        <f t="shared" si="14"/>
        <v>0</v>
      </c>
    </row>
    <row r="906" spans="1:3" x14ac:dyDescent="0.25">
      <c r="A906" s="11">
        <v>0.90400000000000003</v>
      </c>
      <c r="B906" s="12">
        <f>(General_Model!$D$6/General_Model!$D$7)-1/(1+General_Model!$D$26/((1.2+0.2*(General_Model!$D$26/A906)+0.35*SQRT(9.80665*(General_Model!$D$4/1000))/A906)*A906))-(A906^2/(2*9.80665*General_Model!$D$7))*((4*(0.3164/((General_Model!$D$14*A906*(General_Model!$D$4/1000)/General_Model!$D$15)^0.25))*General_Model!$D$7/(General_Model!$D$4/1000)+1)+(4*(0.3164/((General_Model!$D$14*A906*(General_Model!$D$4/1000)/General_Model!$D$15)^0.25))*General_Model!$D$7/(General_Model!$D$4/1000)+2)*(General_Model!$D$26/A906))</f>
        <v>-0.31583172957065186</v>
      </c>
      <c r="C906" s="13">
        <f t="shared" si="14"/>
        <v>0</v>
      </c>
    </row>
    <row r="907" spans="1:3" x14ac:dyDescent="0.25">
      <c r="A907" s="11">
        <v>0.90500000000000003</v>
      </c>
      <c r="B907" s="12">
        <f>(General_Model!$D$6/General_Model!$D$7)-1/(1+General_Model!$D$26/((1.2+0.2*(General_Model!$D$26/A907)+0.35*SQRT(9.80665*(General_Model!$D$4/1000))/A907)*A907))-(A907^2/(2*9.80665*General_Model!$D$7))*((4*(0.3164/((General_Model!$D$14*A907*(General_Model!$D$4/1000)/General_Model!$D$15)^0.25))*General_Model!$D$7/(General_Model!$D$4/1000)+1)+(4*(0.3164/((General_Model!$D$14*A907*(General_Model!$D$4/1000)/General_Model!$D$15)^0.25))*General_Model!$D$7/(General_Model!$D$4/1000)+2)*(General_Model!$D$26/A907))</f>
        <v>-0.31629757737427788</v>
      </c>
      <c r="C907" s="13">
        <f t="shared" si="14"/>
        <v>0</v>
      </c>
    </row>
    <row r="908" spans="1:3" x14ac:dyDescent="0.25">
      <c r="A908" s="11">
        <v>0.90600000000000003</v>
      </c>
      <c r="B908" s="12">
        <f>(General_Model!$D$6/General_Model!$D$7)-1/(1+General_Model!$D$26/((1.2+0.2*(General_Model!$D$26/A908)+0.35*SQRT(9.80665*(General_Model!$D$4/1000))/A908)*A908))-(A908^2/(2*9.80665*General_Model!$D$7))*((4*(0.3164/((General_Model!$D$14*A908*(General_Model!$D$4/1000)/General_Model!$D$15)^0.25))*General_Model!$D$7/(General_Model!$D$4/1000)+1)+(4*(0.3164/((General_Model!$D$14*A908*(General_Model!$D$4/1000)/General_Model!$D$15)^0.25))*General_Model!$D$7/(General_Model!$D$4/1000)+2)*(General_Model!$D$26/A908))</f>
        <v>-0.31676342086236248</v>
      </c>
      <c r="C908" s="13">
        <f t="shared" si="14"/>
        <v>0</v>
      </c>
    </row>
    <row r="909" spans="1:3" x14ac:dyDescent="0.25">
      <c r="A909" s="11">
        <v>0.90700000000000003</v>
      </c>
      <c r="B909" s="12">
        <f>(General_Model!$D$6/General_Model!$D$7)-1/(1+General_Model!$D$26/((1.2+0.2*(General_Model!$D$26/A909)+0.35*SQRT(9.80665*(General_Model!$D$4/1000))/A909)*A909))-(A909^2/(2*9.80665*General_Model!$D$7))*((4*(0.3164/((General_Model!$D$14*A909*(General_Model!$D$4/1000)/General_Model!$D$15)^0.25))*General_Model!$D$7/(General_Model!$D$4/1000)+1)+(4*(0.3164/((General_Model!$D$14*A909*(General_Model!$D$4/1000)/General_Model!$D$15)^0.25))*General_Model!$D$7/(General_Model!$D$4/1000)+2)*(General_Model!$D$26/A909))</f>
        <v>-0.31722926037105503</v>
      </c>
      <c r="C909" s="13">
        <f t="shared" si="14"/>
        <v>0</v>
      </c>
    </row>
    <row r="910" spans="1:3" x14ac:dyDescent="0.25">
      <c r="A910" s="11">
        <v>0.90800000000000003</v>
      </c>
      <c r="B910" s="12">
        <f>(General_Model!$D$6/General_Model!$D$7)-1/(1+General_Model!$D$26/((1.2+0.2*(General_Model!$D$26/A910)+0.35*SQRT(9.80665*(General_Model!$D$4/1000))/A910)*A910))-(A910^2/(2*9.80665*General_Model!$D$7))*((4*(0.3164/((General_Model!$D$14*A910*(General_Model!$D$4/1000)/General_Model!$D$15)^0.25))*General_Model!$D$7/(General_Model!$D$4/1000)+1)+(4*(0.3164/((General_Model!$D$14*A910*(General_Model!$D$4/1000)/General_Model!$D$15)^0.25))*General_Model!$D$7/(General_Model!$D$4/1000)+2)*(General_Model!$D$26/A910))</f>
        <v>-0.31769509623567566</v>
      </c>
      <c r="C910" s="13">
        <f t="shared" si="14"/>
        <v>0</v>
      </c>
    </row>
    <row r="911" spans="1:3" x14ac:dyDescent="0.25">
      <c r="A911" s="11">
        <v>0.90900000000000003</v>
      </c>
      <c r="B911" s="12">
        <f>(General_Model!$D$6/General_Model!$D$7)-1/(1+General_Model!$D$26/((1.2+0.2*(General_Model!$D$26/A911)+0.35*SQRT(9.80665*(General_Model!$D$4/1000))/A911)*A911))-(A911^2/(2*9.80665*General_Model!$D$7))*((4*(0.3164/((General_Model!$D$14*A911*(General_Model!$D$4/1000)/General_Model!$D$15)^0.25))*General_Model!$D$7/(General_Model!$D$4/1000)+1)+(4*(0.3164/((General_Model!$D$14*A911*(General_Model!$D$4/1000)/General_Model!$D$15)^0.25))*General_Model!$D$7/(General_Model!$D$4/1000)+2)*(General_Model!$D$26/A911))</f>
        <v>-0.31816092879071939</v>
      </c>
      <c r="C911" s="13">
        <f t="shared" si="14"/>
        <v>0</v>
      </c>
    </row>
    <row r="912" spans="1:3" x14ac:dyDescent="0.25">
      <c r="A912" s="11">
        <v>0.91</v>
      </c>
      <c r="B912" s="12">
        <f>(General_Model!$D$6/General_Model!$D$7)-1/(1+General_Model!$D$26/((1.2+0.2*(General_Model!$D$26/A912)+0.35*SQRT(9.80665*(General_Model!$D$4/1000))/A912)*A912))-(A912^2/(2*9.80665*General_Model!$D$7))*((4*(0.3164/((General_Model!$D$14*A912*(General_Model!$D$4/1000)/General_Model!$D$15)^0.25))*General_Model!$D$7/(General_Model!$D$4/1000)+1)+(4*(0.3164/((General_Model!$D$14*A912*(General_Model!$D$4/1000)/General_Model!$D$15)^0.25))*General_Model!$D$7/(General_Model!$D$4/1000)+2)*(General_Model!$D$26/A912))</f>
        <v>-0.31862675836985743</v>
      </c>
      <c r="C912" s="13">
        <f t="shared" si="14"/>
        <v>0</v>
      </c>
    </row>
    <row r="913" spans="1:3" x14ac:dyDescent="0.25">
      <c r="A913" s="11">
        <v>0.91100000000000003</v>
      </c>
      <c r="B913" s="12">
        <f>(General_Model!$D$6/General_Model!$D$7)-1/(1+General_Model!$D$26/((1.2+0.2*(General_Model!$D$26/A913)+0.35*SQRT(9.80665*(General_Model!$D$4/1000))/A913)*A913))-(A913^2/(2*9.80665*General_Model!$D$7))*((4*(0.3164/((General_Model!$D$14*A913*(General_Model!$D$4/1000)/General_Model!$D$15)^0.25))*General_Model!$D$7/(General_Model!$D$4/1000)+1)+(4*(0.3164/((General_Model!$D$14*A913*(General_Model!$D$4/1000)/General_Model!$D$15)^0.25))*General_Model!$D$7/(General_Model!$D$4/1000)+2)*(General_Model!$D$26/A913))</f>
        <v>-0.31909258530593965</v>
      </c>
      <c r="C913" s="13">
        <f t="shared" si="14"/>
        <v>0</v>
      </c>
    </row>
    <row r="914" spans="1:3" x14ac:dyDescent="0.25">
      <c r="A914" s="11">
        <v>0.91200000000000003</v>
      </c>
      <c r="B914" s="12">
        <f>(General_Model!$D$6/General_Model!$D$7)-1/(1+General_Model!$D$26/((1.2+0.2*(General_Model!$D$26/A914)+0.35*SQRT(9.80665*(General_Model!$D$4/1000))/A914)*A914))-(A914^2/(2*9.80665*General_Model!$D$7))*((4*(0.3164/((General_Model!$D$14*A914*(General_Model!$D$4/1000)/General_Model!$D$15)^0.25))*General_Model!$D$7/(General_Model!$D$4/1000)+1)+(4*(0.3164/((General_Model!$D$14*A914*(General_Model!$D$4/1000)/General_Model!$D$15)^0.25))*General_Model!$D$7/(General_Model!$D$4/1000)+2)*(General_Model!$D$26/A914))</f>
        <v>-0.31955840993099749</v>
      </c>
      <c r="C914" s="13">
        <f t="shared" si="14"/>
        <v>0</v>
      </c>
    </row>
    <row r="915" spans="1:3" x14ac:dyDescent="0.25">
      <c r="A915" s="11">
        <v>0.91300000000000003</v>
      </c>
      <c r="B915" s="12">
        <f>(General_Model!$D$6/General_Model!$D$7)-1/(1+General_Model!$D$26/((1.2+0.2*(General_Model!$D$26/A915)+0.35*SQRT(9.80665*(General_Model!$D$4/1000))/A915)*A915))-(A915^2/(2*9.80665*General_Model!$D$7))*((4*(0.3164/((General_Model!$D$14*A915*(General_Model!$D$4/1000)/General_Model!$D$15)^0.25))*General_Model!$D$7/(General_Model!$D$4/1000)+1)+(4*(0.3164/((General_Model!$D$14*A915*(General_Model!$D$4/1000)/General_Model!$D$15)^0.25))*General_Model!$D$7/(General_Model!$D$4/1000)+2)*(General_Model!$D$26/A915))</f>
        <v>-0.32002423257624674</v>
      </c>
      <c r="C915" s="13">
        <f t="shared" si="14"/>
        <v>0</v>
      </c>
    </row>
    <row r="916" spans="1:3" x14ac:dyDescent="0.25">
      <c r="A916" s="11">
        <v>0.91400000000000003</v>
      </c>
      <c r="B916" s="12">
        <f>(General_Model!$D$6/General_Model!$D$7)-1/(1+General_Model!$D$26/((1.2+0.2*(General_Model!$D$26/A916)+0.35*SQRT(9.80665*(General_Model!$D$4/1000))/A916)*A916))-(A916^2/(2*9.80665*General_Model!$D$7))*((4*(0.3164/((General_Model!$D$14*A916*(General_Model!$D$4/1000)/General_Model!$D$15)^0.25))*General_Model!$D$7/(General_Model!$D$4/1000)+1)+(4*(0.3164/((General_Model!$D$14*A916*(General_Model!$D$4/1000)/General_Model!$D$15)^0.25))*General_Model!$D$7/(General_Model!$D$4/1000)+2)*(General_Model!$D$26/A916))</f>
        <v>-0.32049005357208887</v>
      </c>
      <c r="C916" s="13">
        <f t="shared" si="14"/>
        <v>0</v>
      </c>
    </row>
    <row r="917" spans="1:3" x14ac:dyDescent="0.25">
      <c r="A917" s="11">
        <v>0.91500000000000004</v>
      </c>
      <c r="B917" s="12">
        <f>(General_Model!$D$6/General_Model!$D$7)-1/(1+General_Model!$D$26/((1.2+0.2*(General_Model!$D$26/A917)+0.35*SQRT(9.80665*(General_Model!$D$4/1000))/A917)*A917))-(A917^2/(2*9.80665*General_Model!$D$7))*((4*(0.3164/((General_Model!$D$14*A917*(General_Model!$D$4/1000)/General_Model!$D$15)^0.25))*General_Model!$D$7/(General_Model!$D$4/1000)+1)+(4*(0.3164/((General_Model!$D$14*A917*(General_Model!$D$4/1000)/General_Model!$D$15)^0.25))*General_Model!$D$7/(General_Model!$D$4/1000)+2)*(General_Model!$D$26/A917))</f>
        <v>-0.3209558732481147</v>
      </c>
      <c r="C917" s="13">
        <f t="shared" si="14"/>
        <v>0</v>
      </c>
    </row>
    <row r="918" spans="1:3" x14ac:dyDescent="0.25">
      <c r="A918" s="11">
        <v>0.91600000000000004</v>
      </c>
      <c r="B918" s="12">
        <f>(General_Model!$D$6/General_Model!$D$7)-1/(1+General_Model!$D$26/((1.2+0.2*(General_Model!$D$26/A918)+0.35*SQRT(9.80665*(General_Model!$D$4/1000))/A918)*A918))-(A918^2/(2*9.80665*General_Model!$D$7))*((4*(0.3164/((General_Model!$D$14*A918*(General_Model!$D$4/1000)/General_Model!$D$15)^0.25))*General_Model!$D$7/(General_Model!$D$4/1000)+1)+(4*(0.3164/((General_Model!$D$14*A918*(General_Model!$D$4/1000)/General_Model!$D$15)^0.25))*General_Model!$D$7/(General_Model!$D$4/1000)+2)*(General_Model!$D$26/A918))</f>
        <v>-0.32142169193310588</v>
      </c>
      <c r="C918" s="13">
        <f t="shared" si="14"/>
        <v>0</v>
      </c>
    </row>
    <row r="919" spans="1:3" x14ac:dyDescent="0.25">
      <c r="A919" s="11">
        <v>0.91700000000000004</v>
      </c>
      <c r="B919" s="12">
        <f>(General_Model!$D$6/General_Model!$D$7)-1/(1+General_Model!$D$26/((1.2+0.2*(General_Model!$D$26/A919)+0.35*SQRT(9.80665*(General_Model!$D$4/1000))/A919)*A919))-(A919^2/(2*9.80665*General_Model!$D$7))*((4*(0.3164/((General_Model!$D$14*A919*(General_Model!$D$4/1000)/General_Model!$D$15)^0.25))*General_Model!$D$7/(General_Model!$D$4/1000)+1)+(4*(0.3164/((General_Model!$D$14*A919*(General_Model!$D$4/1000)/General_Model!$D$15)^0.25))*General_Model!$D$7/(General_Model!$D$4/1000)+2)*(General_Model!$D$26/A919))</f>
        <v>-0.32188750995503834</v>
      </c>
      <c r="C919" s="13">
        <f t="shared" si="14"/>
        <v>0</v>
      </c>
    </row>
    <row r="920" spans="1:3" x14ac:dyDescent="0.25">
      <c r="A920" s="11">
        <v>0.91800000000000004</v>
      </c>
      <c r="B920" s="12">
        <f>(General_Model!$D$6/General_Model!$D$7)-1/(1+General_Model!$D$26/((1.2+0.2*(General_Model!$D$26/A920)+0.35*SQRT(9.80665*(General_Model!$D$4/1000))/A920)*A920))-(A920^2/(2*9.80665*General_Model!$D$7))*((4*(0.3164/((General_Model!$D$14*A920*(General_Model!$D$4/1000)/General_Model!$D$15)^0.25))*General_Model!$D$7/(General_Model!$D$4/1000)+1)+(4*(0.3164/((General_Model!$D$14*A920*(General_Model!$D$4/1000)/General_Model!$D$15)^0.25))*General_Model!$D$7/(General_Model!$D$4/1000)+2)*(General_Model!$D$26/A920))</f>
        <v>-0.3223533276410831</v>
      </c>
      <c r="C920" s="13">
        <f t="shared" si="14"/>
        <v>0</v>
      </c>
    </row>
    <row r="921" spans="1:3" x14ac:dyDescent="0.25">
      <c r="A921" s="11">
        <v>0.91900000000000004</v>
      </c>
      <c r="B921" s="12">
        <f>(General_Model!$D$6/General_Model!$D$7)-1/(1+General_Model!$D$26/((1.2+0.2*(General_Model!$D$26/A921)+0.35*SQRT(9.80665*(General_Model!$D$4/1000))/A921)*A921))-(A921^2/(2*9.80665*General_Model!$D$7))*((4*(0.3164/((General_Model!$D$14*A921*(General_Model!$D$4/1000)/General_Model!$D$15)^0.25))*General_Model!$D$7/(General_Model!$D$4/1000)+1)+(4*(0.3164/((General_Model!$D$14*A921*(General_Model!$D$4/1000)/General_Model!$D$15)^0.25))*General_Model!$D$7/(General_Model!$D$4/1000)+2)*(General_Model!$D$26/A921))</f>
        <v>-0.3228191453176108</v>
      </c>
      <c r="C921" s="13">
        <f t="shared" si="14"/>
        <v>0</v>
      </c>
    </row>
    <row r="922" spans="1:3" x14ac:dyDescent="0.25">
      <c r="A922" s="11">
        <v>0.92</v>
      </c>
      <c r="B922" s="12">
        <f>(General_Model!$D$6/General_Model!$D$7)-1/(1+General_Model!$D$26/((1.2+0.2*(General_Model!$D$26/A922)+0.35*SQRT(9.80665*(General_Model!$D$4/1000))/A922)*A922))-(A922^2/(2*9.80665*General_Model!$D$7))*((4*(0.3164/((General_Model!$D$14*A922*(General_Model!$D$4/1000)/General_Model!$D$15)^0.25))*General_Model!$D$7/(General_Model!$D$4/1000)+1)+(4*(0.3164/((General_Model!$D$14*A922*(General_Model!$D$4/1000)/General_Model!$D$15)^0.25))*General_Model!$D$7/(General_Model!$D$4/1000)+2)*(General_Model!$D$26/A922))</f>
        <v>-0.3232849633101923</v>
      </c>
      <c r="C922" s="13">
        <f t="shared" si="14"/>
        <v>0</v>
      </c>
    </row>
    <row r="923" spans="1:3" x14ac:dyDescent="0.25">
      <c r="A923" s="11">
        <v>0.92100000000000004</v>
      </c>
      <c r="B923" s="12">
        <f>(General_Model!$D$6/General_Model!$D$7)-1/(1+General_Model!$D$26/((1.2+0.2*(General_Model!$D$26/A923)+0.35*SQRT(9.80665*(General_Model!$D$4/1000))/A923)*A923))-(A923^2/(2*9.80665*General_Model!$D$7))*((4*(0.3164/((General_Model!$D$14*A923*(General_Model!$D$4/1000)/General_Model!$D$15)^0.25))*General_Model!$D$7/(General_Model!$D$4/1000)+1)+(4*(0.3164/((General_Model!$D$14*A923*(General_Model!$D$4/1000)/General_Model!$D$15)^0.25))*General_Model!$D$7/(General_Model!$D$4/1000)+2)*(General_Model!$D$26/A923))</f>
        <v>-0.32375078194360168</v>
      </c>
      <c r="C923" s="13">
        <f t="shared" si="14"/>
        <v>0</v>
      </c>
    </row>
    <row r="924" spans="1:3" x14ac:dyDescent="0.25">
      <c r="A924" s="11">
        <v>0.92200000000000004</v>
      </c>
      <c r="B924" s="12">
        <f>(General_Model!$D$6/General_Model!$D$7)-1/(1+General_Model!$D$26/((1.2+0.2*(General_Model!$D$26/A924)+0.35*SQRT(9.80665*(General_Model!$D$4/1000))/A924)*A924))-(A924^2/(2*9.80665*General_Model!$D$7))*((4*(0.3164/((General_Model!$D$14*A924*(General_Model!$D$4/1000)/General_Model!$D$15)^0.25))*General_Model!$D$7/(General_Model!$D$4/1000)+1)+(4*(0.3164/((General_Model!$D$14*A924*(General_Model!$D$4/1000)/General_Model!$D$15)^0.25))*General_Model!$D$7/(General_Model!$D$4/1000)+2)*(General_Model!$D$26/A924))</f>
        <v>-0.32421660154181936</v>
      </c>
      <c r="C924" s="13">
        <f t="shared" si="14"/>
        <v>0</v>
      </c>
    </row>
    <row r="925" spans="1:3" x14ac:dyDescent="0.25">
      <c r="A925" s="11">
        <v>0.92300000000000004</v>
      </c>
      <c r="B925" s="12">
        <f>(General_Model!$D$6/General_Model!$D$7)-1/(1+General_Model!$D$26/((1.2+0.2*(General_Model!$D$26/A925)+0.35*SQRT(9.80665*(General_Model!$D$4/1000))/A925)*A925))-(A925^2/(2*9.80665*General_Model!$D$7))*((4*(0.3164/((General_Model!$D$14*A925*(General_Model!$D$4/1000)/General_Model!$D$15)^0.25))*General_Model!$D$7/(General_Model!$D$4/1000)+1)+(4*(0.3164/((General_Model!$D$14*A925*(General_Model!$D$4/1000)/General_Model!$D$15)^0.25))*General_Model!$D$7/(General_Model!$D$4/1000)+2)*(General_Model!$D$26/A925))</f>
        <v>-0.32468242242803325</v>
      </c>
      <c r="C925" s="13">
        <f t="shared" si="14"/>
        <v>0</v>
      </c>
    </row>
    <row r="926" spans="1:3" x14ac:dyDescent="0.25">
      <c r="A926" s="11">
        <v>0.92400000000000004</v>
      </c>
      <c r="B926" s="12">
        <f>(General_Model!$D$6/General_Model!$D$7)-1/(1+General_Model!$D$26/((1.2+0.2*(General_Model!$D$26/A926)+0.35*SQRT(9.80665*(General_Model!$D$4/1000))/A926)*A926))-(A926^2/(2*9.80665*General_Model!$D$7))*((4*(0.3164/((General_Model!$D$14*A926*(General_Model!$D$4/1000)/General_Model!$D$15)^0.25))*General_Model!$D$7/(General_Model!$D$4/1000)+1)+(4*(0.3164/((General_Model!$D$14*A926*(General_Model!$D$4/1000)/General_Model!$D$15)^0.25))*General_Model!$D$7/(General_Model!$D$4/1000)+2)*(General_Model!$D$26/A926))</f>
        <v>-0.32514824492464156</v>
      </c>
      <c r="C926" s="13">
        <f t="shared" si="14"/>
        <v>0</v>
      </c>
    </row>
    <row r="927" spans="1:3" x14ac:dyDescent="0.25">
      <c r="A927" s="11">
        <v>0.92500000000000004</v>
      </c>
      <c r="B927" s="12">
        <f>(General_Model!$D$6/General_Model!$D$7)-1/(1+General_Model!$D$26/((1.2+0.2*(General_Model!$D$26/A927)+0.35*SQRT(9.80665*(General_Model!$D$4/1000))/A927)*A927))-(A927^2/(2*9.80665*General_Model!$D$7))*((4*(0.3164/((General_Model!$D$14*A927*(General_Model!$D$4/1000)/General_Model!$D$15)^0.25))*General_Model!$D$7/(General_Model!$D$4/1000)+1)+(4*(0.3164/((General_Model!$D$14*A927*(General_Model!$D$4/1000)/General_Model!$D$15)^0.25))*General_Model!$D$7/(General_Model!$D$4/1000)+2)*(General_Model!$D$26/A927))</f>
        <v>-0.32561406935325599</v>
      </c>
      <c r="C927" s="13">
        <f t="shared" si="14"/>
        <v>0</v>
      </c>
    </row>
    <row r="928" spans="1:3" x14ac:dyDescent="0.25">
      <c r="A928" s="11">
        <v>0.92600000000000005</v>
      </c>
      <c r="B928" s="12">
        <f>(General_Model!$D$6/General_Model!$D$7)-1/(1+General_Model!$D$26/((1.2+0.2*(General_Model!$D$26/A928)+0.35*SQRT(9.80665*(General_Model!$D$4/1000))/A928)*A928))-(A928^2/(2*9.80665*General_Model!$D$7))*((4*(0.3164/((General_Model!$D$14*A928*(General_Model!$D$4/1000)/General_Model!$D$15)^0.25))*General_Model!$D$7/(General_Model!$D$4/1000)+1)+(4*(0.3164/((General_Model!$D$14*A928*(General_Model!$D$4/1000)/General_Model!$D$15)^0.25))*General_Model!$D$7/(General_Model!$D$4/1000)+2)*(General_Model!$D$26/A928))</f>
        <v>-0.32607989603470283</v>
      </c>
      <c r="C928" s="13">
        <f t="shared" si="14"/>
        <v>0</v>
      </c>
    </row>
    <row r="929" spans="1:3" x14ac:dyDescent="0.25">
      <c r="A929" s="11">
        <v>0.92700000000000005</v>
      </c>
      <c r="B929" s="12">
        <f>(General_Model!$D$6/General_Model!$D$7)-1/(1+General_Model!$D$26/((1.2+0.2*(General_Model!$D$26/A929)+0.35*SQRT(9.80665*(General_Model!$D$4/1000))/A929)*A929))-(A929^2/(2*9.80665*General_Model!$D$7))*((4*(0.3164/((General_Model!$D$14*A929*(General_Model!$D$4/1000)/General_Model!$D$15)^0.25))*General_Model!$D$7/(General_Model!$D$4/1000)+1)+(4*(0.3164/((General_Model!$D$14*A929*(General_Model!$D$4/1000)/General_Model!$D$15)^0.25))*General_Model!$D$7/(General_Model!$D$4/1000)+2)*(General_Model!$D$26/A929))</f>
        <v>-0.32654572528902603</v>
      </c>
      <c r="C929" s="13">
        <f t="shared" si="14"/>
        <v>0</v>
      </c>
    </row>
    <row r="930" spans="1:3" x14ac:dyDescent="0.25">
      <c r="A930" s="11">
        <v>0.92800000000000005</v>
      </c>
      <c r="B930" s="12">
        <f>(General_Model!$D$6/General_Model!$D$7)-1/(1+General_Model!$D$26/((1.2+0.2*(General_Model!$D$26/A930)+0.35*SQRT(9.80665*(General_Model!$D$4/1000))/A930)*A930))-(A930^2/(2*9.80665*General_Model!$D$7))*((4*(0.3164/((General_Model!$D$14*A930*(General_Model!$D$4/1000)/General_Model!$D$15)^0.25))*General_Model!$D$7/(General_Model!$D$4/1000)+1)+(4*(0.3164/((General_Model!$D$14*A930*(General_Model!$D$4/1000)/General_Model!$D$15)^0.25))*General_Model!$D$7/(General_Model!$D$4/1000)+2)*(General_Model!$D$26/A930))</f>
        <v>-0.32701155743548915</v>
      </c>
      <c r="C930" s="13">
        <f t="shared" si="14"/>
        <v>0</v>
      </c>
    </row>
    <row r="931" spans="1:3" x14ac:dyDescent="0.25">
      <c r="A931" s="11">
        <v>0.92900000000000005</v>
      </c>
      <c r="B931" s="12">
        <f>(General_Model!$D$6/General_Model!$D$7)-1/(1+General_Model!$D$26/((1.2+0.2*(General_Model!$D$26/A931)+0.35*SQRT(9.80665*(General_Model!$D$4/1000))/A931)*A931))-(A931^2/(2*9.80665*General_Model!$D$7))*((4*(0.3164/((General_Model!$D$14*A931*(General_Model!$D$4/1000)/General_Model!$D$15)^0.25))*General_Model!$D$7/(General_Model!$D$4/1000)+1)+(4*(0.3164/((General_Model!$D$14*A931*(General_Model!$D$4/1000)/General_Model!$D$15)^0.25))*General_Model!$D$7/(General_Model!$D$4/1000)+2)*(General_Model!$D$26/A931))</f>
        <v>-0.32747739279257815</v>
      </c>
      <c r="C931" s="13">
        <f t="shared" si="14"/>
        <v>0</v>
      </c>
    </row>
    <row r="932" spans="1:3" x14ac:dyDescent="0.25">
      <c r="A932" s="11">
        <v>0.93</v>
      </c>
      <c r="B932" s="12">
        <f>(General_Model!$D$6/General_Model!$D$7)-1/(1+General_Model!$D$26/((1.2+0.2*(General_Model!$D$26/A932)+0.35*SQRT(9.80665*(General_Model!$D$4/1000))/A932)*A932))-(A932^2/(2*9.80665*General_Model!$D$7))*((4*(0.3164/((General_Model!$D$14*A932*(General_Model!$D$4/1000)/General_Model!$D$15)^0.25))*General_Model!$D$7/(General_Model!$D$4/1000)+1)+(4*(0.3164/((General_Model!$D$14*A932*(General_Model!$D$4/1000)/General_Model!$D$15)^0.25))*General_Model!$D$7/(General_Model!$D$4/1000)+2)*(General_Model!$D$26/A932))</f>
        <v>-0.32794323167800332</v>
      </c>
      <c r="C932" s="13">
        <f t="shared" si="14"/>
        <v>0</v>
      </c>
    </row>
    <row r="933" spans="1:3" x14ac:dyDescent="0.25">
      <c r="A933" s="11">
        <v>0.93100000000000005</v>
      </c>
      <c r="B933" s="12">
        <f>(General_Model!$D$6/General_Model!$D$7)-1/(1+General_Model!$D$26/((1.2+0.2*(General_Model!$D$26/A933)+0.35*SQRT(9.80665*(General_Model!$D$4/1000))/A933)*A933))-(A933^2/(2*9.80665*General_Model!$D$7))*((4*(0.3164/((General_Model!$D$14*A933*(General_Model!$D$4/1000)/General_Model!$D$15)^0.25))*General_Model!$D$7/(General_Model!$D$4/1000)+1)+(4*(0.3164/((General_Model!$D$14*A933*(General_Model!$D$4/1000)/General_Model!$D$15)^0.25))*General_Model!$D$7/(General_Model!$D$4/1000)+2)*(General_Model!$D$26/A933))</f>
        <v>-0.32840907440870193</v>
      </c>
      <c r="C933" s="13">
        <f t="shared" si="14"/>
        <v>0</v>
      </c>
    </row>
    <row r="934" spans="1:3" x14ac:dyDescent="0.25">
      <c r="A934" s="11">
        <v>0.93200000000000005</v>
      </c>
      <c r="B934" s="12">
        <f>(General_Model!$D$6/General_Model!$D$7)-1/(1+General_Model!$D$26/((1.2+0.2*(General_Model!$D$26/A934)+0.35*SQRT(9.80665*(General_Model!$D$4/1000))/A934)*A934))-(A934^2/(2*9.80665*General_Model!$D$7))*((4*(0.3164/((General_Model!$D$14*A934*(General_Model!$D$4/1000)/General_Model!$D$15)^0.25))*General_Model!$D$7/(General_Model!$D$4/1000)+1)+(4*(0.3164/((General_Model!$D$14*A934*(General_Model!$D$4/1000)/General_Model!$D$15)^0.25))*General_Model!$D$7/(General_Model!$D$4/1000)+2)*(General_Model!$D$26/A934))</f>
        <v>-0.32887492130083984</v>
      </c>
      <c r="C934" s="13">
        <f t="shared" si="14"/>
        <v>0</v>
      </c>
    </row>
    <row r="935" spans="1:3" x14ac:dyDescent="0.25">
      <c r="A935" s="11">
        <v>0.93300000000000005</v>
      </c>
      <c r="B935" s="12">
        <f>(General_Model!$D$6/General_Model!$D$7)-1/(1+General_Model!$D$26/((1.2+0.2*(General_Model!$D$26/A935)+0.35*SQRT(9.80665*(General_Model!$D$4/1000))/A935)*A935))-(A935^2/(2*9.80665*General_Model!$D$7))*((4*(0.3164/((General_Model!$D$14*A935*(General_Model!$D$4/1000)/General_Model!$D$15)^0.25))*General_Model!$D$7/(General_Model!$D$4/1000)+1)+(4*(0.3164/((General_Model!$D$14*A935*(General_Model!$D$4/1000)/General_Model!$D$15)^0.25))*General_Model!$D$7/(General_Model!$D$4/1000)+2)*(General_Model!$D$26/A935))</f>
        <v>-0.32934077266981487</v>
      </c>
      <c r="C935" s="13">
        <f t="shared" si="14"/>
        <v>0</v>
      </c>
    </row>
    <row r="936" spans="1:3" x14ac:dyDescent="0.25">
      <c r="A936" s="11">
        <v>0.93400000000000005</v>
      </c>
      <c r="B936" s="12">
        <f>(General_Model!$D$6/General_Model!$D$7)-1/(1+General_Model!$D$26/((1.2+0.2*(General_Model!$D$26/A936)+0.35*SQRT(9.80665*(General_Model!$D$4/1000))/A936)*A936))-(A936^2/(2*9.80665*General_Model!$D$7))*((4*(0.3164/((General_Model!$D$14*A936*(General_Model!$D$4/1000)/General_Model!$D$15)^0.25))*General_Model!$D$7/(General_Model!$D$4/1000)+1)+(4*(0.3164/((General_Model!$D$14*A936*(General_Model!$D$4/1000)/General_Model!$D$15)^0.25))*General_Model!$D$7/(General_Model!$D$4/1000)+2)*(General_Model!$D$26/A936))</f>
        <v>-0.32980662883025813</v>
      </c>
      <c r="C936" s="13">
        <f t="shared" si="14"/>
        <v>0</v>
      </c>
    </row>
    <row r="937" spans="1:3" x14ac:dyDescent="0.25">
      <c r="A937" s="11">
        <v>0.93500000000000005</v>
      </c>
      <c r="B937" s="12">
        <f>(General_Model!$D$6/General_Model!$D$7)-1/(1+General_Model!$D$26/((1.2+0.2*(General_Model!$D$26/A937)+0.35*SQRT(9.80665*(General_Model!$D$4/1000))/A937)*A937))-(A937^2/(2*9.80665*General_Model!$D$7))*((4*(0.3164/((General_Model!$D$14*A937*(General_Model!$D$4/1000)/General_Model!$D$15)^0.25))*General_Model!$D$7/(General_Model!$D$4/1000)+1)+(4*(0.3164/((General_Model!$D$14*A937*(General_Model!$D$4/1000)/General_Model!$D$15)^0.25))*General_Model!$D$7/(General_Model!$D$4/1000)+2)*(General_Model!$D$26/A937))</f>
        <v>-0.33027249009603649</v>
      </c>
      <c r="C937" s="13">
        <f t="shared" si="14"/>
        <v>0</v>
      </c>
    </row>
    <row r="938" spans="1:3" x14ac:dyDescent="0.25">
      <c r="A938" s="11">
        <v>0.93600000000000005</v>
      </c>
      <c r="B938" s="12">
        <f>(General_Model!$D$6/General_Model!$D$7)-1/(1+General_Model!$D$26/((1.2+0.2*(General_Model!$D$26/A938)+0.35*SQRT(9.80665*(General_Model!$D$4/1000))/A938)*A938))-(A938^2/(2*9.80665*General_Model!$D$7))*((4*(0.3164/((General_Model!$D$14*A938*(General_Model!$D$4/1000)/General_Model!$D$15)^0.25))*General_Model!$D$7/(General_Model!$D$4/1000)+1)+(4*(0.3164/((General_Model!$D$14*A938*(General_Model!$D$4/1000)/General_Model!$D$15)^0.25))*General_Model!$D$7/(General_Model!$D$4/1000)+2)*(General_Model!$D$26/A938))</f>
        <v>-0.33073835678025565</v>
      </c>
      <c r="C938" s="13">
        <f t="shared" si="14"/>
        <v>0</v>
      </c>
    </row>
    <row r="939" spans="1:3" x14ac:dyDescent="0.25">
      <c r="A939" s="11">
        <v>0.93700000000000006</v>
      </c>
      <c r="B939" s="12">
        <f>(General_Model!$D$6/General_Model!$D$7)-1/(1+General_Model!$D$26/((1.2+0.2*(General_Model!$D$26/A939)+0.35*SQRT(9.80665*(General_Model!$D$4/1000))/A939)*A939))-(A939^2/(2*9.80665*General_Model!$D$7))*((4*(0.3164/((General_Model!$D$14*A939*(General_Model!$D$4/1000)/General_Model!$D$15)^0.25))*General_Model!$D$7/(General_Model!$D$4/1000)+1)+(4*(0.3164/((General_Model!$D$14*A939*(General_Model!$D$4/1000)/General_Model!$D$15)^0.25))*General_Model!$D$7/(General_Model!$D$4/1000)+2)*(General_Model!$D$26/A939))</f>
        <v>-0.33120422919526105</v>
      </c>
      <c r="C939" s="13">
        <f t="shared" si="14"/>
        <v>0</v>
      </c>
    </row>
    <row r="940" spans="1:3" x14ac:dyDescent="0.25">
      <c r="A940" s="11">
        <v>0.93800000000000006</v>
      </c>
      <c r="B940" s="12">
        <f>(General_Model!$D$6/General_Model!$D$7)-1/(1+General_Model!$D$26/((1.2+0.2*(General_Model!$D$26/A940)+0.35*SQRT(9.80665*(General_Model!$D$4/1000))/A940)*A940))-(A940^2/(2*9.80665*General_Model!$D$7))*((4*(0.3164/((General_Model!$D$14*A940*(General_Model!$D$4/1000)/General_Model!$D$15)^0.25))*General_Model!$D$7/(General_Model!$D$4/1000)+1)+(4*(0.3164/((General_Model!$D$14*A940*(General_Model!$D$4/1000)/General_Model!$D$15)^0.25))*General_Model!$D$7/(General_Model!$D$4/1000)+2)*(General_Model!$D$26/A940))</f>
        <v>-0.33167010765264116</v>
      </c>
      <c r="C940" s="13">
        <f t="shared" si="14"/>
        <v>0</v>
      </c>
    </row>
    <row r="941" spans="1:3" x14ac:dyDescent="0.25">
      <c r="A941" s="11">
        <v>0.93900000000000006</v>
      </c>
      <c r="B941" s="12">
        <f>(General_Model!$D$6/General_Model!$D$7)-1/(1+General_Model!$D$26/((1.2+0.2*(General_Model!$D$26/A941)+0.35*SQRT(9.80665*(General_Model!$D$4/1000))/A941)*A941))-(A941^2/(2*9.80665*General_Model!$D$7))*((4*(0.3164/((General_Model!$D$14*A941*(General_Model!$D$4/1000)/General_Model!$D$15)^0.25))*General_Model!$D$7/(General_Model!$D$4/1000)+1)+(4*(0.3164/((General_Model!$D$14*A941*(General_Model!$D$4/1000)/General_Model!$D$15)^0.25))*General_Model!$D$7/(General_Model!$D$4/1000)+2)*(General_Model!$D$26/A941))</f>
        <v>-0.33213599246322978</v>
      </c>
      <c r="C941" s="13">
        <f t="shared" si="14"/>
        <v>0</v>
      </c>
    </row>
    <row r="942" spans="1:3" x14ac:dyDescent="0.25">
      <c r="A942" s="11">
        <v>0.94000000000000006</v>
      </c>
      <c r="B942" s="12">
        <f>(General_Model!$D$6/General_Model!$D$7)-1/(1+General_Model!$D$26/((1.2+0.2*(General_Model!$D$26/A942)+0.35*SQRT(9.80665*(General_Model!$D$4/1000))/A942)*A942))-(A942^2/(2*9.80665*General_Model!$D$7))*((4*(0.3164/((General_Model!$D$14*A942*(General_Model!$D$4/1000)/General_Model!$D$15)^0.25))*General_Model!$D$7/(General_Model!$D$4/1000)+1)+(4*(0.3164/((General_Model!$D$14*A942*(General_Model!$D$4/1000)/General_Model!$D$15)^0.25))*General_Model!$D$7/(General_Model!$D$4/1000)+2)*(General_Model!$D$26/A942))</f>
        <v>-0.33260188393710688</v>
      </c>
      <c r="C942" s="13">
        <f t="shared" si="14"/>
        <v>0</v>
      </c>
    </row>
    <row r="943" spans="1:3" x14ac:dyDescent="0.25">
      <c r="A943" s="11">
        <v>0.94100000000000006</v>
      </c>
      <c r="B943" s="12">
        <f>(General_Model!$D$6/General_Model!$D$7)-1/(1+General_Model!$D$26/((1.2+0.2*(General_Model!$D$26/A943)+0.35*SQRT(9.80665*(General_Model!$D$4/1000))/A943)*A943))-(A943^2/(2*9.80665*General_Model!$D$7))*((4*(0.3164/((General_Model!$D$14*A943*(General_Model!$D$4/1000)/General_Model!$D$15)^0.25))*General_Model!$D$7/(General_Model!$D$4/1000)+1)+(4*(0.3164/((General_Model!$D$14*A943*(General_Model!$D$4/1000)/General_Model!$D$15)^0.25))*General_Model!$D$7/(General_Model!$D$4/1000)+2)*(General_Model!$D$26/A943))</f>
        <v>-0.33306778238360302</v>
      </c>
      <c r="C943" s="13">
        <f t="shared" si="14"/>
        <v>0</v>
      </c>
    </row>
    <row r="944" spans="1:3" x14ac:dyDescent="0.25">
      <c r="A944" s="11">
        <v>0.94200000000000006</v>
      </c>
      <c r="B944" s="12">
        <f>(General_Model!$D$6/General_Model!$D$7)-1/(1+General_Model!$D$26/((1.2+0.2*(General_Model!$D$26/A944)+0.35*SQRT(9.80665*(General_Model!$D$4/1000))/A944)*A944))-(A944^2/(2*9.80665*General_Model!$D$7))*((4*(0.3164/((General_Model!$D$14*A944*(General_Model!$D$4/1000)/General_Model!$D$15)^0.25))*General_Model!$D$7/(General_Model!$D$4/1000)+1)+(4*(0.3164/((General_Model!$D$14*A944*(General_Model!$D$4/1000)/General_Model!$D$15)^0.25))*General_Model!$D$7/(General_Model!$D$4/1000)+2)*(General_Model!$D$26/A944))</f>
        <v>-0.33353368811129969</v>
      </c>
      <c r="C944" s="13">
        <f t="shared" si="14"/>
        <v>0</v>
      </c>
    </row>
    <row r="945" spans="1:3" x14ac:dyDescent="0.25">
      <c r="A945" s="11">
        <v>0.94300000000000006</v>
      </c>
      <c r="B945" s="12">
        <f>(General_Model!$D$6/General_Model!$D$7)-1/(1+General_Model!$D$26/((1.2+0.2*(General_Model!$D$26/A945)+0.35*SQRT(9.80665*(General_Model!$D$4/1000))/A945)*A945))-(A945^2/(2*9.80665*General_Model!$D$7))*((4*(0.3164/((General_Model!$D$14*A945*(General_Model!$D$4/1000)/General_Model!$D$15)^0.25))*General_Model!$D$7/(General_Model!$D$4/1000)+1)+(4*(0.3164/((General_Model!$D$14*A945*(General_Model!$D$4/1000)/General_Model!$D$15)^0.25))*General_Model!$D$7/(General_Model!$D$4/1000)+2)*(General_Model!$D$26/A945))</f>
        <v>-0.3339996014280322</v>
      </c>
      <c r="C945" s="13">
        <f t="shared" si="14"/>
        <v>0</v>
      </c>
    </row>
    <row r="946" spans="1:3" x14ac:dyDescent="0.25">
      <c r="A946" s="11">
        <v>0.94400000000000006</v>
      </c>
      <c r="B946" s="12">
        <f>(General_Model!$D$6/General_Model!$D$7)-1/(1+General_Model!$D$26/((1.2+0.2*(General_Model!$D$26/A946)+0.35*SQRT(9.80665*(General_Model!$D$4/1000))/A946)*A946))-(A946^2/(2*9.80665*General_Model!$D$7))*((4*(0.3164/((General_Model!$D$14*A946*(General_Model!$D$4/1000)/General_Model!$D$15)^0.25))*General_Model!$D$7/(General_Model!$D$4/1000)+1)+(4*(0.3164/((General_Model!$D$14*A946*(General_Model!$D$4/1000)/General_Model!$D$15)^0.25))*General_Model!$D$7/(General_Model!$D$4/1000)+2)*(General_Model!$D$26/A946))</f>
        <v>-0.33446552264089247</v>
      </c>
      <c r="C946" s="13">
        <f t="shared" si="14"/>
        <v>0</v>
      </c>
    </row>
    <row r="947" spans="1:3" x14ac:dyDescent="0.25">
      <c r="A947" s="11">
        <v>0.94500000000000006</v>
      </c>
      <c r="B947" s="12">
        <f>(General_Model!$D$6/General_Model!$D$7)-1/(1+General_Model!$D$26/((1.2+0.2*(General_Model!$D$26/A947)+0.35*SQRT(9.80665*(General_Model!$D$4/1000))/A947)*A947))-(A947^2/(2*9.80665*General_Model!$D$7))*((4*(0.3164/((General_Model!$D$14*A947*(General_Model!$D$4/1000)/General_Model!$D$15)^0.25))*General_Model!$D$7/(General_Model!$D$4/1000)+1)+(4*(0.3164/((General_Model!$D$14*A947*(General_Model!$D$4/1000)/General_Model!$D$15)^0.25))*General_Model!$D$7/(General_Model!$D$4/1000)+2)*(General_Model!$D$26/A947))</f>
        <v>-0.33493145205623009</v>
      </c>
      <c r="C947" s="13">
        <f t="shared" si="14"/>
        <v>0</v>
      </c>
    </row>
    <row r="948" spans="1:3" x14ac:dyDescent="0.25">
      <c r="A948" s="11">
        <v>0.94600000000000006</v>
      </c>
      <c r="B948" s="12">
        <f>(General_Model!$D$6/General_Model!$D$7)-1/(1+General_Model!$D$26/((1.2+0.2*(General_Model!$D$26/A948)+0.35*SQRT(9.80665*(General_Model!$D$4/1000))/A948)*A948))-(A948^2/(2*9.80665*General_Model!$D$7))*((4*(0.3164/((General_Model!$D$14*A948*(General_Model!$D$4/1000)/General_Model!$D$15)^0.25))*General_Model!$D$7/(General_Model!$D$4/1000)+1)+(4*(0.3164/((General_Model!$D$14*A948*(General_Model!$D$4/1000)/General_Model!$D$15)^0.25))*General_Model!$D$7/(General_Model!$D$4/1000)+2)*(General_Model!$D$26/A948))</f>
        <v>-0.33539738997965551</v>
      </c>
      <c r="C948" s="13">
        <f t="shared" si="14"/>
        <v>0</v>
      </c>
    </row>
    <row r="949" spans="1:3" x14ac:dyDescent="0.25">
      <c r="A949" s="11">
        <v>0.94700000000000006</v>
      </c>
      <c r="B949" s="12">
        <f>(General_Model!$D$6/General_Model!$D$7)-1/(1+General_Model!$D$26/((1.2+0.2*(General_Model!$D$26/A949)+0.35*SQRT(9.80665*(General_Model!$D$4/1000))/A949)*A949))-(A949^2/(2*9.80665*General_Model!$D$7))*((4*(0.3164/((General_Model!$D$14*A949*(General_Model!$D$4/1000)/General_Model!$D$15)^0.25))*General_Model!$D$7/(General_Model!$D$4/1000)+1)+(4*(0.3164/((General_Model!$D$14*A949*(General_Model!$D$4/1000)/General_Model!$D$15)^0.25))*General_Model!$D$7/(General_Model!$D$4/1000)+2)*(General_Model!$D$26/A949))</f>
        <v>-0.33586333671604129</v>
      </c>
      <c r="C949" s="13">
        <f t="shared" si="14"/>
        <v>0</v>
      </c>
    </row>
    <row r="950" spans="1:3" x14ac:dyDescent="0.25">
      <c r="A950" s="11">
        <v>0.94800000000000006</v>
      </c>
      <c r="B950" s="12">
        <f>(General_Model!$D$6/General_Model!$D$7)-1/(1+General_Model!$D$26/((1.2+0.2*(General_Model!$D$26/A950)+0.35*SQRT(9.80665*(General_Model!$D$4/1000))/A950)*A950))-(A950^2/(2*9.80665*General_Model!$D$7))*((4*(0.3164/((General_Model!$D$14*A950*(General_Model!$D$4/1000)/General_Model!$D$15)^0.25))*General_Model!$D$7/(General_Model!$D$4/1000)+1)+(4*(0.3164/((General_Model!$D$14*A950*(General_Model!$D$4/1000)/General_Model!$D$15)^0.25))*General_Model!$D$7/(General_Model!$D$4/1000)+2)*(General_Model!$D$26/A950))</f>
        <v>-0.33632929256952537</v>
      </c>
      <c r="C950" s="13">
        <f t="shared" si="14"/>
        <v>0</v>
      </c>
    </row>
    <row r="951" spans="1:3" x14ac:dyDescent="0.25">
      <c r="A951" s="11">
        <v>0.94900000000000007</v>
      </c>
      <c r="B951" s="12">
        <f>(General_Model!$D$6/General_Model!$D$7)-1/(1+General_Model!$D$26/((1.2+0.2*(General_Model!$D$26/A951)+0.35*SQRT(9.80665*(General_Model!$D$4/1000))/A951)*A951))-(A951^2/(2*9.80665*General_Model!$D$7))*((4*(0.3164/((General_Model!$D$14*A951*(General_Model!$D$4/1000)/General_Model!$D$15)^0.25))*General_Model!$D$7/(General_Model!$D$4/1000)+1)+(4*(0.3164/((General_Model!$D$14*A951*(General_Model!$D$4/1000)/General_Model!$D$15)^0.25))*General_Model!$D$7/(General_Model!$D$4/1000)+2)*(General_Model!$D$26/A951))</f>
        <v>-0.33679525784351222</v>
      </c>
      <c r="C951" s="13">
        <f t="shared" si="14"/>
        <v>0</v>
      </c>
    </row>
    <row r="952" spans="1:3" x14ac:dyDescent="0.25">
      <c r="A952" s="11">
        <v>0.95000000000000007</v>
      </c>
      <c r="B952" s="12">
        <f>(General_Model!$D$6/General_Model!$D$7)-1/(1+General_Model!$D$26/((1.2+0.2*(General_Model!$D$26/A952)+0.35*SQRT(9.80665*(General_Model!$D$4/1000))/A952)*A952))-(A952^2/(2*9.80665*General_Model!$D$7))*((4*(0.3164/((General_Model!$D$14*A952*(General_Model!$D$4/1000)/General_Model!$D$15)^0.25))*General_Model!$D$7/(General_Model!$D$4/1000)+1)+(4*(0.3164/((General_Model!$D$14*A952*(General_Model!$D$4/1000)/General_Model!$D$15)^0.25))*General_Model!$D$7/(General_Model!$D$4/1000)+2)*(General_Model!$D$26/A952))</f>
        <v>-0.33726123284067594</v>
      </c>
      <c r="C952" s="13">
        <f t="shared" si="14"/>
        <v>0</v>
      </c>
    </row>
    <row r="953" spans="1:3" x14ac:dyDescent="0.25">
      <c r="A953" s="11">
        <v>0.95100000000000007</v>
      </c>
      <c r="B953" s="12">
        <f>(General_Model!$D$6/General_Model!$D$7)-1/(1+General_Model!$D$26/((1.2+0.2*(General_Model!$D$26/A953)+0.35*SQRT(9.80665*(General_Model!$D$4/1000))/A953)*A953))-(A953^2/(2*9.80665*General_Model!$D$7))*((4*(0.3164/((General_Model!$D$14*A953*(General_Model!$D$4/1000)/General_Model!$D$15)^0.25))*General_Model!$D$7/(General_Model!$D$4/1000)+1)+(4*(0.3164/((General_Model!$D$14*A953*(General_Model!$D$4/1000)/General_Model!$D$15)^0.25))*General_Model!$D$7/(General_Model!$D$4/1000)+2)*(General_Model!$D$26/A953))</f>
        <v>-0.33772721786296123</v>
      </c>
      <c r="C953" s="13">
        <f t="shared" si="14"/>
        <v>0</v>
      </c>
    </row>
    <row r="954" spans="1:3" x14ac:dyDescent="0.25">
      <c r="A954" s="11">
        <v>0.95200000000000007</v>
      </c>
      <c r="B954" s="12">
        <f>(General_Model!$D$6/General_Model!$D$7)-1/(1+General_Model!$D$26/((1.2+0.2*(General_Model!$D$26/A954)+0.35*SQRT(9.80665*(General_Model!$D$4/1000))/A954)*A954))-(A954^2/(2*9.80665*General_Model!$D$7))*((4*(0.3164/((General_Model!$D$14*A954*(General_Model!$D$4/1000)/General_Model!$D$15)^0.25))*General_Model!$D$7/(General_Model!$D$4/1000)+1)+(4*(0.3164/((General_Model!$D$14*A954*(General_Model!$D$4/1000)/General_Model!$D$15)^0.25))*General_Model!$D$7/(General_Model!$D$4/1000)+2)*(General_Model!$D$26/A954))</f>
        <v>-0.3381932132115868</v>
      </c>
      <c r="C954" s="13">
        <f t="shared" si="14"/>
        <v>0</v>
      </c>
    </row>
    <row r="955" spans="1:3" x14ac:dyDescent="0.25">
      <c r="A955" s="11">
        <v>0.95300000000000007</v>
      </c>
      <c r="B955" s="12">
        <f>(General_Model!$D$6/General_Model!$D$7)-1/(1+General_Model!$D$26/((1.2+0.2*(General_Model!$D$26/A955)+0.35*SQRT(9.80665*(General_Model!$D$4/1000))/A955)*A955))-(A955^2/(2*9.80665*General_Model!$D$7))*((4*(0.3164/((General_Model!$D$14*A955*(General_Model!$D$4/1000)/General_Model!$D$15)^0.25))*General_Model!$D$7/(General_Model!$D$4/1000)+1)+(4*(0.3164/((General_Model!$D$14*A955*(General_Model!$D$4/1000)/General_Model!$D$15)^0.25))*General_Model!$D$7/(General_Model!$D$4/1000)+2)*(General_Model!$D$26/A955))</f>
        <v>-0.33865921918704667</v>
      </c>
      <c r="C955" s="13">
        <f t="shared" si="14"/>
        <v>0</v>
      </c>
    </row>
    <row r="956" spans="1:3" x14ac:dyDescent="0.25">
      <c r="A956" s="11">
        <v>0.95400000000000007</v>
      </c>
      <c r="B956" s="12">
        <f>(General_Model!$D$6/General_Model!$D$7)-1/(1+General_Model!$D$26/((1.2+0.2*(General_Model!$D$26/A956)+0.35*SQRT(9.80665*(General_Model!$D$4/1000))/A956)*A956))-(A956^2/(2*9.80665*General_Model!$D$7))*((4*(0.3164/((General_Model!$D$14*A956*(General_Model!$D$4/1000)/General_Model!$D$15)^0.25))*General_Model!$D$7/(General_Model!$D$4/1000)+1)+(4*(0.3164/((General_Model!$D$14*A956*(General_Model!$D$4/1000)/General_Model!$D$15)^0.25))*General_Model!$D$7/(General_Model!$D$4/1000)+2)*(General_Model!$D$26/A956))</f>
        <v>-0.33912523608911238</v>
      </c>
      <c r="C956" s="13">
        <f t="shared" si="14"/>
        <v>0</v>
      </c>
    </row>
    <row r="957" spans="1:3" x14ac:dyDescent="0.25">
      <c r="A957" s="11">
        <v>0.95500000000000007</v>
      </c>
      <c r="B957" s="12">
        <f>(General_Model!$D$6/General_Model!$D$7)-1/(1+General_Model!$D$26/((1.2+0.2*(General_Model!$D$26/A957)+0.35*SQRT(9.80665*(General_Model!$D$4/1000))/A957)*A957))-(A957^2/(2*9.80665*General_Model!$D$7))*((4*(0.3164/((General_Model!$D$14*A957*(General_Model!$D$4/1000)/General_Model!$D$15)^0.25))*General_Model!$D$7/(General_Model!$D$4/1000)+1)+(4*(0.3164/((General_Model!$D$14*A957*(General_Model!$D$4/1000)/General_Model!$D$15)^0.25))*General_Model!$D$7/(General_Model!$D$4/1000)+2)*(General_Model!$D$26/A957))</f>
        <v>-0.33959126421683528</v>
      </c>
      <c r="C957" s="13">
        <f t="shared" si="14"/>
        <v>0</v>
      </c>
    </row>
    <row r="958" spans="1:3" x14ac:dyDescent="0.25">
      <c r="A958" s="11">
        <v>0.95600000000000007</v>
      </c>
      <c r="B958" s="12">
        <f>(General_Model!$D$6/General_Model!$D$7)-1/(1+General_Model!$D$26/((1.2+0.2*(General_Model!$D$26/A958)+0.35*SQRT(9.80665*(General_Model!$D$4/1000))/A958)*A958))-(A958^2/(2*9.80665*General_Model!$D$7))*((4*(0.3164/((General_Model!$D$14*A958*(General_Model!$D$4/1000)/General_Model!$D$15)^0.25))*General_Model!$D$7/(General_Model!$D$4/1000)+1)+(4*(0.3164/((General_Model!$D$14*A958*(General_Model!$D$4/1000)/General_Model!$D$15)^0.25))*General_Model!$D$7/(General_Model!$D$4/1000)+2)*(General_Model!$D$26/A958))</f>
        <v>-0.34005730386854949</v>
      </c>
      <c r="C958" s="13">
        <f t="shared" si="14"/>
        <v>0</v>
      </c>
    </row>
    <row r="959" spans="1:3" x14ac:dyDescent="0.25">
      <c r="A959" s="11">
        <v>0.95700000000000007</v>
      </c>
      <c r="B959" s="12">
        <f>(General_Model!$D$6/General_Model!$D$7)-1/(1+General_Model!$D$26/((1.2+0.2*(General_Model!$D$26/A959)+0.35*SQRT(9.80665*(General_Model!$D$4/1000))/A959)*A959))-(A959^2/(2*9.80665*General_Model!$D$7))*((4*(0.3164/((General_Model!$D$14*A959*(General_Model!$D$4/1000)/General_Model!$D$15)^0.25))*General_Model!$D$7/(General_Model!$D$4/1000)+1)+(4*(0.3164/((General_Model!$D$14*A959*(General_Model!$D$4/1000)/General_Model!$D$15)^0.25))*General_Model!$D$7/(General_Model!$D$4/1000)+2)*(General_Model!$D$26/A959))</f>
        <v>-0.34052335534187173</v>
      </c>
      <c r="C959" s="13">
        <f t="shared" si="14"/>
        <v>0</v>
      </c>
    </row>
    <row r="960" spans="1:3" x14ac:dyDescent="0.25">
      <c r="A960" s="11">
        <v>0.95800000000000007</v>
      </c>
      <c r="B960" s="12">
        <f>(General_Model!$D$6/General_Model!$D$7)-1/(1+General_Model!$D$26/((1.2+0.2*(General_Model!$D$26/A960)+0.35*SQRT(9.80665*(General_Model!$D$4/1000))/A960)*A960))-(A960^2/(2*9.80665*General_Model!$D$7))*((4*(0.3164/((General_Model!$D$14*A960*(General_Model!$D$4/1000)/General_Model!$D$15)^0.25))*General_Model!$D$7/(General_Model!$D$4/1000)+1)+(4*(0.3164/((General_Model!$D$14*A960*(General_Model!$D$4/1000)/General_Model!$D$15)^0.25))*General_Model!$D$7/(General_Model!$D$4/1000)+2)*(General_Model!$D$26/A960))</f>
        <v>-0.34098941893370605</v>
      </c>
      <c r="C960" s="13">
        <f t="shared" si="14"/>
        <v>0</v>
      </c>
    </row>
    <row r="961" spans="1:3" x14ac:dyDescent="0.25">
      <c r="A961" s="11">
        <v>0.95900000000000007</v>
      </c>
      <c r="B961" s="12">
        <f>(General_Model!$D$6/General_Model!$D$7)-1/(1+General_Model!$D$26/((1.2+0.2*(General_Model!$D$26/A961)+0.35*SQRT(9.80665*(General_Model!$D$4/1000))/A961)*A961))-(A961^2/(2*9.80665*General_Model!$D$7))*((4*(0.3164/((General_Model!$D$14*A961*(General_Model!$D$4/1000)/General_Model!$D$15)^0.25))*General_Model!$D$7/(General_Model!$D$4/1000)+1)+(4*(0.3164/((General_Model!$D$14*A961*(General_Model!$D$4/1000)/General_Model!$D$15)^0.25))*General_Model!$D$7/(General_Model!$D$4/1000)+2)*(General_Model!$D$26/A961))</f>
        <v>-0.34145549494024396</v>
      </c>
      <c r="C961" s="13">
        <f t="shared" si="14"/>
        <v>0</v>
      </c>
    </row>
    <row r="962" spans="1:3" x14ac:dyDescent="0.25">
      <c r="A962" s="11">
        <v>0.96000000000000008</v>
      </c>
      <c r="B962" s="12">
        <f>(General_Model!$D$6/General_Model!$D$7)-1/(1+General_Model!$D$26/((1.2+0.2*(General_Model!$D$26/A962)+0.35*SQRT(9.80665*(General_Model!$D$4/1000))/A962)*A962))-(A962^2/(2*9.80665*General_Model!$D$7))*((4*(0.3164/((General_Model!$D$14*A962*(General_Model!$D$4/1000)/General_Model!$D$15)^0.25))*General_Model!$D$7/(General_Model!$D$4/1000)+1)+(4*(0.3164/((General_Model!$D$14*A962*(General_Model!$D$4/1000)/General_Model!$D$15)^0.25))*General_Model!$D$7/(General_Model!$D$4/1000)+2)*(General_Model!$D$26/A962))</f>
        <v>-0.34192158365696773</v>
      </c>
      <c r="C962" s="13">
        <f t="shared" si="14"/>
        <v>0</v>
      </c>
    </row>
    <row r="963" spans="1:3" x14ac:dyDescent="0.25">
      <c r="A963" s="11">
        <v>0.96099999999999997</v>
      </c>
      <c r="B963" s="12">
        <f>(General_Model!$D$6/General_Model!$D$7)-1/(1+General_Model!$D$26/((1.2+0.2*(General_Model!$D$26/A963)+0.35*SQRT(9.80665*(General_Model!$D$4/1000))/A963)*A963))-(A963^2/(2*9.80665*General_Model!$D$7))*((4*(0.3164/((General_Model!$D$14*A963*(General_Model!$D$4/1000)/General_Model!$D$15)^0.25))*General_Model!$D$7/(General_Model!$D$4/1000)+1)+(4*(0.3164/((General_Model!$D$14*A963*(General_Model!$D$4/1000)/General_Model!$D$15)^0.25))*General_Model!$D$7/(General_Model!$D$4/1000)+2)*(General_Model!$D$26/A963))</f>
        <v>-0.3423876853786515</v>
      </c>
      <c r="C963" s="13">
        <f t="shared" ref="C963:C1026" si="15">IF(B963*B964&lt;=0,1,0)</f>
        <v>0</v>
      </c>
    </row>
    <row r="964" spans="1:3" x14ac:dyDescent="0.25">
      <c r="A964" s="11">
        <v>0.96199999999999997</v>
      </c>
      <c r="B964" s="12">
        <f>(General_Model!$D$6/General_Model!$D$7)-1/(1+General_Model!$D$26/((1.2+0.2*(General_Model!$D$26/A964)+0.35*SQRT(9.80665*(General_Model!$D$4/1000))/A964)*A964))-(A964^2/(2*9.80665*General_Model!$D$7))*((4*(0.3164/((General_Model!$D$14*A964*(General_Model!$D$4/1000)/General_Model!$D$15)^0.25))*General_Model!$D$7/(General_Model!$D$4/1000)+1)+(4*(0.3164/((General_Model!$D$14*A964*(General_Model!$D$4/1000)/General_Model!$D$15)^0.25))*General_Model!$D$7/(General_Model!$D$4/1000)+2)*(General_Model!$D$26/A964))</f>
        <v>-0.34285380039936497</v>
      </c>
      <c r="C964" s="13">
        <f t="shared" si="15"/>
        <v>0</v>
      </c>
    </row>
    <row r="965" spans="1:3" x14ac:dyDescent="0.25">
      <c r="A965" s="11">
        <v>0.96299999999999997</v>
      </c>
      <c r="B965" s="12">
        <f>(General_Model!$D$6/General_Model!$D$7)-1/(1+General_Model!$D$26/((1.2+0.2*(General_Model!$D$26/A965)+0.35*SQRT(9.80665*(General_Model!$D$4/1000))/A965)*A965))-(A965^2/(2*9.80665*General_Model!$D$7))*((4*(0.3164/((General_Model!$D$14*A965*(General_Model!$D$4/1000)/General_Model!$D$15)^0.25))*General_Model!$D$7/(General_Model!$D$4/1000)+1)+(4*(0.3164/((General_Model!$D$14*A965*(General_Model!$D$4/1000)/General_Model!$D$15)^0.25))*General_Model!$D$7/(General_Model!$D$4/1000)+2)*(General_Model!$D$26/A965))</f>
        <v>-0.34331992901247282</v>
      </c>
      <c r="C965" s="13">
        <f t="shared" si="15"/>
        <v>0</v>
      </c>
    </row>
    <row r="966" spans="1:3" x14ac:dyDescent="0.25">
      <c r="A966" s="11">
        <v>0.96399999999999997</v>
      </c>
      <c r="B966" s="12">
        <f>(General_Model!$D$6/General_Model!$D$7)-1/(1+General_Model!$D$26/((1.2+0.2*(General_Model!$D$26/A966)+0.35*SQRT(9.80665*(General_Model!$D$4/1000))/A966)*A966))-(A966^2/(2*9.80665*General_Model!$D$7))*((4*(0.3164/((General_Model!$D$14*A966*(General_Model!$D$4/1000)/General_Model!$D$15)^0.25))*General_Model!$D$7/(General_Model!$D$4/1000)+1)+(4*(0.3164/((General_Model!$D$14*A966*(General_Model!$D$4/1000)/General_Model!$D$15)^0.25))*General_Model!$D$7/(General_Model!$D$4/1000)+2)*(General_Model!$D$26/A966))</f>
        <v>-0.34378607151063911</v>
      </c>
      <c r="C966" s="13">
        <f t="shared" si="15"/>
        <v>0</v>
      </c>
    </row>
    <row r="967" spans="1:3" x14ac:dyDescent="0.25">
      <c r="A967" s="11">
        <v>0.96499999999999997</v>
      </c>
      <c r="B967" s="12">
        <f>(General_Model!$D$6/General_Model!$D$7)-1/(1+General_Model!$D$26/((1.2+0.2*(General_Model!$D$26/A967)+0.35*SQRT(9.80665*(General_Model!$D$4/1000))/A967)*A967))-(A967^2/(2*9.80665*General_Model!$D$7))*((4*(0.3164/((General_Model!$D$14*A967*(General_Model!$D$4/1000)/General_Model!$D$15)^0.25))*General_Model!$D$7/(General_Model!$D$4/1000)+1)+(4*(0.3164/((General_Model!$D$14*A967*(General_Model!$D$4/1000)/General_Model!$D$15)^0.25))*General_Model!$D$7/(General_Model!$D$4/1000)+2)*(General_Model!$D$26/A967))</f>
        <v>-0.34425222818582879</v>
      </c>
      <c r="C967" s="13">
        <f t="shared" si="15"/>
        <v>0</v>
      </c>
    </row>
    <row r="968" spans="1:3" x14ac:dyDescent="0.25">
      <c r="A968" s="11">
        <v>0.96599999999999997</v>
      </c>
      <c r="B968" s="12">
        <f>(General_Model!$D$6/General_Model!$D$7)-1/(1+General_Model!$D$26/((1.2+0.2*(General_Model!$D$26/A968)+0.35*SQRT(9.80665*(General_Model!$D$4/1000))/A968)*A968))-(A968^2/(2*9.80665*General_Model!$D$7))*((4*(0.3164/((General_Model!$D$14*A968*(General_Model!$D$4/1000)/General_Model!$D$15)^0.25))*General_Model!$D$7/(General_Model!$D$4/1000)+1)+(4*(0.3164/((General_Model!$D$14*A968*(General_Model!$D$4/1000)/General_Model!$D$15)^0.25))*General_Model!$D$7/(General_Model!$D$4/1000)+2)*(General_Model!$D$26/A968))</f>
        <v>-0.34471839932930887</v>
      </c>
      <c r="C968" s="13">
        <f t="shared" si="15"/>
        <v>0</v>
      </c>
    </row>
    <row r="969" spans="1:3" x14ac:dyDescent="0.25">
      <c r="A969" s="11">
        <v>0.96699999999999997</v>
      </c>
      <c r="B969" s="12">
        <f>(General_Model!$D$6/General_Model!$D$7)-1/(1+General_Model!$D$26/((1.2+0.2*(General_Model!$D$26/A969)+0.35*SQRT(9.80665*(General_Model!$D$4/1000))/A969)*A969))-(A969^2/(2*9.80665*General_Model!$D$7))*((4*(0.3164/((General_Model!$D$14*A969*(General_Model!$D$4/1000)/General_Model!$D$15)^0.25))*General_Model!$D$7/(General_Model!$D$4/1000)+1)+(4*(0.3164/((General_Model!$D$14*A969*(General_Model!$D$4/1000)/General_Model!$D$15)^0.25))*General_Model!$D$7/(General_Model!$D$4/1000)+2)*(General_Model!$D$26/A969))</f>
        <v>-0.34518458523165141</v>
      </c>
      <c r="C969" s="13">
        <f t="shared" si="15"/>
        <v>0</v>
      </c>
    </row>
    <row r="970" spans="1:3" x14ac:dyDescent="0.25">
      <c r="A970" s="11">
        <v>0.96799999999999997</v>
      </c>
      <c r="B970" s="12">
        <f>(General_Model!$D$6/General_Model!$D$7)-1/(1+General_Model!$D$26/((1.2+0.2*(General_Model!$D$26/A970)+0.35*SQRT(9.80665*(General_Model!$D$4/1000))/A970)*A970))-(A970^2/(2*9.80665*General_Model!$D$7))*((4*(0.3164/((General_Model!$D$14*A970*(General_Model!$D$4/1000)/General_Model!$D$15)^0.25))*General_Model!$D$7/(General_Model!$D$4/1000)+1)+(4*(0.3164/((General_Model!$D$14*A970*(General_Model!$D$4/1000)/General_Model!$D$15)^0.25))*General_Model!$D$7/(General_Model!$D$4/1000)+2)*(General_Model!$D$26/A970))</f>
        <v>-0.34565078618273498</v>
      </c>
      <c r="C970" s="13">
        <f t="shared" si="15"/>
        <v>0</v>
      </c>
    </row>
    <row r="971" spans="1:3" x14ac:dyDescent="0.25">
      <c r="A971" s="11">
        <v>0.96899999999999997</v>
      </c>
      <c r="B971" s="12">
        <f>(General_Model!$D$6/General_Model!$D$7)-1/(1+General_Model!$D$26/((1.2+0.2*(General_Model!$D$26/A971)+0.35*SQRT(9.80665*(General_Model!$D$4/1000))/A971)*A971))-(A971^2/(2*9.80665*General_Model!$D$7))*((4*(0.3164/((General_Model!$D$14*A971*(General_Model!$D$4/1000)/General_Model!$D$15)^0.25))*General_Model!$D$7/(General_Model!$D$4/1000)+1)+(4*(0.3164/((General_Model!$D$14*A971*(General_Model!$D$4/1000)/General_Model!$D$15)^0.25))*General_Model!$D$7/(General_Model!$D$4/1000)+2)*(General_Model!$D$26/A971))</f>
        <v>-0.34611700247174682</v>
      </c>
      <c r="C971" s="13">
        <f t="shared" si="15"/>
        <v>0</v>
      </c>
    </row>
    <row r="972" spans="1:3" x14ac:dyDescent="0.25">
      <c r="A972" s="11">
        <v>0.97</v>
      </c>
      <c r="B972" s="12">
        <f>(General_Model!$D$6/General_Model!$D$7)-1/(1+General_Model!$D$26/((1.2+0.2*(General_Model!$D$26/A972)+0.35*SQRT(9.80665*(General_Model!$D$4/1000))/A972)*A972))-(A972^2/(2*9.80665*General_Model!$D$7))*((4*(0.3164/((General_Model!$D$14*A972*(General_Model!$D$4/1000)/General_Model!$D$15)^0.25))*General_Model!$D$7/(General_Model!$D$4/1000)+1)+(4*(0.3164/((General_Model!$D$14*A972*(General_Model!$D$4/1000)/General_Model!$D$15)^0.25))*General_Model!$D$7/(General_Model!$D$4/1000)+2)*(General_Model!$D$26/A972))</f>
        <v>-0.34658323438718536</v>
      </c>
      <c r="C972" s="13">
        <f t="shared" si="15"/>
        <v>0</v>
      </c>
    </row>
    <row r="973" spans="1:3" x14ac:dyDescent="0.25">
      <c r="A973" s="11">
        <v>0.97099999999999997</v>
      </c>
      <c r="B973" s="12">
        <f>(General_Model!$D$6/General_Model!$D$7)-1/(1+General_Model!$D$26/((1.2+0.2*(General_Model!$D$26/A973)+0.35*SQRT(9.80665*(General_Model!$D$4/1000))/A973)*A973))-(A973^2/(2*9.80665*General_Model!$D$7))*((4*(0.3164/((General_Model!$D$14*A973*(General_Model!$D$4/1000)/General_Model!$D$15)^0.25))*General_Model!$D$7/(General_Model!$D$4/1000)+1)+(4*(0.3164/((General_Model!$D$14*A973*(General_Model!$D$4/1000)/General_Model!$D$15)^0.25))*General_Model!$D$7/(General_Model!$D$4/1000)+2)*(General_Model!$D$26/A973))</f>
        <v>-0.34704948221686127</v>
      </c>
      <c r="C973" s="13">
        <f t="shared" si="15"/>
        <v>0</v>
      </c>
    </row>
    <row r="974" spans="1:3" x14ac:dyDescent="0.25">
      <c r="A974" s="11">
        <v>0.97199999999999998</v>
      </c>
      <c r="B974" s="12">
        <f>(General_Model!$D$6/General_Model!$D$7)-1/(1+General_Model!$D$26/((1.2+0.2*(General_Model!$D$26/A974)+0.35*SQRT(9.80665*(General_Model!$D$4/1000))/A974)*A974))-(A974^2/(2*9.80665*General_Model!$D$7))*((4*(0.3164/((General_Model!$D$14*A974*(General_Model!$D$4/1000)/General_Model!$D$15)^0.25))*General_Model!$D$7/(General_Model!$D$4/1000)+1)+(4*(0.3164/((General_Model!$D$14*A974*(General_Model!$D$4/1000)/General_Model!$D$15)^0.25))*General_Model!$D$7/(General_Model!$D$4/1000)+2)*(General_Model!$D$26/A974))</f>
        <v>-0.34751574624790016</v>
      </c>
      <c r="C974" s="13">
        <f t="shared" si="15"/>
        <v>0</v>
      </c>
    </row>
    <row r="975" spans="1:3" x14ac:dyDescent="0.25">
      <c r="A975" s="11">
        <v>0.97299999999999998</v>
      </c>
      <c r="B975" s="12">
        <f>(General_Model!$D$6/General_Model!$D$7)-1/(1+General_Model!$D$26/((1.2+0.2*(General_Model!$D$26/A975)+0.35*SQRT(9.80665*(General_Model!$D$4/1000))/A975)*A975))-(A975^2/(2*9.80665*General_Model!$D$7))*((4*(0.3164/((General_Model!$D$14*A975*(General_Model!$D$4/1000)/General_Model!$D$15)^0.25))*General_Model!$D$7/(General_Model!$D$4/1000)+1)+(4*(0.3164/((General_Model!$D$14*A975*(General_Model!$D$4/1000)/General_Model!$D$15)^0.25))*General_Model!$D$7/(General_Model!$D$4/1000)+2)*(General_Model!$D$26/A975))</f>
        <v>-0.3479820267667445</v>
      </c>
      <c r="C975" s="13">
        <f t="shared" si="15"/>
        <v>0</v>
      </c>
    </row>
    <row r="976" spans="1:3" x14ac:dyDescent="0.25">
      <c r="A976" s="11">
        <v>0.97399999999999998</v>
      </c>
      <c r="B976" s="12">
        <f>(General_Model!$D$6/General_Model!$D$7)-1/(1+General_Model!$D$26/((1.2+0.2*(General_Model!$D$26/A976)+0.35*SQRT(9.80665*(General_Model!$D$4/1000))/A976)*A976))-(A976^2/(2*9.80665*General_Model!$D$7))*((4*(0.3164/((General_Model!$D$14*A976*(General_Model!$D$4/1000)/General_Model!$D$15)^0.25))*General_Model!$D$7/(General_Model!$D$4/1000)+1)+(4*(0.3164/((General_Model!$D$14*A976*(General_Model!$D$4/1000)/General_Model!$D$15)^0.25))*General_Model!$D$7/(General_Model!$D$4/1000)+2)*(General_Model!$D$26/A976))</f>
        <v>-0.34844832405915521</v>
      </c>
      <c r="C976" s="13">
        <f t="shared" si="15"/>
        <v>0</v>
      </c>
    </row>
    <row r="977" spans="1:3" x14ac:dyDescent="0.25">
      <c r="A977" s="11">
        <v>0.97499999999999998</v>
      </c>
      <c r="B977" s="12">
        <f>(General_Model!$D$6/General_Model!$D$7)-1/(1+General_Model!$D$26/((1.2+0.2*(General_Model!$D$26/A977)+0.35*SQRT(9.80665*(General_Model!$D$4/1000))/A977)*A977))-(A977^2/(2*9.80665*General_Model!$D$7))*((4*(0.3164/((General_Model!$D$14*A977*(General_Model!$D$4/1000)/General_Model!$D$15)^0.25))*General_Model!$D$7/(General_Model!$D$4/1000)+1)+(4*(0.3164/((General_Model!$D$14*A977*(General_Model!$D$4/1000)/General_Model!$D$15)^0.25))*General_Model!$D$7/(General_Model!$D$4/1000)+2)*(General_Model!$D$26/A977))</f>
        <v>-0.34891463841021425</v>
      </c>
      <c r="C977" s="13">
        <f t="shared" si="15"/>
        <v>0</v>
      </c>
    </row>
    <row r="978" spans="1:3" x14ac:dyDescent="0.25">
      <c r="A978" s="11">
        <v>0.97599999999999998</v>
      </c>
      <c r="B978" s="12">
        <f>(General_Model!$D$6/General_Model!$D$7)-1/(1+General_Model!$D$26/((1.2+0.2*(General_Model!$D$26/A978)+0.35*SQRT(9.80665*(General_Model!$D$4/1000))/A978)*A978))-(A978^2/(2*9.80665*General_Model!$D$7))*((4*(0.3164/((General_Model!$D$14*A978*(General_Model!$D$4/1000)/General_Model!$D$15)^0.25))*General_Model!$D$7/(General_Model!$D$4/1000)+1)+(4*(0.3164/((General_Model!$D$14*A978*(General_Model!$D$4/1000)/General_Model!$D$15)^0.25))*General_Model!$D$7/(General_Model!$D$4/1000)+2)*(General_Model!$D$26/A978))</f>
        <v>-0.34938097010432601</v>
      </c>
      <c r="C978" s="13">
        <f t="shared" si="15"/>
        <v>0</v>
      </c>
    </row>
    <row r="979" spans="1:3" x14ac:dyDescent="0.25">
      <c r="A979" s="11">
        <v>0.97699999999999998</v>
      </c>
      <c r="B979" s="12">
        <f>(General_Model!$D$6/General_Model!$D$7)-1/(1+General_Model!$D$26/((1.2+0.2*(General_Model!$D$26/A979)+0.35*SQRT(9.80665*(General_Model!$D$4/1000))/A979)*A979))-(A979^2/(2*9.80665*General_Model!$D$7))*((4*(0.3164/((General_Model!$D$14*A979*(General_Model!$D$4/1000)/General_Model!$D$15)^0.25))*General_Model!$D$7/(General_Model!$D$4/1000)+1)+(4*(0.3164/((General_Model!$D$14*A979*(General_Model!$D$4/1000)/General_Model!$D$15)^0.25))*General_Model!$D$7/(General_Model!$D$4/1000)+2)*(General_Model!$D$26/A979))</f>
        <v>-0.34984731942521968</v>
      </c>
      <c r="C979" s="13">
        <f t="shared" si="15"/>
        <v>0</v>
      </c>
    </row>
    <row r="980" spans="1:3" x14ac:dyDescent="0.25">
      <c r="A980" s="11">
        <v>0.97799999999999998</v>
      </c>
      <c r="B980" s="12">
        <f>(General_Model!$D$6/General_Model!$D$7)-1/(1+General_Model!$D$26/((1.2+0.2*(General_Model!$D$26/A980)+0.35*SQRT(9.80665*(General_Model!$D$4/1000))/A980)*A980))-(A980^2/(2*9.80665*General_Model!$D$7))*((4*(0.3164/((General_Model!$D$14*A980*(General_Model!$D$4/1000)/General_Model!$D$15)^0.25))*General_Model!$D$7/(General_Model!$D$4/1000)+1)+(4*(0.3164/((General_Model!$D$14*A980*(General_Model!$D$4/1000)/General_Model!$D$15)^0.25))*General_Model!$D$7/(General_Model!$D$4/1000)+2)*(General_Model!$D$26/A980))</f>
        <v>-0.35031368665595081</v>
      </c>
      <c r="C980" s="13">
        <f t="shared" si="15"/>
        <v>0</v>
      </c>
    </row>
    <row r="981" spans="1:3" x14ac:dyDescent="0.25">
      <c r="A981" s="11">
        <v>0.97899999999999998</v>
      </c>
      <c r="B981" s="12">
        <f>(General_Model!$D$6/General_Model!$D$7)-1/(1+General_Model!$D$26/((1.2+0.2*(General_Model!$D$26/A981)+0.35*SQRT(9.80665*(General_Model!$D$4/1000))/A981)*A981))-(A981^2/(2*9.80665*General_Model!$D$7))*((4*(0.3164/((General_Model!$D$14*A981*(General_Model!$D$4/1000)/General_Model!$D$15)^0.25))*General_Model!$D$7/(General_Model!$D$4/1000)+1)+(4*(0.3164/((General_Model!$D$14*A981*(General_Model!$D$4/1000)/General_Model!$D$15)^0.25))*General_Model!$D$7/(General_Model!$D$4/1000)+2)*(General_Model!$D$26/A981))</f>
        <v>-0.3507800720789036</v>
      </c>
      <c r="C981" s="13">
        <f t="shared" si="15"/>
        <v>0</v>
      </c>
    </row>
    <row r="982" spans="1:3" x14ac:dyDescent="0.25">
      <c r="A982" s="11">
        <v>0.98</v>
      </c>
      <c r="B982" s="12">
        <f>(General_Model!$D$6/General_Model!$D$7)-1/(1+General_Model!$D$26/((1.2+0.2*(General_Model!$D$26/A982)+0.35*SQRT(9.80665*(General_Model!$D$4/1000))/A982)*A982))-(A982^2/(2*9.80665*General_Model!$D$7))*((4*(0.3164/((General_Model!$D$14*A982*(General_Model!$D$4/1000)/General_Model!$D$15)^0.25))*General_Model!$D$7/(General_Model!$D$4/1000)+1)+(4*(0.3164/((General_Model!$D$14*A982*(General_Model!$D$4/1000)/General_Model!$D$15)^0.25))*General_Model!$D$7/(General_Model!$D$4/1000)+2)*(General_Model!$D$26/A982))</f>
        <v>-0.35124647597579273</v>
      </c>
      <c r="C982" s="13">
        <f t="shared" si="15"/>
        <v>0</v>
      </c>
    </row>
    <row r="983" spans="1:3" x14ac:dyDescent="0.25">
      <c r="A983" s="11">
        <v>0.98099999999999998</v>
      </c>
      <c r="B983" s="12">
        <f>(General_Model!$D$6/General_Model!$D$7)-1/(1+General_Model!$D$26/((1.2+0.2*(General_Model!$D$26/A983)+0.35*SQRT(9.80665*(General_Model!$D$4/1000))/A983)*A983))-(A983^2/(2*9.80665*General_Model!$D$7))*((4*(0.3164/((General_Model!$D$14*A983*(General_Model!$D$4/1000)/General_Model!$D$15)^0.25))*General_Model!$D$7/(General_Model!$D$4/1000)+1)+(4*(0.3164/((General_Model!$D$14*A983*(General_Model!$D$4/1000)/General_Model!$D$15)^0.25))*General_Model!$D$7/(General_Model!$D$4/1000)+2)*(General_Model!$D$26/A983))</f>
        <v>-0.35171289862766575</v>
      </c>
      <c r="C983" s="13">
        <f t="shared" si="15"/>
        <v>0</v>
      </c>
    </row>
    <row r="984" spans="1:3" x14ac:dyDescent="0.25">
      <c r="A984" s="11">
        <v>0.98199999999999998</v>
      </c>
      <c r="B984" s="12">
        <f>(General_Model!$D$6/General_Model!$D$7)-1/(1+General_Model!$D$26/((1.2+0.2*(General_Model!$D$26/A984)+0.35*SQRT(9.80665*(General_Model!$D$4/1000))/A984)*A984))-(A984^2/(2*9.80665*General_Model!$D$7))*((4*(0.3164/((General_Model!$D$14*A984*(General_Model!$D$4/1000)/General_Model!$D$15)^0.25))*General_Model!$D$7/(General_Model!$D$4/1000)+1)+(4*(0.3164/((General_Model!$D$14*A984*(General_Model!$D$4/1000)/General_Model!$D$15)^0.25))*General_Model!$D$7/(General_Model!$D$4/1000)+2)*(General_Model!$D$26/A984))</f>
        <v>-0.35217934031490356</v>
      </c>
      <c r="C984" s="13">
        <f t="shared" si="15"/>
        <v>0</v>
      </c>
    </row>
    <row r="985" spans="1:3" x14ac:dyDescent="0.25">
      <c r="A985" s="11">
        <v>0.98299999999999998</v>
      </c>
      <c r="B985" s="12">
        <f>(General_Model!$D$6/General_Model!$D$7)-1/(1+General_Model!$D$26/((1.2+0.2*(General_Model!$D$26/A985)+0.35*SQRT(9.80665*(General_Model!$D$4/1000))/A985)*A985))-(A985^2/(2*9.80665*General_Model!$D$7))*((4*(0.3164/((General_Model!$D$14*A985*(General_Model!$D$4/1000)/General_Model!$D$15)^0.25))*General_Model!$D$7/(General_Model!$D$4/1000)+1)+(4*(0.3164/((General_Model!$D$14*A985*(General_Model!$D$4/1000)/General_Model!$D$15)^0.25))*General_Model!$D$7/(General_Model!$D$4/1000)+2)*(General_Model!$D$26/A985))</f>
        <v>-0.35264580131722434</v>
      </c>
      <c r="C985" s="13">
        <f t="shared" si="15"/>
        <v>0</v>
      </c>
    </row>
    <row r="986" spans="1:3" x14ac:dyDescent="0.25">
      <c r="A986" s="11">
        <v>0.98399999999999999</v>
      </c>
      <c r="B986" s="12">
        <f>(General_Model!$D$6/General_Model!$D$7)-1/(1+General_Model!$D$26/((1.2+0.2*(General_Model!$D$26/A986)+0.35*SQRT(9.80665*(General_Model!$D$4/1000))/A986)*A986))-(A986^2/(2*9.80665*General_Model!$D$7))*((4*(0.3164/((General_Model!$D$14*A986*(General_Model!$D$4/1000)/General_Model!$D$15)^0.25))*General_Model!$D$7/(General_Model!$D$4/1000)+1)+(4*(0.3164/((General_Model!$D$14*A986*(General_Model!$D$4/1000)/General_Model!$D$15)^0.25))*General_Model!$D$7/(General_Model!$D$4/1000)+2)*(General_Model!$D$26/A986))</f>
        <v>-0.35311228191368416</v>
      </c>
      <c r="C986" s="13">
        <f t="shared" si="15"/>
        <v>0</v>
      </c>
    </row>
    <row r="987" spans="1:3" x14ac:dyDescent="0.25">
      <c r="A987" s="11">
        <v>0.98499999999999999</v>
      </c>
      <c r="B987" s="12">
        <f>(General_Model!$D$6/General_Model!$D$7)-1/(1+General_Model!$D$26/((1.2+0.2*(General_Model!$D$26/A987)+0.35*SQRT(9.80665*(General_Model!$D$4/1000))/A987)*A987))-(A987^2/(2*9.80665*General_Model!$D$7))*((4*(0.3164/((General_Model!$D$14*A987*(General_Model!$D$4/1000)/General_Model!$D$15)^0.25))*General_Model!$D$7/(General_Model!$D$4/1000)+1)+(4*(0.3164/((General_Model!$D$14*A987*(General_Model!$D$4/1000)/General_Model!$D$15)^0.25))*General_Model!$D$7/(General_Model!$D$4/1000)+2)*(General_Model!$D$26/A987))</f>
        <v>-0.35357878238267881</v>
      </c>
      <c r="C987" s="13">
        <f t="shared" si="15"/>
        <v>0</v>
      </c>
    </row>
    <row r="988" spans="1:3" x14ac:dyDescent="0.25">
      <c r="A988" s="11">
        <v>0.98599999999999999</v>
      </c>
      <c r="B988" s="12">
        <f>(General_Model!$D$6/General_Model!$D$7)-1/(1+General_Model!$D$26/((1.2+0.2*(General_Model!$D$26/A988)+0.35*SQRT(9.80665*(General_Model!$D$4/1000))/A988)*A988))-(A988^2/(2*9.80665*General_Model!$D$7))*((4*(0.3164/((General_Model!$D$14*A988*(General_Model!$D$4/1000)/General_Model!$D$15)^0.25))*General_Model!$D$7/(General_Model!$D$4/1000)+1)+(4*(0.3164/((General_Model!$D$14*A988*(General_Model!$D$4/1000)/General_Model!$D$15)^0.25))*General_Model!$D$7/(General_Model!$D$4/1000)+2)*(General_Model!$D$26/A988))</f>
        <v>-0.35404530300194637</v>
      </c>
      <c r="C988" s="13">
        <f t="shared" si="15"/>
        <v>0</v>
      </c>
    </row>
    <row r="989" spans="1:3" x14ac:dyDescent="0.25">
      <c r="A989" s="11">
        <v>0.98699999999999999</v>
      </c>
      <c r="B989" s="12">
        <f>(General_Model!$D$6/General_Model!$D$7)-1/(1+General_Model!$D$26/((1.2+0.2*(General_Model!$D$26/A989)+0.35*SQRT(9.80665*(General_Model!$D$4/1000))/A989)*A989))-(A989^2/(2*9.80665*General_Model!$D$7))*((4*(0.3164/((General_Model!$D$14*A989*(General_Model!$D$4/1000)/General_Model!$D$15)^0.25))*General_Model!$D$7/(General_Model!$D$4/1000)+1)+(4*(0.3164/((General_Model!$D$14*A989*(General_Model!$D$4/1000)/General_Model!$D$15)^0.25))*General_Model!$D$7/(General_Model!$D$4/1000)+2)*(General_Model!$D$26/A989))</f>
        <v>-0.35451184404856928</v>
      </c>
      <c r="C989" s="13">
        <f t="shared" si="15"/>
        <v>0</v>
      </c>
    </row>
    <row r="990" spans="1:3" x14ac:dyDescent="0.25">
      <c r="A990" s="11">
        <v>0.98799999999999999</v>
      </c>
      <c r="B990" s="12">
        <f>(General_Model!$D$6/General_Model!$D$7)-1/(1+General_Model!$D$26/((1.2+0.2*(General_Model!$D$26/A990)+0.35*SQRT(9.80665*(General_Model!$D$4/1000))/A990)*A990))-(A990^2/(2*9.80665*General_Model!$D$7))*((4*(0.3164/((General_Model!$D$14*A990*(General_Model!$D$4/1000)/General_Model!$D$15)^0.25))*General_Model!$D$7/(General_Model!$D$4/1000)+1)+(4*(0.3164/((General_Model!$D$14*A990*(General_Model!$D$4/1000)/General_Model!$D$15)^0.25))*General_Model!$D$7/(General_Model!$D$4/1000)+2)*(General_Model!$D$26/A990))</f>
        <v>-0.35497840579897477</v>
      </c>
      <c r="C990" s="13">
        <f t="shared" si="15"/>
        <v>0</v>
      </c>
    </row>
    <row r="991" spans="1:3" x14ac:dyDescent="0.25">
      <c r="A991" s="11">
        <v>0.98899999999999999</v>
      </c>
      <c r="B991" s="12">
        <f>(General_Model!$D$6/General_Model!$D$7)-1/(1+General_Model!$D$26/((1.2+0.2*(General_Model!$D$26/A991)+0.35*SQRT(9.80665*(General_Model!$D$4/1000))/A991)*A991))-(A991^2/(2*9.80665*General_Model!$D$7))*((4*(0.3164/((General_Model!$D$14*A991*(General_Model!$D$4/1000)/General_Model!$D$15)^0.25))*General_Model!$D$7/(General_Model!$D$4/1000)+1)+(4*(0.3164/((General_Model!$D$14*A991*(General_Model!$D$4/1000)/General_Model!$D$15)^0.25))*General_Model!$D$7/(General_Model!$D$4/1000)+2)*(General_Model!$D$26/A991))</f>
        <v>-0.35544498852893863</v>
      </c>
      <c r="C991" s="13">
        <f t="shared" si="15"/>
        <v>0</v>
      </c>
    </row>
    <row r="992" spans="1:3" x14ac:dyDescent="0.25">
      <c r="A992" s="11">
        <v>0.99</v>
      </c>
      <c r="B992" s="12">
        <f>(General_Model!$D$6/General_Model!$D$7)-1/(1+General_Model!$D$26/((1.2+0.2*(General_Model!$D$26/A992)+0.35*SQRT(9.80665*(General_Model!$D$4/1000))/A992)*A992))-(A992^2/(2*9.80665*General_Model!$D$7))*((4*(0.3164/((General_Model!$D$14*A992*(General_Model!$D$4/1000)/General_Model!$D$15)^0.25))*General_Model!$D$7/(General_Model!$D$4/1000)+1)+(4*(0.3164/((General_Model!$D$14*A992*(General_Model!$D$4/1000)/General_Model!$D$15)^0.25))*General_Model!$D$7/(General_Model!$D$4/1000)+2)*(General_Model!$D$26/A992))</f>
        <v>-0.35591159251358584</v>
      </c>
      <c r="C992" s="13">
        <f t="shared" si="15"/>
        <v>0</v>
      </c>
    </row>
    <row r="993" spans="1:3" x14ac:dyDescent="0.25">
      <c r="A993" s="11">
        <v>0.99099999999999999</v>
      </c>
      <c r="B993" s="12">
        <f>(General_Model!$D$6/General_Model!$D$7)-1/(1+General_Model!$D$26/((1.2+0.2*(General_Model!$D$26/A993)+0.35*SQRT(9.80665*(General_Model!$D$4/1000))/A993)*A993))-(A993^2/(2*9.80665*General_Model!$D$7))*((4*(0.3164/((General_Model!$D$14*A993*(General_Model!$D$4/1000)/General_Model!$D$15)^0.25))*General_Model!$D$7/(General_Model!$D$4/1000)+1)+(4*(0.3164/((General_Model!$D$14*A993*(General_Model!$D$4/1000)/General_Model!$D$15)^0.25))*General_Model!$D$7/(General_Model!$D$4/1000)+2)*(General_Model!$D$26/A993))</f>
        <v>-0.35637821802739278</v>
      </c>
      <c r="C993" s="13">
        <f t="shared" si="15"/>
        <v>0</v>
      </c>
    </row>
    <row r="994" spans="1:3" x14ac:dyDescent="0.25">
      <c r="A994" s="11">
        <v>0.99199999999999999</v>
      </c>
      <c r="B994" s="12">
        <f>(General_Model!$D$6/General_Model!$D$7)-1/(1+General_Model!$D$26/((1.2+0.2*(General_Model!$D$26/A994)+0.35*SQRT(9.80665*(General_Model!$D$4/1000))/A994)*A994))-(A994^2/(2*9.80665*General_Model!$D$7))*((4*(0.3164/((General_Model!$D$14*A994*(General_Model!$D$4/1000)/General_Model!$D$15)^0.25))*General_Model!$D$7/(General_Model!$D$4/1000)+1)+(4*(0.3164/((General_Model!$D$14*A994*(General_Model!$D$4/1000)/General_Model!$D$15)^0.25))*General_Model!$D$7/(General_Model!$D$4/1000)+2)*(General_Model!$D$26/A994))</f>
        <v>-0.35684486534418935</v>
      </c>
      <c r="C994" s="13">
        <f t="shared" si="15"/>
        <v>0</v>
      </c>
    </row>
    <row r="995" spans="1:3" x14ac:dyDescent="0.25">
      <c r="A995" s="11">
        <v>0.99299999999999999</v>
      </c>
      <c r="B995" s="12">
        <f>(General_Model!$D$6/General_Model!$D$7)-1/(1+General_Model!$D$26/((1.2+0.2*(General_Model!$D$26/A995)+0.35*SQRT(9.80665*(General_Model!$D$4/1000))/A995)*A995))-(A995^2/(2*9.80665*General_Model!$D$7))*((4*(0.3164/((General_Model!$D$14*A995*(General_Model!$D$4/1000)/General_Model!$D$15)^0.25))*General_Model!$D$7/(General_Model!$D$4/1000)+1)+(4*(0.3164/((General_Model!$D$14*A995*(General_Model!$D$4/1000)/General_Model!$D$15)^0.25))*General_Model!$D$7/(General_Model!$D$4/1000)+2)*(General_Model!$D$26/A995))</f>
        <v>-0.35731153473716043</v>
      </c>
      <c r="C995" s="13">
        <f t="shared" si="15"/>
        <v>0</v>
      </c>
    </row>
    <row r="996" spans="1:3" x14ac:dyDescent="0.25">
      <c r="A996" s="11">
        <v>0.99399999999999999</v>
      </c>
      <c r="B996" s="12">
        <f>(General_Model!$D$6/General_Model!$D$7)-1/(1+General_Model!$D$26/((1.2+0.2*(General_Model!$D$26/A996)+0.35*SQRT(9.80665*(General_Model!$D$4/1000))/A996)*A996))-(A996^2/(2*9.80665*General_Model!$D$7))*((4*(0.3164/((General_Model!$D$14*A996*(General_Model!$D$4/1000)/General_Model!$D$15)^0.25))*General_Model!$D$7/(General_Model!$D$4/1000)+1)+(4*(0.3164/((General_Model!$D$14*A996*(General_Model!$D$4/1000)/General_Model!$D$15)^0.25))*General_Model!$D$7/(General_Model!$D$4/1000)+2)*(General_Model!$D$26/A996))</f>
        <v>-0.35777822647884794</v>
      </c>
      <c r="C996" s="13">
        <f t="shared" si="15"/>
        <v>0</v>
      </c>
    </row>
    <row r="997" spans="1:3" x14ac:dyDescent="0.25">
      <c r="A997" s="11">
        <v>0.995</v>
      </c>
      <c r="B997" s="12">
        <f>(General_Model!$D$6/General_Model!$D$7)-1/(1+General_Model!$D$26/((1.2+0.2*(General_Model!$D$26/A997)+0.35*SQRT(9.80665*(General_Model!$D$4/1000))/A997)*A997))-(A997^2/(2*9.80665*General_Model!$D$7))*((4*(0.3164/((General_Model!$D$14*A997*(General_Model!$D$4/1000)/General_Model!$D$15)^0.25))*General_Model!$D$7/(General_Model!$D$4/1000)+1)+(4*(0.3164/((General_Model!$D$14*A997*(General_Model!$D$4/1000)/General_Model!$D$15)^0.25))*General_Model!$D$7/(General_Model!$D$4/1000)+2)*(General_Model!$D$26/A997))</f>
        <v>-0.35824494084115255</v>
      </c>
      <c r="C997" s="13">
        <f t="shared" si="15"/>
        <v>0</v>
      </c>
    </row>
    <row r="998" spans="1:3" x14ac:dyDescent="0.25">
      <c r="A998" s="11">
        <v>0.996</v>
      </c>
      <c r="B998" s="12">
        <f>(General_Model!$D$6/General_Model!$D$7)-1/(1+General_Model!$D$26/((1.2+0.2*(General_Model!$D$26/A998)+0.35*SQRT(9.80665*(General_Model!$D$4/1000))/A998)*A998))-(A998^2/(2*9.80665*General_Model!$D$7))*((4*(0.3164/((General_Model!$D$14*A998*(General_Model!$D$4/1000)/General_Model!$D$15)^0.25))*General_Model!$D$7/(General_Model!$D$4/1000)+1)+(4*(0.3164/((General_Model!$D$14*A998*(General_Model!$D$4/1000)/General_Model!$D$15)^0.25))*General_Model!$D$7/(General_Model!$D$4/1000)+2)*(General_Model!$D$26/A998))</f>
        <v>-0.35871167809533583</v>
      </c>
      <c r="C998" s="13">
        <f t="shared" si="15"/>
        <v>0</v>
      </c>
    </row>
    <row r="999" spans="1:3" x14ac:dyDescent="0.25">
      <c r="A999" s="11">
        <v>0.997</v>
      </c>
      <c r="B999" s="12">
        <f>(General_Model!$D$6/General_Model!$D$7)-1/(1+General_Model!$D$26/((1.2+0.2*(General_Model!$D$26/A999)+0.35*SQRT(9.80665*(General_Model!$D$4/1000))/A999)*A999))-(A999^2/(2*9.80665*General_Model!$D$7))*((4*(0.3164/((General_Model!$D$14*A999*(General_Model!$D$4/1000)/General_Model!$D$15)^0.25))*General_Model!$D$7/(General_Model!$D$4/1000)+1)+(4*(0.3164/((General_Model!$D$14*A999*(General_Model!$D$4/1000)/General_Model!$D$15)^0.25))*General_Model!$D$7/(General_Model!$D$4/1000)+2)*(General_Model!$D$26/A999))</f>
        <v>-0.3591784385120218</v>
      </c>
      <c r="C999" s="13">
        <f t="shared" si="15"/>
        <v>0</v>
      </c>
    </row>
    <row r="1000" spans="1:3" x14ac:dyDescent="0.25">
      <c r="A1000" s="11">
        <v>0.998</v>
      </c>
      <c r="B1000" s="12">
        <f>(General_Model!$D$6/General_Model!$D$7)-1/(1+General_Model!$D$26/((1.2+0.2*(General_Model!$D$26/A1000)+0.35*SQRT(9.80665*(General_Model!$D$4/1000))/A1000)*A1000))-(A1000^2/(2*9.80665*General_Model!$D$7))*((4*(0.3164/((General_Model!$D$14*A1000*(General_Model!$D$4/1000)/General_Model!$D$15)^0.25))*General_Model!$D$7/(General_Model!$D$4/1000)+1)+(4*(0.3164/((General_Model!$D$14*A1000*(General_Model!$D$4/1000)/General_Model!$D$15)^0.25))*General_Model!$D$7/(General_Model!$D$4/1000)+2)*(General_Model!$D$26/A1000))</f>
        <v>-0.3596452223611985</v>
      </c>
      <c r="C1000" s="13">
        <f t="shared" si="15"/>
        <v>0</v>
      </c>
    </row>
    <row r="1001" spans="1:3" x14ac:dyDescent="0.25">
      <c r="A1001" s="11">
        <v>0.999</v>
      </c>
      <c r="B1001" s="12">
        <f>(General_Model!$D$6/General_Model!$D$7)-1/(1+General_Model!$D$26/((1.2+0.2*(General_Model!$D$26/A1001)+0.35*SQRT(9.80665*(General_Model!$D$4/1000))/A1001)*A1001))-(A1001^2/(2*9.80665*General_Model!$D$7))*((4*(0.3164/((General_Model!$D$14*A1001*(General_Model!$D$4/1000)/General_Model!$D$15)^0.25))*General_Model!$D$7/(General_Model!$D$4/1000)+1)+(4*(0.3164/((General_Model!$D$14*A1001*(General_Model!$D$4/1000)/General_Model!$D$15)^0.25))*General_Model!$D$7/(General_Model!$D$4/1000)+2)*(General_Model!$D$26/A1001))</f>
        <v>-0.36011202991222091</v>
      </c>
      <c r="C1001" s="13">
        <f t="shared" si="15"/>
        <v>0</v>
      </c>
    </row>
    <row r="1002" spans="1:3" x14ac:dyDescent="0.25">
      <c r="A1002" s="11">
        <v>1</v>
      </c>
      <c r="B1002" s="12">
        <f>(General_Model!$D$6/General_Model!$D$7)-1/(1+General_Model!$D$26/((1.2+0.2*(General_Model!$D$26/A1002)+0.35*SQRT(9.80665*(General_Model!$D$4/1000))/A1002)*A1002))-(A1002^2/(2*9.80665*General_Model!$D$7))*((4*(0.3164/((General_Model!$D$14*A1002*(General_Model!$D$4/1000)/General_Model!$D$15)^0.25))*General_Model!$D$7/(General_Model!$D$4/1000)+1)+(4*(0.3164/((General_Model!$D$14*A1002*(General_Model!$D$4/1000)/General_Model!$D$15)^0.25))*General_Model!$D$7/(General_Model!$D$4/1000)+2)*(General_Model!$D$26/A1002))</f>
        <v>-0.36057886143381124</v>
      </c>
      <c r="C1002" s="13"/>
    </row>
  </sheetData>
  <autoFilter ref="A2:C1002" xr:uid="{00000000-0009-0000-0000-000002000000}"/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8.7109375" customWidth="1"/>
    <col min="2" max="2" width="27.7109375" customWidth="1"/>
    <col min="3" max="3" width="22.7109375" customWidth="1"/>
  </cols>
  <sheetData>
    <row r="1" spans="1:3" ht="18.75" x14ac:dyDescent="0.25">
      <c r="A1" s="15" t="s">
        <v>53</v>
      </c>
      <c r="B1" s="15"/>
      <c r="C1" s="15"/>
    </row>
    <row r="2" spans="1:3" x14ac:dyDescent="0.25">
      <c r="A2" s="10" t="s">
        <v>49</v>
      </c>
      <c r="B2" s="10" t="s">
        <v>50</v>
      </c>
      <c r="C2" s="10" t="s">
        <v>51</v>
      </c>
    </row>
    <row r="3" spans="1:3" x14ac:dyDescent="0.25">
      <c r="A3" s="11">
        <v>1E-3</v>
      </c>
      <c r="B3" s="12">
        <f>(General_Model!$E$6/General_Model!$E$7)-1/(1+General_Model!$E$26/((1.2+0.2*(General_Model!$E$26/A3)+0.35*SQRT(9.80665*(General_Model!$E$4/1000))/A3)*A3))-(A3^2/(2*9.80665*General_Model!$E$7))*((4*(0.3164/((General_Model!$E$14*A3*(General_Model!$E$4/1000)/General_Model!$E$15)^0.25))*General_Model!$E$7/(General_Model!$E$4/1000)+1)+(4*(0.3164/((General_Model!$E$14*A3*(General_Model!$E$4/1000)/General_Model!$E$15)^0.25))*General_Model!$E$7/(General_Model!$E$4/1000)+2)*(General_Model!$E$26/A3))</f>
        <v>0.19725979582250849</v>
      </c>
      <c r="C3" s="13">
        <f t="shared" ref="C3:C66" si="0">IF(B3*B4&lt;=0,1,0)</f>
        <v>0</v>
      </c>
    </row>
    <row r="4" spans="1:3" x14ac:dyDescent="0.25">
      <c r="A4" s="11">
        <v>2E-3</v>
      </c>
      <c r="B4" s="12">
        <f>(General_Model!$E$6/General_Model!$E$7)-1/(1+General_Model!$E$26/((1.2+0.2*(General_Model!$E$26/A4)+0.35*SQRT(9.80665*(General_Model!$E$4/1000))/A4)*A4))-(A4^2/(2*9.80665*General_Model!$E$7))*((4*(0.3164/((General_Model!$E$14*A4*(General_Model!$E$4/1000)/General_Model!$E$15)^0.25))*General_Model!$E$7/(General_Model!$E$4/1000)+1)+(4*(0.3164/((General_Model!$E$14*A4*(General_Model!$E$4/1000)/General_Model!$E$15)^0.25))*General_Model!$E$7/(General_Model!$E$4/1000)+2)*(General_Model!$E$26/A4))</f>
        <v>0.19637503539503023</v>
      </c>
      <c r="C4" s="13">
        <f t="shared" si="0"/>
        <v>0</v>
      </c>
    </row>
    <row r="5" spans="1:3" x14ac:dyDescent="0.25">
      <c r="A5" s="11">
        <v>3.0000000000000001E-3</v>
      </c>
      <c r="B5" s="12">
        <f>(General_Model!$E$6/General_Model!$E$7)-1/(1+General_Model!$E$26/((1.2+0.2*(General_Model!$E$26/A5)+0.35*SQRT(9.80665*(General_Model!$E$4/1000))/A5)*A5))-(A5^2/(2*9.80665*General_Model!$E$7))*((4*(0.3164/((General_Model!$E$14*A5*(General_Model!$E$4/1000)/General_Model!$E$15)^0.25))*General_Model!$E$7/(General_Model!$E$4/1000)+1)+(4*(0.3164/((General_Model!$E$14*A5*(General_Model!$E$4/1000)/General_Model!$E$15)^0.25))*General_Model!$E$7/(General_Model!$E$4/1000)+2)*(General_Model!$E$26/A5))</f>
        <v>0.19550731219810888</v>
      </c>
      <c r="C5" s="13">
        <f t="shared" si="0"/>
        <v>0</v>
      </c>
    </row>
    <row r="6" spans="1:3" x14ac:dyDescent="0.25">
      <c r="A6" s="11">
        <v>4.0000000000000001E-3</v>
      </c>
      <c r="B6" s="12">
        <f>(General_Model!$E$6/General_Model!$E$7)-1/(1+General_Model!$E$26/((1.2+0.2*(General_Model!$E$26/A6)+0.35*SQRT(9.80665*(General_Model!$E$4/1000))/A6)*A6))-(A6^2/(2*9.80665*General_Model!$E$7))*((4*(0.3164/((General_Model!$E$14*A6*(General_Model!$E$4/1000)/General_Model!$E$15)^0.25))*General_Model!$E$7/(General_Model!$E$4/1000)+1)+(4*(0.3164/((General_Model!$E$14*A6*(General_Model!$E$4/1000)/General_Model!$E$15)^0.25))*General_Model!$E$7/(General_Model!$E$4/1000)+2)*(General_Model!$E$26/A6))</f>
        <v>0.19464999157709714</v>
      </c>
      <c r="C6" s="13">
        <f t="shared" si="0"/>
        <v>0</v>
      </c>
    </row>
    <row r="7" spans="1:3" x14ac:dyDescent="0.25">
      <c r="A7" s="11">
        <v>5.0000000000000001E-3</v>
      </c>
      <c r="B7" s="12">
        <f>(General_Model!$E$6/General_Model!$E$7)-1/(1+General_Model!$E$26/((1.2+0.2*(General_Model!$E$26/A7)+0.35*SQRT(9.80665*(General_Model!$E$4/1000))/A7)*A7))-(A7^2/(2*9.80665*General_Model!$E$7))*((4*(0.3164/((General_Model!$E$14*A7*(General_Model!$E$4/1000)/General_Model!$E$15)^0.25))*General_Model!$E$7/(General_Model!$E$4/1000)+1)+(4*(0.3164/((General_Model!$E$14*A7*(General_Model!$E$4/1000)/General_Model!$E$15)^0.25))*General_Model!$E$7/(General_Model!$E$4/1000)+2)*(General_Model!$E$26/A7))</f>
        <v>0.19380022897382007</v>
      </c>
      <c r="C7" s="13">
        <f t="shared" si="0"/>
        <v>0</v>
      </c>
    </row>
    <row r="8" spans="1:3" x14ac:dyDescent="0.25">
      <c r="A8" s="11">
        <v>6.0000000000000001E-3</v>
      </c>
      <c r="B8" s="12">
        <f>(General_Model!$E$6/General_Model!$E$7)-1/(1+General_Model!$E$26/((1.2+0.2*(General_Model!$E$26/A8)+0.35*SQRT(9.80665*(General_Model!$E$4/1000))/A8)*A8))-(A8^2/(2*9.80665*General_Model!$E$7))*((4*(0.3164/((General_Model!$E$14*A8*(General_Model!$E$4/1000)/General_Model!$E$15)^0.25))*General_Model!$E$7/(General_Model!$E$4/1000)+1)+(4*(0.3164/((General_Model!$E$14*A8*(General_Model!$E$4/1000)/General_Model!$E$15)^0.25))*General_Model!$E$7/(General_Model!$E$4/1000)+2)*(General_Model!$E$26/A8))</f>
        <v>0.19295646174346373</v>
      </c>
      <c r="C8" s="13">
        <f t="shared" si="0"/>
        <v>0</v>
      </c>
    </row>
    <row r="9" spans="1:3" x14ac:dyDescent="0.25">
      <c r="A9" s="11">
        <v>7.0000000000000001E-3</v>
      </c>
      <c r="B9" s="12">
        <f>(General_Model!$E$6/General_Model!$E$7)-1/(1+General_Model!$E$26/((1.2+0.2*(General_Model!$E$26/A9)+0.35*SQRT(9.80665*(General_Model!$E$4/1000))/A9)*A9))-(A9^2/(2*9.80665*General_Model!$E$7))*((4*(0.3164/((General_Model!$E$14*A9*(General_Model!$E$4/1000)/General_Model!$E$15)^0.25))*General_Model!$E$7/(General_Model!$E$4/1000)+1)+(4*(0.3164/((General_Model!$E$14*A9*(General_Model!$E$4/1000)/General_Model!$E$15)^0.25))*General_Model!$E$7/(General_Model!$E$4/1000)+2)*(General_Model!$E$26/A9))</f>
        <v>0.19211771097358532</v>
      </c>
      <c r="C9" s="13">
        <f t="shared" si="0"/>
        <v>0</v>
      </c>
    </row>
    <row r="10" spans="1:3" x14ac:dyDescent="0.25">
      <c r="A10" s="11">
        <v>8.0000000000000002E-3</v>
      </c>
      <c r="B10" s="12">
        <f>(General_Model!$E$6/General_Model!$E$7)-1/(1+General_Model!$E$26/((1.2+0.2*(General_Model!$E$26/A10)+0.35*SQRT(9.80665*(General_Model!$E$4/1000))/A10)*A10))-(A10^2/(2*9.80665*General_Model!$E$7))*((4*(0.3164/((General_Model!$E$14*A10*(General_Model!$E$4/1000)/General_Model!$E$15)^0.25))*General_Model!$E$7/(General_Model!$E$4/1000)+1)+(4*(0.3164/((General_Model!$E$14*A10*(General_Model!$E$4/1000)/General_Model!$E$15)^0.25))*General_Model!$E$7/(General_Model!$E$4/1000)+2)*(General_Model!$E$26/A10))</f>
        <v>0.19128331027554385</v>
      </c>
      <c r="C10" s="13">
        <f t="shared" si="0"/>
        <v>0</v>
      </c>
    </row>
    <row r="11" spans="1:3" x14ac:dyDescent="0.25">
      <c r="A11" s="11">
        <v>9.0000000000000011E-3</v>
      </c>
      <c r="B11" s="12">
        <f>(General_Model!$E$6/General_Model!$E$7)-1/(1+General_Model!$E$26/((1.2+0.2*(General_Model!$E$26/A11)+0.35*SQRT(9.80665*(General_Model!$E$4/1000))/A11)*A11))-(A11^2/(2*9.80665*General_Model!$E$7))*((4*(0.3164/((General_Model!$E$14*A11*(General_Model!$E$4/1000)/General_Model!$E$15)^0.25))*General_Model!$E$7/(General_Model!$E$4/1000)+1)+(4*(0.3164/((General_Model!$E$14*A11*(General_Model!$E$4/1000)/General_Model!$E$15)^0.25))*General_Model!$E$7/(General_Model!$E$4/1000)+2)*(General_Model!$E$26/A11))</f>
        <v>0.19045277899500274</v>
      </c>
      <c r="C11" s="13">
        <f t="shared" si="0"/>
        <v>0</v>
      </c>
    </row>
    <row r="12" spans="1:3" x14ac:dyDescent="0.25">
      <c r="A12" s="11">
        <v>0.01</v>
      </c>
      <c r="B12" s="12">
        <f>(General_Model!$E$6/General_Model!$E$7)-1/(1+General_Model!$E$26/((1.2+0.2*(General_Model!$E$26/A12)+0.35*SQRT(9.80665*(General_Model!$E$4/1000))/A12)*A12))-(A12^2/(2*9.80665*General_Model!$E$7))*((4*(0.3164/((General_Model!$E$14*A12*(General_Model!$E$4/1000)/General_Model!$E$15)^0.25))*General_Model!$E$7/(General_Model!$E$4/1000)+1)+(4*(0.3164/((General_Model!$E$14*A12*(General_Model!$E$4/1000)/General_Model!$E$15)^0.25))*General_Model!$E$7/(General_Model!$E$4/1000)+2)*(General_Model!$E$26/A12))</f>
        <v>0.18962575529135955</v>
      </c>
      <c r="C12" s="13">
        <f t="shared" si="0"/>
        <v>0</v>
      </c>
    </row>
    <row r="13" spans="1:3" x14ac:dyDescent="0.25">
      <c r="A13" s="11">
        <v>1.0999999999999999E-2</v>
      </c>
      <c r="B13" s="12">
        <f>(General_Model!$E$6/General_Model!$E$7)-1/(1+General_Model!$E$26/((1.2+0.2*(General_Model!$E$26/A13)+0.35*SQRT(9.80665*(General_Model!$E$4/1000))/A13)*A13))-(A13^2/(2*9.80665*General_Model!$E$7))*((4*(0.3164/((General_Model!$E$14*A13*(General_Model!$E$4/1000)/General_Model!$E$15)^0.25))*General_Model!$E$7/(General_Model!$E$4/1000)+1)+(4*(0.3164/((General_Model!$E$14*A13*(General_Model!$E$4/1000)/General_Model!$E$15)^0.25))*General_Model!$E$7/(General_Model!$E$4/1000)+2)*(General_Model!$E$26/A13))</f>
        <v>0.18880195762091614</v>
      </c>
      <c r="C13" s="13">
        <f t="shared" si="0"/>
        <v>0</v>
      </c>
    </row>
    <row r="14" spans="1:3" x14ac:dyDescent="0.25">
      <c r="A14" s="11">
        <v>1.2E-2</v>
      </c>
      <c r="B14" s="12">
        <f>(General_Model!$E$6/General_Model!$E$7)-1/(1+General_Model!$E$26/((1.2+0.2*(General_Model!$E$26/A14)+0.35*SQRT(9.80665*(General_Model!$E$4/1000))/A14)*A14))-(A14^2/(2*9.80665*General_Model!$E$7))*((4*(0.3164/((General_Model!$E$14*A14*(General_Model!$E$4/1000)/General_Model!$E$15)^0.25))*General_Model!$E$7/(General_Model!$E$4/1000)+1)+(4*(0.3164/((General_Model!$E$14*A14*(General_Model!$E$4/1000)/General_Model!$E$15)^0.25))*General_Model!$E$7/(General_Model!$E$4/1000)+2)*(General_Model!$E$26/A14))</f>
        <v>0.1879811610724865</v>
      </c>
      <c r="C14" s="13">
        <f t="shared" si="0"/>
        <v>0</v>
      </c>
    </row>
    <row r="15" spans="1:3" x14ac:dyDescent="0.25">
      <c r="A15" s="11">
        <v>1.2999999999999999E-2</v>
      </c>
      <c r="B15" s="12">
        <f>(General_Model!$E$6/General_Model!$E$7)-1/(1+General_Model!$E$26/((1.2+0.2*(General_Model!$E$26/A15)+0.35*SQRT(9.80665*(General_Model!$E$4/1000))/A15)*A15))-(A15^2/(2*9.80665*General_Model!$E$7))*((4*(0.3164/((General_Model!$E$14*A15*(General_Model!$E$4/1000)/General_Model!$E$15)^0.25))*General_Model!$E$7/(General_Model!$E$4/1000)+1)+(4*(0.3164/((General_Model!$E$14*A15*(General_Model!$E$4/1000)/General_Model!$E$15)^0.25))*General_Model!$E$7/(General_Model!$E$4/1000)+2)*(General_Model!$E$26/A15))</f>
        <v>0.1871631820654184</v>
      </c>
      <c r="C15" s="13">
        <f t="shared" si="0"/>
        <v>0</v>
      </c>
    </row>
    <row r="16" spans="1:3" x14ac:dyDescent="0.25">
      <c r="A16" s="11">
        <v>1.4E-2</v>
      </c>
      <c r="B16" s="12">
        <f>(General_Model!$E$6/General_Model!$E$7)-1/(1+General_Model!$E$26/((1.2+0.2*(General_Model!$E$26/A16)+0.35*SQRT(9.80665*(General_Model!$E$4/1000))/A16)*A16))-(A16^2/(2*9.80665*General_Model!$E$7))*((4*(0.3164/((General_Model!$E$14*A16*(General_Model!$E$4/1000)/General_Model!$E$15)^0.25))*General_Model!$E$7/(General_Model!$E$4/1000)+1)+(4*(0.3164/((General_Model!$E$14*A16*(General_Model!$E$4/1000)/General_Model!$E$15)^0.25))*General_Model!$E$7/(General_Model!$E$4/1000)+2)*(General_Model!$E$26/A16))</f>
        <v>0.18634786803866146</v>
      </c>
      <c r="C16" s="13">
        <f t="shared" si="0"/>
        <v>0</v>
      </c>
    </row>
    <row r="17" spans="1:3" x14ac:dyDescent="0.25">
      <c r="A17" s="11">
        <v>1.4999999999999999E-2</v>
      </c>
      <c r="B17" s="12">
        <f>(General_Model!$E$6/General_Model!$E$7)-1/(1+General_Model!$E$26/((1.2+0.2*(General_Model!$E$26/A17)+0.35*SQRT(9.80665*(General_Model!$E$4/1000))/A17)*A17))-(A17^2/(2*9.80665*General_Model!$E$7))*((4*(0.3164/((General_Model!$E$14*A17*(General_Model!$E$4/1000)/General_Model!$E$15)^0.25))*General_Model!$E$7/(General_Model!$E$4/1000)+1)+(4*(0.3164/((General_Model!$E$14*A17*(General_Model!$E$4/1000)/General_Model!$E$15)^0.25))*General_Model!$E$7/(General_Model!$E$4/1000)+2)*(General_Model!$E$26/A17))</f>
        <v>0.18553509026292425</v>
      </c>
      <c r="C17" s="13">
        <f t="shared" si="0"/>
        <v>0</v>
      </c>
    </row>
    <row r="18" spans="1:3" x14ac:dyDescent="0.25">
      <c r="A18" s="11">
        <v>1.6E-2</v>
      </c>
      <c r="B18" s="12">
        <f>(General_Model!$E$6/General_Model!$E$7)-1/(1+General_Model!$E$26/((1.2+0.2*(General_Model!$E$26/A18)+0.35*SQRT(9.80665*(General_Model!$E$4/1000))/A18)*A18))-(A18^2/(2*9.80665*General_Model!$E$7))*((4*(0.3164/((General_Model!$E$14*A18*(General_Model!$E$4/1000)/General_Model!$E$15)^0.25))*General_Model!$E$7/(General_Model!$E$4/1000)+1)+(4*(0.3164/((General_Model!$E$14*A18*(General_Model!$E$4/1000)/General_Model!$E$15)^0.25))*General_Model!$E$7/(General_Model!$E$4/1000)+2)*(General_Model!$E$26/A18))</f>
        <v>0.18472473868511838</v>
      </c>
      <c r="C18" s="13">
        <f t="shared" si="0"/>
        <v>0</v>
      </c>
    </row>
    <row r="19" spans="1:3" x14ac:dyDescent="0.25">
      <c r="A19" s="11">
        <v>1.7000000000000001E-2</v>
      </c>
      <c r="B19" s="12">
        <f>(General_Model!$E$6/General_Model!$E$7)-1/(1+General_Model!$E$26/((1.2+0.2*(General_Model!$E$26/A19)+0.35*SQRT(9.80665*(General_Model!$E$4/1000))/A19)*A19))-(A19^2/(2*9.80665*General_Model!$E$7))*((4*(0.3164/((General_Model!$E$14*A19*(General_Model!$E$4/1000)/General_Model!$E$15)^0.25))*General_Model!$E$7/(General_Model!$E$4/1000)+1)+(4*(0.3164/((General_Model!$E$14*A19*(General_Model!$E$4/1000)/General_Model!$E$15)^0.25))*General_Model!$E$7/(General_Model!$E$4/1000)+2)*(General_Model!$E$26/A19))</f>
        <v>0.18391671813965005</v>
      </c>
      <c r="C19" s="13">
        <f t="shared" si="0"/>
        <v>0</v>
      </c>
    </row>
    <row r="20" spans="1:3" x14ac:dyDescent="0.25">
      <c r="A20" s="11">
        <v>1.7999999999999999E-2</v>
      </c>
      <c r="B20" s="12">
        <f>(General_Model!$E$6/General_Model!$E$7)-1/(1+General_Model!$E$26/((1.2+0.2*(General_Model!$E$26/A20)+0.35*SQRT(9.80665*(General_Model!$E$4/1000))/A20)*A20))-(A20^2/(2*9.80665*General_Model!$E$7))*((4*(0.3164/((General_Model!$E$14*A20*(General_Model!$E$4/1000)/General_Model!$E$15)^0.25))*General_Model!$E$7/(General_Model!$E$4/1000)+1)+(4*(0.3164/((General_Model!$E$14*A20*(General_Model!$E$4/1000)/General_Model!$E$15)^0.25))*General_Model!$E$7/(General_Model!$E$4/1000)+2)*(General_Model!$E$26/A20))</f>
        <v>0.1831109455053124</v>
      </c>
      <c r="C20" s="13">
        <f t="shared" si="0"/>
        <v>0</v>
      </c>
    </row>
    <row r="21" spans="1:3" x14ac:dyDescent="0.25">
      <c r="A21" s="11">
        <v>1.9E-2</v>
      </c>
      <c r="B21" s="12">
        <f>(General_Model!$E$6/General_Model!$E$7)-1/(1+General_Model!$E$26/((1.2+0.2*(General_Model!$E$26/A21)+0.35*SQRT(9.80665*(General_Model!$E$4/1000))/A21)*A21))-(A21^2/(2*9.80665*General_Model!$E$7))*((4*(0.3164/((General_Model!$E$14*A21*(General_Model!$E$4/1000)/General_Model!$E$15)^0.25))*General_Model!$E$7/(General_Model!$E$4/1000)+1)+(4*(0.3164/((General_Model!$E$14*A21*(General_Model!$E$4/1000)/General_Model!$E$15)^0.25))*General_Model!$E$7/(General_Model!$E$4/1000)+2)*(General_Model!$E$26/A21))</f>
        <v>0.18230734753252059</v>
      </c>
      <c r="C21" s="13">
        <f t="shared" si="0"/>
        <v>0</v>
      </c>
    </row>
    <row r="22" spans="1:3" x14ac:dyDescent="0.25">
      <c r="A22" s="11">
        <v>0.02</v>
      </c>
      <c r="B22" s="12">
        <f>(General_Model!$E$6/General_Model!$E$7)-1/(1+General_Model!$E$26/((1.2+0.2*(General_Model!$E$26/A22)+0.35*SQRT(9.80665*(General_Model!$E$4/1000))/A22)*A22))-(A22^2/(2*9.80665*General_Model!$E$7))*((4*(0.3164/((General_Model!$E$14*A22*(General_Model!$E$4/1000)/General_Model!$E$15)^0.25))*General_Model!$E$7/(General_Model!$E$4/1000)+1)+(4*(0.3164/((General_Model!$E$14*A22*(General_Model!$E$4/1000)/General_Model!$E$15)^0.25))*General_Model!$E$7/(General_Model!$E$4/1000)+2)*(General_Model!$E$26/A22))</f>
        <v>0.18150585915600537</v>
      </c>
      <c r="C22" s="13">
        <f t="shared" si="0"/>
        <v>0</v>
      </c>
    </row>
    <row r="23" spans="1:3" x14ac:dyDescent="0.25">
      <c r="A23" s="11">
        <v>2.1000000000000001E-2</v>
      </c>
      <c r="B23" s="12">
        <f>(General_Model!$E$6/General_Model!$E$7)-1/(1+General_Model!$E$26/((1.2+0.2*(General_Model!$E$26/A23)+0.35*SQRT(9.80665*(General_Model!$E$4/1000))/A23)*A23))-(A23^2/(2*9.80665*General_Model!$E$7))*((4*(0.3164/((General_Model!$E$14*A23*(General_Model!$E$4/1000)/General_Model!$E$15)^0.25))*General_Model!$E$7/(General_Model!$E$4/1000)+1)+(4*(0.3164/((General_Model!$E$14*A23*(General_Model!$E$4/1000)/General_Model!$E$15)^0.25))*General_Model!$E$7/(General_Model!$E$4/1000)+2)*(General_Model!$E$26/A23))</f>
        <v>0.18070642216574703</v>
      </c>
      <c r="C23" s="13">
        <f t="shared" si="0"/>
        <v>0</v>
      </c>
    </row>
    <row r="24" spans="1:3" x14ac:dyDescent="0.25">
      <c r="A24" s="11">
        <v>2.1999999999999999E-2</v>
      </c>
      <c r="B24" s="12">
        <f>(General_Model!$E$6/General_Model!$E$7)-1/(1+General_Model!$E$26/((1.2+0.2*(General_Model!$E$26/A24)+0.35*SQRT(9.80665*(General_Model!$E$4/1000))/A24)*A24))-(A24^2/(2*9.80665*General_Model!$E$7))*((4*(0.3164/((General_Model!$E$14*A24*(General_Model!$E$4/1000)/General_Model!$E$15)^0.25))*General_Model!$E$7/(General_Model!$E$4/1000)+1)+(4*(0.3164/((General_Model!$E$14*A24*(General_Model!$E$4/1000)/General_Model!$E$15)^0.25))*General_Model!$E$7/(General_Model!$E$4/1000)+2)*(General_Model!$E$26/A24))</f>
        <v>0.17990898414672885</v>
      </c>
      <c r="C24" s="13">
        <f t="shared" si="0"/>
        <v>0</v>
      </c>
    </row>
    <row r="25" spans="1:3" x14ac:dyDescent="0.25">
      <c r="A25" s="11">
        <v>2.3E-2</v>
      </c>
      <c r="B25" s="12">
        <f>(General_Model!$E$6/General_Model!$E$7)-1/(1+General_Model!$E$26/((1.2+0.2*(General_Model!$E$26/A25)+0.35*SQRT(9.80665*(General_Model!$E$4/1000))/A25)*A25))-(A25^2/(2*9.80665*General_Model!$E$7))*((4*(0.3164/((General_Model!$E$14*A25*(General_Model!$E$4/1000)/General_Model!$E$15)^0.25))*General_Model!$E$7/(General_Model!$E$4/1000)+1)+(4*(0.3164/((General_Model!$E$14*A25*(General_Model!$E$4/1000)/General_Model!$E$15)^0.25))*General_Model!$E$7/(General_Model!$E$4/1000)+2)*(General_Model!$E$26/A25))</f>
        <v>0.1791134976234442</v>
      </c>
      <c r="C25" s="13">
        <f t="shared" si="0"/>
        <v>0</v>
      </c>
    </row>
    <row r="26" spans="1:3" x14ac:dyDescent="0.25">
      <c r="A26" s="11">
        <v>2.4E-2</v>
      </c>
      <c r="B26" s="12">
        <f>(General_Model!$E$6/General_Model!$E$7)-1/(1+General_Model!$E$26/((1.2+0.2*(General_Model!$E$26/A26)+0.35*SQRT(9.80665*(General_Model!$E$4/1000))/A26)*A26))-(A26^2/(2*9.80665*General_Model!$E$7))*((4*(0.3164/((General_Model!$E$14*A26*(General_Model!$E$4/1000)/General_Model!$E$15)^0.25))*General_Model!$E$7/(General_Model!$E$4/1000)+1)+(4*(0.3164/((General_Model!$E$14*A26*(General_Model!$E$4/1000)/General_Model!$E$15)^0.25))*General_Model!$E$7/(General_Model!$E$4/1000)+2)*(General_Model!$E$26/A26))</f>
        <v>0.17831991936247882</v>
      </c>
      <c r="C26" s="13">
        <f t="shared" si="0"/>
        <v>0</v>
      </c>
    </row>
    <row r="27" spans="1:3" x14ac:dyDescent="0.25">
      <c r="A27" s="11">
        <v>2.5000000000000001E-2</v>
      </c>
      <c r="B27" s="12">
        <f>(General_Model!$E$6/General_Model!$E$7)-1/(1+General_Model!$E$26/((1.2+0.2*(General_Model!$E$26/A27)+0.35*SQRT(9.80665*(General_Model!$E$4/1000))/A27)*A27))-(A27^2/(2*9.80665*General_Model!$E$7))*((4*(0.3164/((General_Model!$E$14*A27*(General_Model!$E$4/1000)/General_Model!$E$15)^0.25))*General_Model!$E$7/(General_Model!$E$4/1000)+1)+(4*(0.3164/((General_Model!$E$14*A27*(General_Model!$E$4/1000)/General_Model!$E$15)^0.25))*General_Model!$E$7/(General_Model!$E$4/1000)+2)*(General_Model!$E$26/A27))</f>
        <v>0.17752820979862058</v>
      </c>
      <c r="C27" s="13">
        <f t="shared" si="0"/>
        <v>0</v>
      </c>
    </row>
    <row r="28" spans="1:3" x14ac:dyDescent="0.25">
      <c r="A28" s="11">
        <v>2.5999999999999999E-2</v>
      </c>
      <c r="B28" s="12">
        <f>(General_Model!$E$6/General_Model!$E$7)-1/(1+General_Model!$E$26/((1.2+0.2*(General_Model!$E$26/A28)+0.35*SQRT(9.80665*(General_Model!$E$4/1000))/A28)*A28))-(A28^2/(2*9.80665*General_Model!$E$7))*((4*(0.3164/((General_Model!$E$14*A28*(General_Model!$E$4/1000)/General_Model!$E$15)^0.25))*General_Model!$E$7/(General_Model!$E$4/1000)+1)+(4*(0.3164/((General_Model!$E$14*A28*(General_Model!$E$4/1000)/General_Model!$E$15)^0.25))*General_Model!$E$7/(General_Model!$E$4/1000)+2)*(General_Model!$E$26/A28))</f>
        <v>0.17673833255857913</v>
      </c>
      <c r="C28" s="13">
        <f t="shared" si="0"/>
        <v>0</v>
      </c>
    </row>
    <row r="29" spans="1:3" x14ac:dyDescent="0.25">
      <c r="A29" s="11">
        <v>2.7E-2</v>
      </c>
      <c r="B29" s="12">
        <f>(General_Model!$E$6/General_Model!$E$7)-1/(1+General_Model!$E$26/((1.2+0.2*(General_Model!$E$26/A29)+0.35*SQRT(9.80665*(General_Model!$E$4/1000))/A29)*A29))-(A29^2/(2*9.80665*General_Model!$E$7))*((4*(0.3164/((General_Model!$E$14*A29*(General_Model!$E$4/1000)/General_Model!$E$15)^0.25))*General_Model!$E$7/(General_Model!$E$4/1000)+1)+(4*(0.3164/((General_Model!$E$14*A29*(General_Model!$E$4/1000)/General_Model!$E$15)^0.25))*General_Model!$E$7/(General_Model!$E$4/1000)+2)*(General_Model!$E$26/A29))</f>
        <v>0.17595025406261619</v>
      </c>
      <c r="C29" s="13">
        <f t="shared" si="0"/>
        <v>0</v>
      </c>
    </row>
    <row r="30" spans="1:3" x14ac:dyDescent="0.25">
      <c r="A30" s="11">
        <v>2.8000000000000001E-2</v>
      </c>
      <c r="B30" s="12">
        <f>(General_Model!$E$6/General_Model!$E$7)-1/(1+General_Model!$E$26/((1.2+0.2*(General_Model!$E$26/A30)+0.35*SQRT(9.80665*(General_Model!$E$4/1000))/A30)*A30))-(A30^2/(2*9.80665*General_Model!$E$7))*((4*(0.3164/((General_Model!$E$14*A30*(General_Model!$E$4/1000)/General_Model!$E$15)^0.25))*General_Model!$E$7/(General_Model!$E$4/1000)+1)+(4*(0.3164/((General_Model!$E$14*A30*(General_Model!$E$4/1000)/General_Model!$E$15)^0.25))*General_Model!$E$7/(General_Model!$E$4/1000)+2)*(General_Model!$E$26/A30))</f>
        <v>0.17516394318894565</v>
      </c>
      <c r="C30" s="13">
        <f t="shared" si="0"/>
        <v>0</v>
      </c>
    </row>
    <row r="31" spans="1:3" x14ac:dyDescent="0.25">
      <c r="A31" s="11">
        <v>2.9000000000000001E-2</v>
      </c>
      <c r="B31" s="12">
        <f>(General_Model!$E$6/General_Model!$E$7)-1/(1+General_Model!$E$26/((1.2+0.2*(General_Model!$E$26/A31)+0.35*SQRT(9.80665*(General_Model!$E$4/1000))/A31)*A31))-(A31^2/(2*9.80665*General_Model!$E$7))*((4*(0.3164/((General_Model!$E$14*A31*(General_Model!$E$4/1000)/General_Model!$E$15)^0.25))*General_Model!$E$7/(General_Model!$E$4/1000)+1)+(4*(0.3164/((General_Model!$E$14*A31*(General_Model!$E$4/1000)/General_Model!$E$15)^0.25))*General_Model!$E$7/(General_Model!$E$4/1000)+2)*(General_Model!$E$26/A31))</f>
        <v>0.1743793709891342</v>
      </c>
      <c r="C31" s="13">
        <f t="shared" si="0"/>
        <v>0</v>
      </c>
    </row>
    <row r="32" spans="1:3" x14ac:dyDescent="0.25">
      <c r="A32" s="11">
        <v>0.03</v>
      </c>
      <c r="B32" s="12">
        <f>(General_Model!$E$6/General_Model!$E$7)-1/(1+General_Model!$E$26/((1.2+0.2*(General_Model!$E$26/A32)+0.35*SQRT(9.80665*(General_Model!$E$4/1000))/A32)*A32))-(A32^2/(2*9.80665*General_Model!$E$7))*((4*(0.3164/((General_Model!$E$14*A32*(General_Model!$E$4/1000)/General_Model!$E$15)^0.25))*General_Model!$E$7/(General_Model!$E$4/1000)+1)+(4*(0.3164/((General_Model!$E$14*A32*(General_Model!$E$4/1000)/General_Model!$E$15)^0.25))*General_Model!$E$7/(General_Model!$E$4/1000)+2)*(General_Model!$E$26/A32))</f>
        <v>0.1735965104452728</v>
      </c>
      <c r="C32" s="13">
        <f t="shared" si="0"/>
        <v>0</v>
      </c>
    </row>
    <row r="33" spans="1:3" x14ac:dyDescent="0.25">
      <c r="A33" s="11">
        <v>3.1E-2</v>
      </c>
      <c r="B33" s="12">
        <f>(General_Model!$E$6/General_Model!$E$7)-1/(1+General_Model!$E$26/((1.2+0.2*(General_Model!$E$26/A33)+0.35*SQRT(9.80665*(General_Model!$E$4/1000))/A33)*A33))-(A33^2/(2*9.80665*General_Model!$E$7))*((4*(0.3164/((General_Model!$E$14*A33*(General_Model!$E$4/1000)/General_Model!$E$15)^0.25))*General_Model!$E$7/(General_Model!$E$4/1000)+1)+(4*(0.3164/((General_Model!$E$14*A33*(General_Model!$E$4/1000)/General_Model!$E$15)^0.25))*General_Model!$E$7/(General_Model!$E$4/1000)+2)*(General_Model!$E$26/A33))</f>
        <v>0.17281533626160617</v>
      </c>
      <c r="C33" s="13">
        <f t="shared" si="0"/>
        <v>0</v>
      </c>
    </row>
    <row r="34" spans="1:3" x14ac:dyDescent="0.25">
      <c r="A34" s="11">
        <v>3.2000000000000001E-2</v>
      </c>
      <c r="B34" s="12">
        <f>(General_Model!$E$6/General_Model!$E$7)-1/(1+General_Model!$E$26/((1.2+0.2*(General_Model!$E$26/A34)+0.35*SQRT(9.80665*(General_Model!$E$4/1000))/A34)*A34))-(A34^2/(2*9.80665*General_Model!$E$7))*((4*(0.3164/((General_Model!$E$14*A34*(General_Model!$E$4/1000)/General_Model!$E$15)^0.25))*General_Model!$E$7/(General_Model!$E$4/1000)+1)+(4*(0.3164/((General_Model!$E$14*A34*(General_Model!$E$4/1000)/General_Model!$E$15)^0.25))*General_Model!$E$7/(General_Model!$E$4/1000)+2)*(General_Model!$E$26/A34))</f>
        <v>0.1720358246847839</v>
      </c>
      <c r="C34" s="13">
        <f t="shared" si="0"/>
        <v>0</v>
      </c>
    </row>
    <row r="35" spans="1:3" x14ac:dyDescent="0.25">
      <c r="A35" s="11">
        <v>3.3000000000000002E-2</v>
      </c>
      <c r="B35" s="12">
        <f>(General_Model!$E$6/General_Model!$E$7)-1/(1+General_Model!$E$26/((1.2+0.2*(General_Model!$E$26/A35)+0.35*SQRT(9.80665*(General_Model!$E$4/1000))/A35)*A35))-(A35^2/(2*9.80665*General_Model!$E$7))*((4*(0.3164/((General_Model!$E$14*A35*(General_Model!$E$4/1000)/General_Model!$E$15)^0.25))*General_Model!$E$7/(General_Model!$E$4/1000)+1)+(4*(0.3164/((General_Model!$E$14*A35*(General_Model!$E$4/1000)/General_Model!$E$15)^0.25))*General_Model!$E$7/(General_Model!$E$4/1000)+2)*(General_Model!$E$26/A35))</f>
        <v>0.17125795334803404</v>
      </c>
      <c r="C35" s="13">
        <f t="shared" si="0"/>
        <v>0</v>
      </c>
    </row>
    <row r="36" spans="1:3" x14ac:dyDescent="0.25">
      <c r="A36" s="11">
        <v>3.4000000000000002E-2</v>
      </c>
      <c r="B36" s="12">
        <f>(General_Model!$E$6/General_Model!$E$7)-1/(1+General_Model!$E$26/((1.2+0.2*(General_Model!$E$26/A36)+0.35*SQRT(9.80665*(General_Model!$E$4/1000))/A36)*A36))-(A36^2/(2*9.80665*General_Model!$E$7))*((4*(0.3164/((General_Model!$E$14*A36*(General_Model!$E$4/1000)/General_Model!$E$15)^0.25))*General_Model!$E$7/(General_Model!$E$4/1000)+1)+(4*(0.3164/((General_Model!$E$14*A36*(General_Model!$E$4/1000)/General_Model!$E$15)^0.25))*General_Model!$E$7/(General_Model!$E$4/1000)+2)*(General_Model!$E$26/A36))</f>
        <v>0.17048170113545158</v>
      </c>
      <c r="C36" s="13">
        <f t="shared" si="0"/>
        <v>0</v>
      </c>
    </row>
    <row r="37" spans="1:3" x14ac:dyDescent="0.25">
      <c r="A37" s="11">
        <v>3.5000000000000003E-2</v>
      </c>
      <c r="B37" s="12">
        <f>(General_Model!$E$6/General_Model!$E$7)-1/(1+General_Model!$E$26/((1.2+0.2*(General_Model!$E$26/A37)+0.35*SQRT(9.80665*(General_Model!$E$4/1000))/A37)*A37))-(A37^2/(2*9.80665*General_Model!$E$7))*((4*(0.3164/((General_Model!$E$14*A37*(General_Model!$E$4/1000)/General_Model!$E$15)^0.25))*General_Model!$E$7/(General_Model!$E$4/1000)+1)+(4*(0.3164/((General_Model!$E$14*A37*(General_Model!$E$4/1000)/General_Model!$E$15)^0.25))*General_Model!$E$7/(General_Model!$E$4/1000)+2)*(General_Model!$E$26/A37))</f>
        <v>0.16970704806329234</v>
      </c>
      <c r="C37" s="13">
        <f t="shared" si="0"/>
        <v>0</v>
      </c>
    </row>
    <row r="38" spans="1:3" x14ac:dyDescent="0.25">
      <c r="A38" s="11">
        <v>3.5999999999999997E-2</v>
      </c>
      <c r="B38" s="12">
        <f>(General_Model!$E$6/General_Model!$E$7)-1/(1+General_Model!$E$26/((1.2+0.2*(General_Model!$E$26/A38)+0.35*SQRT(9.80665*(General_Model!$E$4/1000))/A38)*A38))-(A38^2/(2*9.80665*General_Model!$E$7))*((4*(0.3164/((General_Model!$E$14*A38*(General_Model!$E$4/1000)/General_Model!$E$15)^0.25))*General_Model!$E$7/(General_Model!$E$4/1000)+1)+(4*(0.3164/((General_Model!$E$14*A38*(General_Model!$E$4/1000)/General_Model!$E$15)^0.25))*General_Model!$E$7/(General_Model!$E$4/1000)+2)*(General_Model!$E$26/A38))</f>
        <v>0.16893397517571934</v>
      </c>
      <c r="C38" s="13">
        <f t="shared" si="0"/>
        <v>0</v>
      </c>
    </row>
    <row r="39" spans="1:3" x14ac:dyDescent="0.25">
      <c r="A39" s="11">
        <v>3.7000000000000012E-2</v>
      </c>
      <c r="B39" s="12">
        <f>(General_Model!$E$6/General_Model!$E$7)-1/(1+General_Model!$E$26/((1.2+0.2*(General_Model!$E$26/A39)+0.35*SQRT(9.80665*(General_Model!$E$4/1000))/A39)*A39))-(A39^2/(2*9.80665*General_Model!$E$7))*((4*(0.3164/((General_Model!$E$14*A39*(General_Model!$E$4/1000)/General_Model!$E$15)^0.25))*General_Model!$E$7/(General_Model!$E$4/1000)+1)+(4*(0.3164/((General_Model!$E$14*A39*(General_Model!$E$4/1000)/General_Model!$E$15)^0.25))*General_Model!$E$7/(General_Model!$E$4/1000)+2)*(General_Model!$E$26/A39))</f>
        <v>0.16816246445289079</v>
      </c>
      <c r="C39" s="13">
        <f t="shared" si="0"/>
        <v>0</v>
      </c>
    </row>
    <row r="40" spans="1:3" x14ac:dyDescent="0.25">
      <c r="A40" s="11">
        <v>3.7999999999999999E-2</v>
      </c>
      <c r="B40" s="12">
        <f>(General_Model!$E$6/General_Model!$E$7)-1/(1+General_Model!$E$26/((1.2+0.2*(General_Model!$E$26/A40)+0.35*SQRT(9.80665*(General_Model!$E$4/1000))/A40)*A40))-(A40^2/(2*9.80665*General_Model!$E$7))*((4*(0.3164/((General_Model!$E$14*A40*(General_Model!$E$4/1000)/General_Model!$E$15)^0.25))*General_Model!$E$7/(General_Model!$E$4/1000)+1)+(4*(0.3164/((General_Model!$E$14*A40*(General_Model!$E$4/1000)/General_Model!$E$15)^0.25))*General_Model!$E$7/(General_Model!$E$4/1000)+2)*(General_Model!$E$26/A40))</f>
        <v>0.16739249872963669</v>
      </c>
      <c r="C40" s="13">
        <f t="shared" si="0"/>
        <v>0</v>
      </c>
    </row>
    <row r="41" spans="1:3" x14ac:dyDescent="0.25">
      <c r="A41" s="11">
        <v>3.9E-2</v>
      </c>
      <c r="B41" s="12">
        <f>(General_Model!$E$6/General_Model!$E$7)-1/(1+General_Model!$E$26/((1.2+0.2*(General_Model!$E$26/A41)+0.35*SQRT(9.80665*(General_Model!$E$4/1000))/A41)*A41))-(A41^2/(2*9.80665*General_Model!$E$7))*((4*(0.3164/((General_Model!$E$14*A41*(General_Model!$E$4/1000)/General_Model!$E$15)^0.25))*General_Model!$E$7/(General_Model!$E$4/1000)+1)+(4*(0.3164/((General_Model!$E$14*A41*(General_Model!$E$4/1000)/General_Model!$E$15)^0.25))*General_Model!$E$7/(General_Model!$E$4/1000)+2)*(General_Model!$E$26/A41))</f>
        <v>0.16662406162325882</v>
      </c>
      <c r="C41" s="13">
        <f t="shared" si="0"/>
        <v>0</v>
      </c>
    </row>
    <row r="42" spans="1:3" x14ac:dyDescent="0.25">
      <c r="A42" s="11">
        <v>0.04</v>
      </c>
      <c r="B42" s="12">
        <f>(General_Model!$E$6/General_Model!$E$7)-1/(1+General_Model!$E$26/((1.2+0.2*(General_Model!$E$26/A42)+0.35*SQRT(9.80665*(General_Model!$E$4/1000))/A42)*A42))-(A42^2/(2*9.80665*General_Model!$E$7))*((4*(0.3164/((General_Model!$E$14*A42*(General_Model!$E$4/1000)/General_Model!$E$15)^0.25))*General_Model!$E$7/(General_Model!$E$4/1000)+1)+(4*(0.3164/((General_Model!$E$14*A42*(General_Model!$E$4/1000)/General_Model!$E$15)^0.25))*General_Model!$E$7/(General_Model!$E$4/1000)+2)*(General_Model!$E$26/A42))</f>
        <v>0.16585713746922257</v>
      </c>
      <c r="C42" s="13">
        <f t="shared" si="0"/>
        <v>0</v>
      </c>
    </row>
    <row r="43" spans="1:3" x14ac:dyDescent="0.25">
      <c r="A43" s="11">
        <v>4.1000000000000002E-2</v>
      </c>
      <c r="B43" s="12">
        <f>(General_Model!$E$6/General_Model!$E$7)-1/(1+General_Model!$E$26/((1.2+0.2*(General_Model!$E$26/A43)+0.35*SQRT(9.80665*(General_Model!$E$4/1000))/A43)*A43))-(A43^2/(2*9.80665*General_Model!$E$7))*((4*(0.3164/((General_Model!$E$14*A43*(General_Model!$E$4/1000)/General_Model!$E$15)^0.25))*General_Model!$E$7/(General_Model!$E$4/1000)+1)+(4*(0.3164/((General_Model!$E$14*A43*(General_Model!$E$4/1000)/General_Model!$E$15)^0.25))*General_Model!$E$7/(General_Model!$E$4/1000)+2)*(General_Model!$E$26/A43))</f>
        <v>0.16509171126370459</v>
      </c>
      <c r="C43" s="13">
        <f t="shared" si="0"/>
        <v>0</v>
      </c>
    </row>
    <row r="44" spans="1:3" x14ac:dyDescent="0.25">
      <c r="A44" s="11">
        <v>4.2000000000000003E-2</v>
      </c>
      <c r="B44" s="12">
        <f>(General_Model!$E$6/General_Model!$E$7)-1/(1+General_Model!$E$26/((1.2+0.2*(General_Model!$E$26/A44)+0.35*SQRT(9.80665*(General_Model!$E$4/1000))/A44)*A44))-(A44^2/(2*9.80665*General_Model!$E$7))*((4*(0.3164/((General_Model!$E$14*A44*(General_Model!$E$4/1000)/General_Model!$E$15)^0.25))*General_Model!$E$7/(General_Model!$E$4/1000)+1)+(4*(0.3164/((General_Model!$E$14*A44*(General_Model!$E$4/1000)/General_Model!$E$15)^0.25))*General_Model!$E$7/(General_Model!$E$4/1000)+2)*(General_Model!$E$26/A44))</f>
        <v>0.16432776861211507</v>
      </c>
      <c r="C44" s="13">
        <f t="shared" si="0"/>
        <v>0</v>
      </c>
    </row>
    <row r="45" spans="1:3" x14ac:dyDescent="0.25">
      <c r="A45" s="11">
        <v>4.2999999999999997E-2</v>
      </c>
      <c r="B45" s="12">
        <f>(General_Model!$E$6/General_Model!$E$7)-1/(1+General_Model!$E$26/((1.2+0.2*(General_Model!$E$26/A45)+0.35*SQRT(9.80665*(General_Model!$E$4/1000))/A45)*A45))-(A45^2/(2*9.80665*General_Model!$E$7))*((4*(0.3164/((General_Model!$E$14*A45*(General_Model!$E$4/1000)/General_Model!$E$15)^0.25))*General_Model!$E$7/(General_Model!$E$4/1000)+1)+(4*(0.3164/((General_Model!$E$14*A45*(General_Model!$E$4/1000)/General_Model!$E$15)^0.25))*General_Model!$E$7/(General_Model!$E$4/1000)+2)*(General_Model!$E$26/A45))</f>
        <v>0.16356529568284797</v>
      </c>
      <c r="C45" s="13">
        <f t="shared" si="0"/>
        <v>0</v>
      </c>
    </row>
    <row r="46" spans="1:3" x14ac:dyDescent="0.25">
      <c r="A46" s="11">
        <v>4.3999999999999997E-2</v>
      </c>
      <c r="B46" s="12">
        <f>(General_Model!$E$6/General_Model!$E$7)-1/(1+General_Model!$E$26/((1.2+0.2*(General_Model!$E$26/A46)+0.35*SQRT(9.80665*(General_Model!$E$4/1000))/A46)*A46))-(A46^2/(2*9.80665*General_Model!$E$7))*((4*(0.3164/((General_Model!$E$14*A46*(General_Model!$E$4/1000)/General_Model!$E$15)^0.25))*General_Model!$E$7/(General_Model!$E$4/1000)+1)+(4*(0.3164/((General_Model!$E$14*A46*(General_Model!$E$4/1000)/General_Model!$E$15)^0.25))*General_Model!$E$7/(General_Model!$E$4/1000)+2)*(General_Model!$E$26/A46))</f>
        <v>0.16280427916561621</v>
      </c>
      <c r="C46" s="13">
        <f t="shared" si="0"/>
        <v>0</v>
      </c>
    </row>
    <row r="47" spans="1:3" x14ac:dyDescent="0.25">
      <c r="A47" s="11">
        <v>4.4999999999999998E-2</v>
      </c>
      <c r="B47" s="12">
        <f>(General_Model!$E$6/General_Model!$E$7)-1/(1+General_Model!$E$26/((1.2+0.2*(General_Model!$E$26/A47)+0.35*SQRT(9.80665*(General_Model!$E$4/1000))/A47)*A47))-(A47^2/(2*9.80665*General_Model!$E$7))*((4*(0.3164/((General_Model!$E$14*A47*(General_Model!$E$4/1000)/General_Model!$E$15)^0.25))*General_Model!$E$7/(General_Model!$E$4/1000)+1)+(4*(0.3164/((General_Model!$E$14*A47*(General_Model!$E$4/1000)/General_Model!$E$15)^0.25))*General_Model!$E$7/(General_Model!$E$4/1000)+2)*(General_Model!$E$26/A47))</f>
        <v>0.16204470623382711</v>
      </c>
      <c r="C47" s="13">
        <f t="shared" si="0"/>
        <v>0</v>
      </c>
    </row>
    <row r="48" spans="1:3" x14ac:dyDescent="0.25">
      <c r="A48" s="11">
        <v>4.5999999999999999E-2</v>
      </c>
      <c r="B48" s="12">
        <f>(General_Model!$E$6/General_Model!$E$7)-1/(1+General_Model!$E$26/((1.2+0.2*(General_Model!$E$26/A48)+0.35*SQRT(9.80665*(General_Model!$E$4/1000))/A48)*A48))-(A48^2/(2*9.80665*General_Model!$E$7))*((4*(0.3164/((General_Model!$E$14*A48*(General_Model!$E$4/1000)/General_Model!$E$15)^0.25))*General_Model!$E$7/(General_Model!$E$4/1000)+1)+(4*(0.3164/((General_Model!$E$14*A48*(General_Model!$E$4/1000)/General_Model!$E$15)^0.25))*General_Model!$E$7/(General_Model!$E$4/1000)+2)*(General_Model!$E$26/A48))</f>
        <v>0.16128656451052265</v>
      </c>
      <c r="C48" s="13">
        <f t="shared" si="0"/>
        <v>0</v>
      </c>
    </row>
    <row r="49" spans="1:3" x14ac:dyDescent="0.25">
      <c r="A49" s="11">
        <v>4.7E-2</v>
      </c>
      <c r="B49" s="12">
        <f>(General_Model!$E$6/General_Model!$E$7)-1/(1+General_Model!$E$26/((1.2+0.2*(General_Model!$E$26/A49)+0.35*SQRT(9.80665*(General_Model!$E$4/1000))/A49)*A49))-(A49^2/(2*9.80665*General_Model!$E$7))*((4*(0.3164/((General_Model!$E$14*A49*(General_Model!$E$4/1000)/General_Model!$E$15)^0.25))*General_Model!$E$7/(General_Model!$E$4/1000)+1)+(4*(0.3164/((General_Model!$E$14*A49*(General_Model!$E$4/1000)/General_Model!$E$15)^0.25))*General_Model!$E$7/(General_Model!$E$4/1000)+2)*(General_Model!$E$26/A49))</f>
        <v>0.16052984203747803</v>
      </c>
      <c r="C49" s="13">
        <f t="shared" si="0"/>
        <v>0</v>
      </c>
    </row>
    <row r="50" spans="1:3" x14ac:dyDescent="0.25">
      <c r="A50" s="11">
        <v>4.8000000000000001E-2</v>
      </c>
      <c r="B50" s="12">
        <f>(General_Model!$E$6/General_Model!$E$7)-1/(1+General_Model!$E$26/((1.2+0.2*(General_Model!$E$26/A50)+0.35*SQRT(9.80665*(General_Model!$E$4/1000))/A50)*A50))-(A50^2/(2*9.80665*General_Model!$E$7))*((4*(0.3164/((General_Model!$E$14*A50*(General_Model!$E$4/1000)/General_Model!$E$15)^0.25))*General_Model!$E$7/(General_Model!$E$4/1000)+1)+(4*(0.3164/((General_Model!$E$14*A50*(General_Model!$E$4/1000)/General_Model!$E$15)^0.25))*General_Model!$E$7/(General_Model!$E$4/1000)+2)*(General_Model!$E$26/A50))</f>
        <v>0.15977452724710342</v>
      </c>
      <c r="C50" s="13">
        <f t="shared" si="0"/>
        <v>0</v>
      </c>
    </row>
    <row r="51" spans="1:3" x14ac:dyDescent="0.25">
      <c r="A51" s="11">
        <v>4.9000000000000002E-2</v>
      </c>
      <c r="B51" s="12">
        <f>(General_Model!$E$6/General_Model!$E$7)-1/(1+General_Model!$E$26/((1.2+0.2*(General_Model!$E$26/A51)+0.35*SQRT(9.80665*(General_Model!$E$4/1000))/A51)*A51))-(A51^2/(2*9.80665*General_Model!$E$7))*((4*(0.3164/((General_Model!$E$14*A51*(General_Model!$E$4/1000)/General_Model!$E$15)^0.25))*General_Model!$E$7/(General_Model!$E$4/1000)+1)+(4*(0.3164/((General_Model!$E$14*A51*(General_Model!$E$4/1000)/General_Model!$E$15)^0.25))*General_Model!$E$7/(General_Model!$E$4/1000)+2)*(General_Model!$E$26/A51))</f>
        <v>0.15902060893684267</v>
      </c>
      <c r="C51" s="13">
        <f t="shared" si="0"/>
        <v>0</v>
      </c>
    </row>
    <row r="52" spans="1:3" x14ac:dyDescent="0.25">
      <c r="A52" s="11">
        <v>0.05</v>
      </c>
      <c r="B52" s="12">
        <f>(General_Model!$E$6/General_Model!$E$7)-1/(1+General_Model!$E$26/((1.2+0.2*(General_Model!$E$26/A52)+0.35*SQRT(9.80665*(General_Model!$E$4/1000))/A52)*A52))-(A52^2/(2*9.80665*General_Model!$E$7))*((4*(0.3164/((General_Model!$E$14*A52*(General_Model!$E$4/1000)/General_Model!$E$15)^0.25))*General_Model!$E$7/(General_Model!$E$4/1000)+1)+(4*(0.3164/((General_Model!$E$14*A52*(General_Model!$E$4/1000)/General_Model!$E$15)^0.25))*General_Model!$E$7/(General_Model!$E$4/1000)+2)*(General_Model!$E$26/A52))</f>
        <v>0.15826807624580005</v>
      </c>
      <c r="C52" s="13">
        <f t="shared" si="0"/>
        <v>0</v>
      </c>
    </row>
    <row r="53" spans="1:3" x14ac:dyDescent="0.25">
      <c r="A53" s="11">
        <v>5.0999999999999997E-2</v>
      </c>
      <c r="B53" s="12">
        <f>(General_Model!$E$6/General_Model!$E$7)-1/(1+General_Model!$E$26/((1.2+0.2*(General_Model!$E$26/A53)+0.35*SQRT(9.80665*(General_Model!$E$4/1000))/A53)*A53))-(A53^2/(2*9.80665*General_Model!$E$7))*((4*(0.3164/((General_Model!$E$14*A53*(General_Model!$E$4/1000)/General_Model!$E$15)^0.25))*General_Model!$E$7/(General_Model!$E$4/1000)+1)+(4*(0.3164/((General_Model!$E$14*A53*(General_Model!$E$4/1000)/General_Model!$E$15)^0.25))*General_Model!$E$7/(General_Model!$E$4/1000)+2)*(General_Model!$E$26/A53))</f>
        <v>0.15751691863335959</v>
      </c>
      <c r="C53" s="13">
        <f t="shared" si="0"/>
        <v>0</v>
      </c>
    </row>
    <row r="54" spans="1:3" x14ac:dyDescent="0.25">
      <c r="A54" s="11">
        <v>5.1999999999999998E-2</v>
      </c>
      <c r="B54" s="12">
        <f>(General_Model!$E$6/General_Model!$E$7)-1/(1+General_Model!$E$26/((1.2+0.2*(General_Model!$E$26/A54)+0.35*SQRT(9.80665*(General_Model!$E$4/1000))/A54)*A54))-(A54^2/(2*9.80665*General_Model!$E$7))*((4*(0.3164/((General_Model!$E$14*A54*(General_Model!$E$4/1000)/General_Model!$E$15)^0.25))*General_Model!$E$7/(General_Model!$E$4/1000)+1)+(4*(0.3164/((General_Model!$E$14*A54*(General_Model!$E$4/1000)/General_Model!$E$15)^0.25))*General_Model!$E$7/(General_Model!$E$4/1000)+2)*(General_Model!$E$26/A54))</f>
        <v>0.15676712585959193</v>
      </c>
      <c r="C54" s="13">
        <f t="shared" si="0"/>
        <v>0</v>
      </c>
    </row>
    <row r="55" spans="1:3" x14ac:dyDescent="0.25">
      <c r="A55" s="11">
        <v>5.3000000000000012E-2</v>
      </c>
      <c r="B55" s="12">
        <f>(General_Model!$E$6/General_Model!$E$7)-1/(1+General_Model!$E$26/((1.2+0.2*(General_Model!$E$26/A55)+0.35*SQRT(9.80665*(General_Model!$E$4/1000))/A55)*A55))-(A55^2/(2*9.80665*General_Model!$E$7))*((4*(0.3164/((General_Model!$E$14*A55*(General_Model!$E$4/1000)/General_Model!$E$15)^0.25))*General_Model!$E$7/(General_Model!$E$4/1000)+1)+(4*(0.3164/((General_Model!$E$14*A55*(General_Model!$E$4/1000)/General_Model!$E$15)^0.25))*General_Model!$E$7/(General_Model!$E$4/1000)+2)*(General_Model!$E$26/A55))</f>
        <v>0.15601868796726764</v>
      </c>
      <c r="C55" s="13">
        <f t="shared" si="0"/>
        <v>0</v>
      </c>
    </row>
    <row r="56" spans="1:3" x14ac:dyDescent="0.25">
      <c r="A56" s="11">
        <v>5.3999999999999999E-2</v>
      </c>
      <c r="B56" s="12">
        <f>(General_Model!$E$6/General_Model!$E$7)-1/(1+General_Model!$E$26/((1.2+0.2*(General_Model!$E$26/A56)+0.35*SQRT(9.80665*(General_Model!$E$4/1000))/A56)*A56))-(A56^2/(2*9.80665*General_Model!$E$7))*((4*(0.3164/((General_Model!$E$14*A56*(General_Model!$E$4/1000)/General_Model!$E$15)^0.25))*General_Model!$E$7/(General_Model!$E$4/1000)+1)+(4*(0.3164/((General_Model!$E$14*A56*(General_Model!$E$4/1000)/General_Model!$E$15)^0.25))*General_Model!$E$7/(General_Model!$E$4/1000)+2)*(General_Model!$E$26/A56))</f>
        <v>0.15527159526531678</v>
      </c>
      <c r="C56" s="13">
        <f t="shared" si="0"/>
        <v>0</v>
      </c>
    </row>
    <row r="57" spans="1:3" x14ac:dyDescent="0.25">
      <c r="A57" s="11">
        <v>5.5E-2</v>
      </c>
      <c r="B57" s="12">
        <f>(General_Model!$E$6/General_Model!$E$7)-1/(1+General_Model!$E$26/((1.2+0.2*(General_Model!$E$26/A57)+0.35*SQRT(9.80665*(General_Model!$E$4/1000))/A57)*A57))-(A57^2/(2*9.80665*General_Model!$E$7))*((4*(0.3164/((General_Model!$E$14*A57*(General_Model!$E$4/1000)/General_Model!$E$15)^0.25))*General_Model!$E$7/(General_Model!$E$4/1000)+1)+(4*(0.3164/((General_Model!$E$14*A57*(General_Model!$E$4/1000)/General_Model!$E$15)^0.25))*General_Model!$E$7/(General_Model!$E$4/1000)+2)*(General_Model!$E$26/A57))</f>
        <v>0.15452583831359323</v>
      </c>
      <c r="C57" s="13">
        <f t="shared" si="0"/>
        <v>0</v>
      </c>
    </row>
    <row r="58" spans="1:3" x14ac:dyDescent="0.25">
      <c r="A58" s="11">
        <v>5.6000000000000001E-2</v>
      </c>
      <c r="B58" s="12">
        <f>(General_Model!$E$6/General_Model!$E$7)-1/(1+General_Model!$E$26/((1.2+0.2*(General_Model!$E$26/A58)+0.35*SQRT(9.80665*(General_Model!$E$4/1000))/A58)*A58))-(A58^2/(2*9.80665*General_Model!$E$7))*((4*(0.3164/((General_Model!$E$14*A58*(General_Model!$E$4/1000)/General_Model!$E$15)^0.25))*General_Model!$E$7/(General_Model!$E$4/1000)+1)+(4*(0.3164/((General_Model!$E$14*A58*(General_Model!$E$4/1000)/General_Model!$E$15)^0.25))*General_Model!$E$7/(General_Model!$E$4/1000)+2)*(General_Model!$E$26/A58))</f>
        <v>0.15378140790882069</v>
      </c>
      <c r="C58" s="13">
        <f t="shared" si="0"/>
        <v>0</v>
      </c>
    </row>
    <row r="59" spans="1:3" x14ac:dyDescent="0.25">
      <c r="A59" s="11">
        <v>5.7000000000000002E-2</v>
      </c>
      <c r="B59" s="12">
        <f>(General_Model!$E$6/General_Model!$E$7)-1/(1+General_Model!$E$26/((1.2+0.2*(General_Model!$E$26/A59)+0.35*SQRT(9.80665*(General_Model!$E$4/1000))/A59)*A59))-(A59^2/(2*9.80665*General_Model!$E$7))*((4*(0.3164/((General_Model!$E$14*A59*(General_Model!$E$4/1000)/General_Model!$E$15)^0.25))*General_Model!$E$7/(General_Model!$E$4/1000)+1)+(4*(0.3164/((General_Model!$E$14*A59*(General_Model!$E$4/1000)/General_Model!$E$15)^0.25))*General_Model!$E$7/(General_Model!$E$4/1000)+2)*(General_Model!$E$26/A59))</f>
        <v>0.15303829507160543</v>
      </c>
      <c r="C59" s="13">
        <f t="shared" si="0"/>
        <v>0</v>
      </c>
    </row>
    <row r="60" spans="1:3" x14ac:dyDescent="0.25">
      <c r="A60" s="11">
        <v>5.8000000000000003E-2</v>
      </c>
      <c r="B60" s="12">
        <f>(General_Model!$E$6/General_Model!$E$7)-1/(1+General_Model!$E$26/((1.2+0.2*(General_Model!$E$26/A60)+0.35*SQRT(9.80665*(General_Model!$E$4/1000))/A60)*A60))-(A60^2/(2*9.80665*General_Model!$E$7))*((4*(0.3164/((General_Model!$E$14*A60*(General_Model!$E$4/1000)/General_Model!$E$15)^0.25))*General_Model!$E$7/(General_Model!$E$4/1000)+1)+(4*(0.3164/((General_Model!$E$14*A60*(General_Model!$E$4/1000)/General_Model!$E$15)^0.25))*General_Model!$E$7/(General_Model!$E$4/1000)+2)*(General_Model!$E$26/A60))</f>
        <v>0.15229649103442133</v>
      </c>
      <c r="C60" s="13">
        <f t="shared" si="0"/>
        <v>0</v>
      </c>
    </row>
    <row r="61" spans="1:3" x14ac:dyDescent="0.25">
      <c r="A61" s="11">
        <v>5.8999999999999997E-2</v>
      </c>
      <c r="B61" s="12">
        <f>(General_Model!$E$6/General_Model!$E$7)-1/(1+General_Model!$E$26/((1.2+0.2*(General_Model!$E$26/A61)+0.35*SQRT(9.80665*(General_Model!$E$4/1000))/A61)*A61))-(A61^2/(2*9.80665*General_Model!$E$7))*((4*(0.3164/((General_Model!$E$14*A61*(General_Model!$E$4/1000)/General_Model!$E$15)^0.25))*General_Model!$E$7/(General_Model!$E$4/1000)+1)+(4*(0.3164/((General_Model!$E$14*A61*(General_Model!$E$4/1000)/General_Model!$E$15)^0.25))*General_Model!$E$7/(General_Model!$E$4/1000)+2)*(General_Model!$E$26/A61))</f>
        <v>0.15155598723047572</v>
      </c>
      <c r="C61" s="13">
        <f t="shared" si="0"/>
        <v>0</v>
      </c>
    </row>
    <row r="62" spans="1:3" x14ac:dyDescent="0.25">
      <c r="A62" s="11">
        <v>0.06</v>
      </c>
      <c r="B62" s="12">
        <f>(General_Model!$E$6/General_Model!$E$7)-1/(1+General_Model!$E$26/((1.2+0.2*(General_Model!$E$26/A62)+0.35*SQRT(9.80665*(General_Model!$E$4/1000))/A62)*A62))-(A62^2/(2*9.80665*General_Model!$E$7))*((4*(0.3164/((General_Model!$E$14*A62*(General_Model!$E$4/1000)/General_Model!$E$15)^0.25))*General_Model!$E$7/(General_Model!$E$4/1000)+1)+(4*(0.3164/((General_Model!$E$14*A62*(General_Model!$E$4/1000)/General_Model!$E$15)^0.25))*General_Model!$E$7/(General_Model!$E$4/1000)+2)*(General_Model!$E$26/A62))</f>
        <v>0.15081677528337889</v>
      </c>
      <c r="C62" s="13">
        <f t="shared" si="0"/>
        <v>0</v>
      </c>
    </row>
    <row r="63" spans="1:3" x14ac:dyDescent="0.25">
      <c r="A63" s="11">
        <v>6.0999999999999999E-2</v>
      </c>
      <c r="B63" s="12">
        <f>(General_Model!$E$6/General_Model!$E$7)-1/(1+General_Model!$E$26/((1.2+0.2*(General_Model!$E$26/A63)+0.35*SQRT(9.80665*(General_Model!$E$4/1000))/A63)*A63))-(A63^2/(2*9.80665*General_Model!$E$7))*((4*(0.3164/((General_Model!$E$14*A63*(General_Model!$E$4/1000)/General_Model!$E$15)^0.25))*General_Model!$E$7/(General_Model!$E$4/1000)+1)+(4*(0.3164/((General_Model!$E$14*A63*(General_Model!$E$4/1000)/General_Model!$E$15)^0.25))*General_Model!$E$7/(General_Model!$E$4/1000)+2)*(General_Model!$E$26/A63))</f>
        <v>0.15007884699754545</v>
      </c>
      <c r="C63" s="13">
        <f t="shared" si="0"/>
        <v>0</v>
      </c>
    </row>
    <row r="64" spans="1:3" x14ac:dyDescent="0.25">
      <c r="A64" s="11">
        <v>6.2E-2</v>
      </c>
      <c r="B64" s="12">
        <f>(General_Model!$E$6/General_Model!$E$7)-1/(1+General_Model!$E$26/((1.2+0.2*(General_Model!$E$26/A64)+0.35*SQRT(9.80665*(General_Model!$E$4/1000))/A64)*A64))-(A64^2/(2*9.80665*General_Model!$E$7))*((4*(0.3164/((General_Model!$E$14*A64*(General_Model!$E$4/1000)/General_Model!$E$15)^0.25))*General_Model!$E$7/(General_Model!$E$4/1000)+1)+(4*(0.3164/((General_Model!$E$14*A64*(General_Model!$E$4/1000)/General_Model!$E$15)^0.25))*General_Model!$E$7/(General_Model!$E$4/1000)+2)*(General_Model!$E$26/A64))</f>
        <v>0.14934219434926568</v>
      </c>
      <c r="C64" s="13">
        <f t="shared" si="0"/>
        <v>0</v>
      </c>
    </row>
    <row r="65" spans="1:3" x14ac:dyDescent="0.25">
      <c r="A65" s="11">
        <v>6.3E-2</v>
      </c>
      <c r="B65" s="12">
        <f>(General_Model!$E$6/General_Model!$E$7)-1/(1+General_Model!$E$26/((1.2+0.2*(General_Model!$E$26/A65)+0.35*SQRT(9.80665*(General_Model!$E$4/1000))/A65)*A65))-(A65^2/(2*9.80665*General_Model!$E$7))*((4*(0.3164/((General_Model!$E$14*A65*(General_Model!$E$4/1000)/General_Model!$E$15)^0.25))*General_Model!$E$7/(General_Model!$E$4/1000)+1)+(4*(0.3164/((General_Model!$E$14*A65*(General_Model!$E$4/1000)/General_Model!$E$15)^0.25))*General_Model!$E$7/(General_Model!$E$4/1000)+2)*(General_Model!$E$26/A65))</f>
        <v>0.14860680947838853</v>
      </c>
      <c r="C65" s="13">
        <f t="shared" si="0"/>
        <v>0</v>
      </c>
    </row>
    <row r="66" spans="1:3" x14ac:dyDescent="0.25">
      <c r="A66" s="11">
        <v>6.4000000000000001E-2</v>
      </c>
      <c r="B66" s="12">
        <f>(General_Model!$E$6/General_Model!$E$7)-1/(1+General_Model!$E$26/((1.2+0.2*(General_Model!$E$26/A66)+0.35*SQRT(9.80665*(General_Model!$E$4/1000))/A66)*A66))-(A66^2/(2*9.80665*General_Model!$E$7))*((4*(0.3164/((General_Model!$E$14*A66*(General_Model!$E$4/1000)/General_Model!$E$15)^0.25))*General_Model!$E$7/(General_Model!$E$4/1000)+1)+(4*(0.3164/((General_Model!$E$14*A66*(General_Model!$E$4/1000)/General_Model!$E$15)^0.25))*General_Model!$E$7/(General_Model!$E$4/1000)+2)*(General_Model!$E$26/A66))</f>
        <v>0.14787268468056569</v>
      </c>
      <c r="C66" s="13">
        <f t="shared" si="0"/>
        <v>0</v>
      </c>
    </row>
    <row r="67" spans="1:3" x14ac:dyDescent="0.25">
      <c r="A67" s="11">
        <v>6.5000000000000002E-2</v>
      </c>
      <c r="B67" s="12">
        <f>(General_Model!$E$6/General_Model!$E$7)-1/(1+General_Model!$E$26/((1.2+0.2*(General_Model!$E$26/A67)+0.35*SQRT(9.80665*(General_Model!$E$4/1000))/A67)*A67))-(A67^2/(2*9.80665*General_Model!$E$7))*((4*(0.3164/((General_Model!$E$14*A67*(General_Model!$E$4/1000)/General_Model!$E$15)^0.25))*General_Model!$E$7/(General_Model!$E$4/1000)+1)+(4*(0.3164/((General_Model!$E$14*A67*(General_Model!$E$4/1000)/General_Model!$E$15)^0.25))*General_Model!$E$7/(General_Model!$E$4/1000)+2)*(General_Model!$E$26/A67))</f>
        <v>0.14713981240001098</v>
      </c>
      <c r="C67" s="13">
        <f t="shared" ref="C67:C130" si="1">IF(B67*B68&lt;=0,1,0)</f>
        <v>0</v>
      </c>
    </row>
    <row r="68" spans="1:3" x14ac:dyDescent="0.25">
      <c r="A68" s="11">
        <v>6.6000000000000003E-2</v>
      </c>
      <c r="B68" s="12">
        <f>(General_Model!$E$6/General_Model!$E$7)-1/(1+General_Model!$E$26/((1.2+0.2*(General_Model!$E$26/A68)+0.35*SQRT(9.80665*(General_Model!$E$4/1000))/A68)*A68))-(A68^2/(2*9.80665*General_Model!$E$7))*((4*(0.3164/((General_Model!$E$14*A68*(General_Model!$E$4/1000)/General_Model!$E$15)^0.25))*General_Model!$E$7/(General_Model!$E$4/1000)+1)+(4*(0.3164/((General_Model!$E$14*A68*(General_Model!$E$4/1000)/General_Model!$E$15)^0.25))*General_Model!$E$7/(General_Model!$E$4/1000)+2)*(General_Model!$E$26/A68))</f>
        <v>0.14640818522273152</v>
      </c>
      <c r="C68" s="13">
        <f t="shared" si="1"/>
        <v>0</v>
      </c>
    </row>
    <row r="69" spans="1:3" x14ac:dyDescent="0.25">
      <c r="A69" s="11">
        <v>6.7000000000000004E-2</v>
      </c>
      <c r="B69" s="12">
        <f>(General_Model!$E$6/General_Model!$E$7)-1/(1+General_Model!$E$26/((1.2+0.2*(General_Model!$E$26/A69)+0.35*SQRT(9.80665*(General_Model!$E$4/1000))/A69)*A69))-(A69^2/(2*9.80665*General_Model!$E$7))*((4*(0.3164/((General_Model!$E$14*A69*(General_Model!$E$4/1000)/General_Model!$E$15)^0.25))*General_Model!$E$7/(General_Model!$E$4/1000)+1)+(4*(0.3164/((General_Model!$E$14*A69*(General_Model!$E$4/1000)/General_Model!$E$15)^0.25))*General_Model!$E$7/(General_Model!$E$4/1000)+2)*(General_Model!$E$26/A69))</f>
        <v>0.14567779587019514</v>
      </c>
      <c r="C69" s="13">
        <f t="shared" si="1"/>
        <v>0</v>
      </c>
    </row>
    <row r="70" spans="1:3" x14ac:dyDescent="0.25">
      <c r="A70" s="11">
        <v>6.8000000000000005E-2</v>
      </c>
      <c r="B70" s="12">
        <f>(General_Model!$E$6/General_Model!$E$7)-1/(1+General_Model!$E$26/((1.2+0.2*(General_Model!$E$26/A70)+0.35*SQRT(9.80665*(General_Model!$E$4/1000))/A70)*A70))-(A70^2/(2*9.80665*General_Model!$E$7))*((4*(0.3164/((General_Model!$E$14*A70*(General_Model!$E$4/1000)/General_Model!$E$15)^0.25))*General_Model!$E$7/(General_Model!$E$4/1000)+1)+(4*(0.3164/((General_Model!$E$14*A70*(General_Model!$E$4/1000)/General_Model!$E$15)^0.25))*General_Model!$E$7/(General_Model!$E$4/1000)+2)*(General_Model!$E$26/A70))</f>
        <v>0.14494863719339804</v>
      </c>
      <c r="C70" s="13">
        <f t="shared" si="1"/>
        <v>0</v>
      </c>
    </row>
    <row r="71" spans="1:3" x14ac:dyDescent="0.25">
      <c r="A71" s="11">
        <v>6.9000000000000006E-2</v>
      </c>
      <c r="B71" s="12">
        <f>(General_Model!$E$6/General_Model!$E$7)-1/(1+General_Model!$E$26/((1.2+0.2*(General_Model!$E$26/A71)+0.35*SQRT(9.80665*(General_Model!$E$4/1000))/A71)*A71))-(A71^2/(2*9.80665*General_Model!$E$7))*((4*(0.3164/((General_Model!$E$14*A71*(General_Model!$E$4/1000)/General_Model!$E$15)^0.25))*General_Model!$E$7/(General_Model!$E$4/1000)+1)+(4*(0.3164/((General_Model!$E$14*A71*(General_Model!$E$4/1000)/General_Model!$E$15)^0.25))*General_Model!$E$7/(General_Model!$E$4/1000)+2)*(General_Model!$E$26/A71))</f>
        <v>0.14422070216730259</v>
      </c>
      <c r="C71" s="13">
        <f t="shared" si="1"/>
        <v>0</v>
      </c>
    </row>
    <row r="72" spans="1:3" x14ac:dyDescent="0.25">
      <c r="A72" s="11">
        <v>7.0000000000000007E-2</v>
      </c>
      <c r="B72" s="12">
        <f>(General_Model!$E$6/General_Model!$E$7)-1/(1+General_Model!$E$26/((1.2+0.2*(General_Model!$E$26/A72)+0.35*SQRT(9.80665*(General_Model!$E$4/1000))/A72)*A72))-(A72^2/(2*9.80665*General_Model!$E$7))*((4*(0.3164/((General_Model!$E$14*A72*(General_Model!$E$4/1000)/General_Model!$E$15)^0.25))*General_Model!$E$7/(General_Model!$E$4/1000)+1)+(4*(0.3164/((General_Model!$E$14*A72*(General_Model!$E$4/1000)/General_Model!$E$15)^0.25))*General_Model!$E$7/(General_Model!$E$4/1000)+2)*(General_Model!$E$26/A72))</f>
        <v>0.14349398388561571</v>
      </c>
      <c r="C72" s="13">
        <f t="shared" si="1"/>
        <v>0</v>
      </c>
    </row>
    <row r="73" spans="1:3" x14ac:dyDescent="0.25">
      <c r="A73" s="11">
        <v>7.1000000000000008E-2</v>
      </c>
      <c r="B73" s="12">
        <f>(General_Model!$E$6/General_Model!$E$7)-1/(1+General_Model!$E$26/((1.2+0.2*(General_Model!$E$26/A73)+0.35*SQRT(9.80665*(General_Model!$E$4/1000))/A73)*A73))-(A73^2/(2*9.80665*General_Model!$E$7))*((4*(0.3164/((General_Model!$E$14*A73*(General_Model!$E$4/1000)/General_Model!$E$15)^0.25))*General_Model!$E$7/(General_Model!$E$4/1000)+1)+(4*(0.3164/((General_Model!$E$14*A73*(General_Model!$E$4/1000)/General_Model!$E$15)^0.25))*General_Model!$E$7/(General_Model!$E$4/1000)+2)*(General_Model!$E$26/A73))</f>
        <v>0.14276847555588462</v>
      </c>
      <c r="C73" s="13">
        <f t="shared" si="1"/>
        <v>0</v>
      </c>
    </row>
    <row r="74" spans="1:3" x14ac:dyDescent="0.25">
      <c r="A74" s="11">
        <v>7.2000000000000008E-2</v>
      </c>
      <c r="B74" s="12">
        <f>(General_Model!$E$6/General_Model!$E$7)-1/(1+General_Model!$E$26/((1.2+0.2*(General_Model!$E$26/A74)+0.35*SQRT(9.80665*(General_Model!$E$4/1000))/A74)*A74))-(A74^2/(2*9.80665*General_Model!$E$7))*((4*(0.3164/((General_Model!$E$14*A74*(General_Model!$E$4/1000)/General_Model!$E$15)^0.25))*General_Model!$E$7/(General_Model!$E$4/1000)+1)+(4*(0.3164/((General_Model!$E$14*A74*(General_Model!$E$4/1000)/General_Model!$E$15)^0.25))*General_Model!$E$7/(General_Model!$E$4/1000)+2)*(General_Model!$E$26/A74))</f>
        <v>0.14204417049488244</v>
      </c>
      <c r="C74" s="13">
        <f t="shared" si="1"/>
        <v>0</v>
      </c>
    </row>
    <row r="75" spans="1:3" x14ac:dyDescent="0.25">
      <c r="A75" s="11">
        <v>7.3000000000000009E-2</v>
      </c>
      <c r="B75" s="12">
        <f>(General_Model!$E$6/General_Model!$E$7)-1/(1+General_Model!$E$26/((1.2+0.2*(General_Model!$E$26/A75)+0.35*SQRT(9.80665*(General_Model!$E$4/1000))/A75)*A75))-(A75^2/(2*9.80665*General_Model!$E$7))*((4*(0.3164/((General_Model!$E$14*A75*(General_Model!$E$4/1000)/General_Model!$E$15)^0.25))*General_Model!$E$7/(General_Model!$E$4/1000)+1)+(4*(0.3164/((General_Model!$E$14*A75*(General_Model!$E$4/1000)/General_Model!$E$15)^0.25))*General_Model!$E$7/(General_Model!$E$4/1000)+2)*(General_Model!$E$26/A75))</f>
        <v>0.14132106212426734</v>
      </c>
      <c r="C75" s="13">
        <f t="shared" si="1"/>
        <v>0</v>
      </c>
    </row>
    <row r="76" spans="1:3" x14ac:dyDescent="0.25">
      <c r="A76" s="11">
        <v>7.3999999999999996E-2</v>
      </c>
      <c r="B76" s="12">
        <f>(General_Model!$E$6/General_Model!$E$7)-1/(1+General_Model!$E$26/((1.2+0.2*(General_Model!$E$26/A76)+0.35*SQRT(9.80665*(General_Model!$E$4/1000))/A76)*A76))-(A76^2/(2*9.80665*General_Model!$E$7))*((4*(0.3164/((General_Model!$E$14*A76*(General_Model!$E$4/1000)/General_Model!$E$15)^0.25))*General_Model!$E$7/(General_Model!$E$4/1000)+1)+(4*(0.3164/((General_Model!$E$14*A76*(General_Model!$E$4/1000)/General_Model!$E$15)^0.25))*General_Model!$E$7/(General_Model!$E$4/1000)+2)*(General_Model!$E$26/A76))</f>
        <v>0.14059914396649073</v>
      </c>
      <c r="C76" s="13">
        <f t="shared" si="1"/>
        <v>0</v>
      </c>
    </row>
    <row r="77" spans="1:3" x14ac:dyDescent="0.25">
      <c r="A77" s="11">
        <v>7.4999999999999997E-2</v>
      </c>
      <c r="B77" s="12">
        <f>(General_Model!$E$6/General_Model!$E$7)-1/(1+General_Model!$E$26/((1.2+0.2*(General_Model!$E$26/A77)+0.35*SQRT(9.80665*(General_Model!$E$4/1000))/A77)*A77))-(A77^2/(2*9.80665*General_Model!$E$7))*((4*(0.3164/((General_Model!$E$14*A77*(General_Model!$E$4/1000)/General_Model!$E$15)^0.25))*General_Model!$E$7/(General_Model!$E$4/1000)+1)+(4*(0.3164/((General_Model!$E$14*A77*(General_Model!$E$4/1000)/General_Model!$E$15)^0.25))*General_Model!$E$7/(General_Model!$E$4/1000)+2)*(General_Model!$E$26/A77))</f>
        <v>0.13987840964094003</v>
      </c>
      <c r="C77" s="13">
        <f t="shared" si="1"/>
        <v>0</v>
      </c>
    </row>
    <row r="78" spans="1:3" x14ac:dyDescent="0.25">
      <c r="A78" s="11">
        <v>7.5999999999999998E-2</v>
      </c>
      <c r="B78" s="12">
        <f>(General_Model!$E$6/General_Model!$E$7)-1/(1+General_Model!$E$26/((1.2+0.2*(General_Model!$E$26/A78)+0.35*SQRT(9.80665*(General_Model!$E$4/1000))/A78)*A78))-(A78^2/(2*9.80665*General_Model!$E$7))*((4*(0.3164/((General_Model!$E$14*A78*(General_Model!$E$4/1000)/General_Model!$E$15)^0.25))*General_Model!$E$7/(General_Model!$E$4/1000)+1)+(4*(0.3164/((General_Model!$E$14*A78*(General_Model!$E$4/1000)/General_Model!$E$15)^0.25))*General_Model!$E$7/(General_Model!$E$4/1000)+2)*(General_Model!$E$26/A78))</f>
        <v>0.13915885286029772</v>
      </c>
      <c r="C78" s="13">
        <f t="shared" si="1"/>
        <v>0</v>
      </c>
    </row>
    <row r="79" spans="1:3" x14ac:dyDescent="0.25">
      <c r="A79" s="11">
        <v>7.6999999999999999E-2</v>
      </c>
      <c r="B79" s="12">
        <f>(General_Model!$E$6/General_Model!$E$7)-1/(1+General_Model!$E$26/((1.2+0.2*(General_Model!$E$26/A79)+0.35*SQRT(9.80665*(General_Model!$E$4/1000))/A79)*A79))-(A79^2/(2*9.80665*General_Model!$E$7))*((4*(0.3164/((General_Model!$E$14*A79*(General_Model!$E$4/1000)/General_Model!$E$15)^0.25))*General_Model!$E$7/(General_Model!$E$4/1000)+1)+(4*(0.3164/((General_Model!$E$14*A79*(General_Model!$E$4/1000)/General_Model!$E$15)^0.25))*General_Model!$E$7/(General_Model!$E$4/1000)+2)*(General_Model!$E$26/A79))</f>
        <v>0.138440467427102</v>
      </c>
      <c r="C79" s="13">
        <f t="shared" si="1"/>
        <v>0</v>
      </c>
    </row>
    <row r="80" spans="1:3" x14ac:dyDescent="0.25">
      <c r="A80" s="11">
        <v>7.8E-2</v>
      </c>
      <c r="B80" s="12">
        <f>(General_Model!$E$6/General_Model!$E$7)-1/(1+General_Model!$E$26/((1.2+0.2*(General_Model!$E$26/A80)+0.35*SQRT(9.80665*(General_Model!$E$4/1000))/A80)*A80))-(A80^2/(2*9.80665*General_Model!$E$7))*((4*(0.3164/((General_Model!$E$14*A80*(General_Model!$E$4/1000)/General_Model!$E$15)^0.25))*General_Model!$E$7/(General_Model!$E$4/1000)+1)+(4*(0.3164/((General_Model!$E$14*A80*(General_Model!$E$4/1000)/General_Model!$E$15)^0.25))*General_Model!$E$7/(General_Model!$E$4/1000)+2)*(General_Model!$E$26/A80))</f>
        <v>0.13772324723049645</v>
      </c>
      <c r="C80" s="13">
        <f t="shared" si="1"/>
        <v>0</v>
      </c>
    </row>
    <row r="81" spans="1:3" x14ac:dyDescent="0.25">
      <c r="A81" s="11">
        <v>7.9000000000000001E-2</v>
      </c>
      <c r="B81" s="12">
        <f>(General_Model!$E$6/General_Model!$E$7)-1/(1+General_Model!$E$26/((1.2+0.2*(General_Model!$E$26/A81)+0.35*SQRT(9.80665*(General_Model!$E$4/1000))/A81)*A81))-(A81^2/(2*9.80665*General_Model!$E$7))*((4*(0.3164/((General_Model!$E$14*A81*(General_Model!$E$4/1000)/General_Model!$E$15)^0.25))*General_Model!$E$7/(General_Model!$E$4/1000)+1)+(4*(0.3164/((General_Model!$E$14*A81*(General_Model!$E$4/1000)/General_Model!$E$15)^0.25))*General_Model!$E$7/(General_Model!$E$4/1000)+2)*(General_Model!$E$26/A81))</f>
        <v>0.13700718624315431</v>
      </c>
      <c r="C81" s="13">
        <f t="shared" si="1"/>
        <v>0</v>
      </c>
    </row>
    <row r="82" spans="1:3" x14ac:dyDescent="0.25">
      <c r="A82" s="11">
        <v>0.08</v>
      </c>
      <c r="B82" s="12">
        <f>(General_Model!$E$6/General_Model!$E$7)-1/(1+General_Model!$E$26/((1.2+0.2*(General_Model!$E$26/A82)+0.35*SQRT(9.80665*(General_Model!$E$4/1000))/A82)*A82))-(A82^2/(2*9.80665*General_Model!$E$7))*((4*(0.3164/((General_Model!$E$14*A82*(General_Model!$E$4/1000)/General_Model!$E$15)^0.25))*General_Model!$E$7/(General_Model!$E$4/1000)+1)+(4*(0.3164/((General_Model!$E$14*A82*(General_Model!$E$4/1000)/General_Model!$E$15)^0.25))*General_Model!$E$7/(General_Model!$E$4/1000)+2)*(General_Model!$E$26/A82))</f>
        <v>0.13629227851836592</v>
      </c>
      <c r="C82" s="13">
        <f t="shared" si="1"/>
        <v>0</v>
      </c>
    </row>
    <row r="83" spans="1:3" x14ac:dyDescent="0.25">
      <c r="A83" s="11">
        <v>8.1000000000000003E-2</v>
      </c>
      <c r="B83" s="12">
        <f>(General_Model!$E$6/General_Model!$E$7)-1/(1+General_Model!$E$26/((1.2+0.2*(General_Model!$E$26/A83)+0.35*SQRT(9.80665*(General_Model!$E$4/1000))/A83)*A83))-(A83^2/(2*9.80665*General_Model!$E$7))*((4*(0.3164/((General_Model!$E$14*A83*(General_Model!$E$4/1000)/General_Model!$E$15)^0.25))*General_Model!$E$7/(General_Model!$E$4/1000)+1)+(4*(0.3164/((General_Model!$E$14*A83*(General_Model!$E$4/1000)/General_Model!$E$15)^0.25))*General_Model!$E$7/(General_Model!$E$4/1000)+2)*(General_Model!$E$26/A83))</f>
        <v>0.13557851818727973</v>
      </c>
      <c r="C83" s="13">
        <f t="shared" si="1"/>
        <v>0</v>
      </c>
    </row>
    <row r="84" spans="1:3" x14ac:dyDescent="0.25">
      <c r="A84" s="11">
        <v>8.2000000000000003E-2</v>
      </c>
      <c r="B84" s="12">
        <f>(General_Model!$E$6/General_Model!$E$7)-1/(1+General_Model!$E$26/((1.2+0.2*(General_Model!$E$26/A84)+0.35*SQRT(9.80665*(General_Model!$E$4/1000))/A84)*A84))-(A84^2/(2*9.80665*General_Model!$E$7))*((4*(0.3164/((General_Model!$E$14*A84*(General_Model!$E$4/1000)/General_Model!$E$15)^0.25))*General_Model!$E$7/(General_Model!$E$4/1000)+1)+(4*(0.3164/((General_Model!$E$14*A84*(General_Model!$E$4/1000)/General_Model!$E$15)^0.25))*General_Model!$E$7/(General_Model!$E$4/1000)+2)*(General_Model!$E$26/A84))</f>
        <v>0.13486589945628541</v>
      </c>
      <c r="C84" s="13">
        <f t="shared" si="1"/>
        <v>0</v>
      </c>
    </row>
    <row r="85" spans="1:3" x14ac:dyDescent="0.25">
      <c r="A85" s="11">
        <v>8.3000000000000004E-2</v>
      </c>
      <c r="B85" s="12">
        <f>(General_Model!$E$6/General_Model!$E$7)-1/(1+General_Model!$E$26/((1.2+0.2*(General_Model!$E$26/A85)+0.35*SQRT(9.80665*(General_Model!$E$4/1000))/A85)*A85))-(A85^2/(2*9.80665*General_Model!$E$7))*((4*(0.3164/((General_Model!$E$14*A85*(General_Model!$E$4/1000)/General_Model!$E$15)^0.25))*General_Model!$E$7/(General_Model!$E$4/1000)+1)+(4*(0.3164/((General_Model!$E$14*A85*(General_Model!$E$4/1000)/General_Model!$E$15)^0.25))*General_Model!$E$7/(General_Model!$E$4/1000)+2)*(General_Model!$E$26/A85))</f>
        <v>0.13415441660453115</v>
      </c>
      <c r="C85" s="13">
        <f t="shared" si="1"/>
        <v>0</v>
      </c>
    </row>
    <row r="86" spans="1:3" x14ac:dyDescent="0.25">
      <c r="A86" s="11">
        <v>8.4000000000000005E-2</v>
      </c>
      <c r="B86" s="12">
        <f>(General_Model!$E$6/General_Model!$E$7)-1/(1+General_Model!$E$26/((1.2+0.2*(General_Model!$E$26/A86)+0.35*SQRT(9.80665*(General_Model!$E$4/1000))/A86)*A86))-(A86^2/(2*9.80665*General_Model!$E$7))*((4*(0.3164/((General_Model!$E$14*A86*(General_Model!$E$4/1000)/General_Model!$E$15)^0.25))*General_Model!$E$7/(General_Model!$E$4/1000)+1)+(4*(0.3164/((General_Model!$E$14*A86*(General_Model!$E$4/1000)/General_Model!$E$15)^0.25))*General_Model!$E$7/(General_Model!$E$4/1000)+2)*(General_Model!$E$26/A86))</f>
        <v>0.13344406398156625</v>
      </c>
      <c r="C86" s="13">
        <f t="shared" si="1"/>
        <v>0</v>
      </c>
    </row>
    <row r="87" spans="1:3" x14ac:dyDescent="0.25">
      <c r="A87" s="11">
        <v>8.5000000000000006E-2</v>
      </c>
      <c r="B87" s="12">
        <f>(General_Model!$E$6/General_Model!$E$7)-1/(1+General_Model!$E$26/((1.2+0.2*(General_Model!$E$26/A87)+0.35*SQRT(9.80665*(General_Model!$E$4/1000))/A87)*A87))-(A87^2/(2*9.80665*General_Model!$E$7))*((4*(0.3164/((General_Model!$E$14*A87*(General_Model!$E$4/1000)/General_Model!$E$15)^0.25))*General_Model!$E$7/(General_Model!$E$4/1000)+1)+(4*(0.3164/((General_Model!$E$14*A87*(General_Model!$E$4/1000)/General_Model!$E$15)^0.25))*General_Model!$E$7/(General_Model!$E$4/1000)+2)*(General_Model!$E$26/A87))</f>
        <v>0.13273483600509967</v>
      </c>
      <c r="C87" s="13">
        <f t="shared" si="1"/>
        <v>0</v>
      </c>
    </row>
    <row r="88" spans="1:3" x14ac:dyDescent="0.25">
      <c r="A88" s="11">
        <v>8.6000000000000007E-2</v>
      </c>
      <c r="B88" s="12">
        <f>(General_Model!$E$6/General_Model!$E$7)-1/(1+General_Model!$E$26/((1.2+0.2*(General_Model!$E$26/A88)+0.35*SQRT(9.80665*(General_Model!$E$4/1000))/A88)*A88))-(A88^2/(2*9.80665*General_Model!$E$7))*((4*(0.3164/((General_Model!$E$14*A88*(General_Model!$E$4/1000)/General_Model!$E$15)^0.25))*General_Model!$E$7/(General_Model!$E$4/1000)+1)+(4*(0.3164/((General_Model!$E$14*A88*(General_Model!$E$4/1000)/General_Model!$E$15)^0.25))*General_Model!$E$7/(General_Model!$E$4/1000)+2)*(General_Model!$E$26/A88))</f>
        <v>0.13202672715886982</v>
      </c>
      <c r="C88" s="13">
        <f t="shared" si="1"/>
        <v>0</v>
      </c>
    </row>
    <row r="89" spans="1:3" x14ac:dyDescent="0.25">
      <c r="A89" s="11">
        <v>8.7000000000000008E-2</v>
      </c>
      <c r="B89" s="12">
        <f>(General_Model!$E$6/General_Model!$E$7)-1/(1+General_Model!$E$26/((1.2+0.2*(General_Model!$E$26/A89)+0.35*SQRT(9.80665*(General_Model!$E$4/1000))/A89)*A89))-(A89^2/(2*9.80665*General_Model!$E$7))*((4*(0.3164/((General_Model!$E$14*A89*(General_Model!$E$4/1000)/General_Model!$E$15)^0.25))*General_Model!$E$7/(General_Model!$E$4/1000)+1)+(4*(0.3164/((General_Model!$E$14*A89*(General_Model!$E$4/1000)/General_Model!$E$15)^0.25))*General_Model!$E$7/(General_Model!$E$4/1000)+2)*(General_Model!$E$26/A89))</f>
        <v>0.13131973199061778</v>
      </c>
      <c r="C89" s="13">
        <f t="shared" si="1"/>
        <v>0</v>
      </c>
    </row>
    <row r="90" spans="1:3" x14ac:dyDescent="0.25">
      <c r="A90" s="11">
        <v>8.8000000000000009E-2</v>
      </c>
      <c r="B90" s="12">
        <f>(General_Model!$E$6/General_Model!$E$7)-1/(1+General_Model!$E$26/((1.2+0.2*(General_Model!$E$26/A90)+0.35*SQRT(9.80665*(General_Model!$E$4/1000))/A90)*A90))-(A90^2/(2*9.80665*General_Model!$E$7))*((4*(0.3164/((General_Model!$E$14*A90*(General_Model!$E$4/1000)/General_Model!$E$15)^0.25))*General_Model!$E$7/(General_Model!$E$4/1000)+1)+(4*(0.3164/((General_Model!$E$14*A90*(General_Model!$E$4/1000)/General_Model!$E$15)^0.25))*General_Model!$E$7/(General_Model!$E$4/1000)+2)*(General_Model!$E$26/A90))</f>
        <v>0.13061384511015625</v>
      </c>
      <c r="C90" s="13">
        <f t="shared" si="1"/>
        <v>0</v>
      </c>
    </row>
    <row r="91" spans="1:3" x14ac:dyDescent="0.25">
      <c r="A91" s="11">
        <v>8.8999999999999996E-2</v>
      </c>
      <c r="B91" s="12">
        <f>(General_Model!$E$6/General_Model!$E$7)-1/(1+General_Model!$E$26/((1.2+0.2*(General_Model!$E$26/A91)+0.35*SQRT(9.80665*(General_Model!$E$4/1000))/A91)*A91))-(A91^2/(2*9.80665*General_Model!$E$7))*((4*(0.3164/((General_Model!$E$14*A91*(General_Model!$E$4/1000)/General_Model!$E$15)^0.25))*General_Model!$E$7/(General_Model!$E$4/1000)+1)+(4*(0.3164/((General_Model!$E$14*A91*(General_Model!$E$4/1000)/General_Model!$E$15)^0.25))*General_Model!$E$7/(General_Model!$E$4/1000)+2)*(General_Model!$E$26/A91))</f>
        <v>0.12990906118753062</v>
      </c>
      <c r="C91" s="13">
        <f t="shared" si="1"/>
        <v>0</v>
      </c>
    </row>
    <row r="92" spans="1:3" x14ac:dyDescent="0.25">
      <c r="A92" s="11">
        <v>0.09</v>
      </c>
      <c r="B92" s="12">
        <f>(General_Model!$E$6/General_Model!$E$7)-1/(1+General_Model!$E$26/((1.2+0.2*(General_Model!$E$26/A92)+0.35*SQRT(9.80665*(General_Model!$E$4/1000))/A92)*A92))-(A92^2/(2*9.80665*General_Model!$E$7))*((4*(0.3164/((General_Model!$E$14*A92*(General_Model!$E$4/1000)/General_Model!$E$15)^0.25))*General_Model!$E$7/(General_Model!$E$4/1000)+1)+(4*(0.3164/((General_Model!$E$14*A92*(General_Model!$E$4/1000)/General_Model!$E$15)^0.25))*General_Model!$E$7/(General_Model!$E$4/1000)+2)*(General_Model!$E$26/A92))</f>
        <v>0.12920537495126547</v>
      </c>
      <c r="C92" s="13">
        <f t="shared" si="1"/>
        <v>0</v>
      </c>
    </row>
    <row r="93" spans="1:3" x14ac:dyDescent="0.25">
      <c r="A93" s="11">
        <v>9.0999999999999998E-2</v>
      </c>
      <c r="B93" s="12">
        <f>(General_Model!$E$6/General_Model!$E$7)-1/(1+General_Model!$E$26/((1.2+0.2*(General_Model!$E$26/A93)+0.35*SQRT(9.80665*(General_Model!$E$4/1000))/A93)*A93))-(A93^2/(2*9.80665*General_Model!$E$7))*((4*(0.3164/((General_Model!$E$14*A93*(General_Model!$E$4/1000)/General_Model!$E$15)^0.25))*General_Model!$E$7/(General_Model!$E$4/1000)+1)+(4*(0.3164/((General_Model!$E$14*A93*(General_Model!$E$4/1000)/General_Model!$E$15)^0.25))*General_Model!$E$7/(General_Model!$E$4/1000)+2)*(General_Model!$E$26/A93))</f>
        <v>0.12850278118669212</v>
      </c>
      <c r="C93" s="13">
        <f t="shared" si="1"/>
        <v>0</v>
      </c>
    </row>
    <row r="94" spans="1:3" x14ac:dyDescent="0.25">
      <c r="A94" s="11">
        <v>9.1999999999999998E-2</v>
      </c>
      <c r="B94" s="12">
        <f>(General_Model!$E$6/General_Model!$E$7)-1/(1+General_Model!$E$26/((1.2+0.2*(General_Model!$E$26/A94)+0.35*SQRT(9.80665*(General_Model!$E$4/1000))/A94)*A94))-(A94^2/(2*9.80665*General_Model!$E$7))*((4*(0.3164/((General_Model!$E$14*A94*(General_Model!$E$4/1000)/General_Model!$E$15)^0.25))*General_Model!$E$7/(General_Model!$E$4/1000)+1)+(4*(0.3164/((General_Model!$E$14*A94*(General_Model!$E$4/1000)/General_Model!$E$15)^0.25))*General_Model!$E$7/(General_Model!$E$4/1000)+2)*(General_Model!$E$26/A94))</f>
        <v>0.12780127473435129</v>
      </c>
      <c r="C94" s="13">
        <f t="shared" si="1"/>
        <v>0</v>
      </c>
    </row>
    <row r="95" spans="1:3" x14ac:dyDescent="0.25">
      <c r="A95" s="11">
        <v>9.2999999999999999E-2</v>
      </c>
      <c r="B95" s="12">
        <f>(General_Model!$E$6/General_Model!$E$7)-1/(1+General_Model!$E$26/((1.2+0.2*(General_Model!$E$26/A95)+0.35*SQRT(9.80665*(General_Model!$E$4/1000))/A95)*A95))-(A95^2/(2*9.80665*General_Model!$E$7))*((4*(0.3164/((General_Model!$E$14*A95*(General_Model!$E$4/1000)/General_Model!$E$15)^0.25))*General_Model!$E$7/(General_Model!$E$4/1000)+1)+(4*(0.3164/((General_Model!$E$14*A95*(General_Model!$E$4/1000)/General_Model!$E$15)^0.25))*General_Model!$E$7/(General_Model!$E$4/1000)+2)*(General_Model!$E$26/A95))</f>
        <v>0.12710085048846897</v>
      </c>
      <c r="C95" s="13">
        <f t="shared" si="1"/>
        <v>0</v>
      </c>
    </row>
    <row r="96" spans="1:3" x14ac:dyDescent="0.25">
      <c r="A96" s="11">
        <v>9.4E-2</v>
      </c>
      <c r="B96" s="12">
        <f>(General_Model!$E$6/General_Model!$E$7)-1/(1+General_Model!$E$26/((1.2+0.2*(General_Model!$E$26/A96)+0.35*SQRT(9.80665*(General_Model!$E$4/1000))/A96)*A96))-(A96^2/(2*9.80665*General_Model!$E$7))*((4*(0.3164/((General_Model!$E$14*A96*(General_Model!$E$4/1000)/General_Model!$E$15)^0.25))*General_Model!$E$7/(General_Model!$E$4/1000)+1)+(4*(0.3164/((General_Model!$E$14*A96*(General_Model!$E$4/1000)/General_Model!$E$15)^0.25))*General_Model!$E$7/(General_Model!$E$4/1000)+2)*(General_Model!$E$26/A96))</f>
        <v>0.1264015033954986</v>
      </c>
      <c r="C96" s="13">
        <f t="shared" si="1"/>
        <v>0</v>
      </c>
    </row>
    <row r="97" spans="1:3" x14ac:dyDescent="0.25">
      <c r="A97" s="11">
        <v>9.5000000000000001E-2</v>
      </c>
      <c r="B97" s="12">
        <f>(General_Model!$E$6/General_Model!$E$7)-1/(1+General_Model!$E$26/((1.2+0.2*(General_Model!$E$26/A97)+0.35*SQRT(9.80665*(General_Model!$E$4/1000))/A97)*A97))-(A97^2/(2*9.80665*General_Model!$E$7))*((4*(0.3164/((General_Model!$E$14*A97*(General_Model!$E$4/1000)/General_Model!$E$15)^0.25))*General_Model!$E$7/(General_Model!$E$4/1000)+1)+(4*(0.3164/((General_Model!$E$14*A97*(General_Model!$E$4/1000)/General_Model!$E$15)^0.25))*General_Model!$E$7/(General_Model!$E$4/1000)+2)*(General_Model!$E$26/A97))</f>
        <v>0.12570322845272761</v>
      </c>
      <c r="C97" s="13">
        <f t="shared" si="1"/>
        <v>0</v>
      </c>
    </row>
    <row r="98" spans="1:3" x14ac:dyDescent="0.25">
      <c r="A98" s="11">
        <v>9.6000000000000002E-2</v>
      </c>
      <c r="B98" s="12">
        <f>(General_Model!$E$6/General_Model!$E$7)-1/(1+General_Model!$E$26/((1.2+0.2*(General_Model!$E$26/A98)+0.35*SQRT(9.80665*(General_Model!$E$4/1000))/A98)*A98))-(A98^2/(2*9.80665*General_Model!$E$7))*((4*(0.3164/((General_Model!$E$14*A98*(General_Model!$E$4/1000)/General_Model!$E$15)^0.25))*General_Model!$E$7/(General_Model!$E$4/1000)+1)+(4*(0.3164/((General_Model!$E$14*A98*(General_Model!$E$4/1000)/General_Model!$E$15)^0.25))*General_Model!$E$7/(General_Model!$E$4/1000)+2)*(General_Model!$E$26/A98))</f>
        <v>0.12500602070694442</v>
      </c>
      <c r="C98" s="13">
        <f t="shared" si="1"/>
        <v>0</v>
      </c>
    </row>
    <row r="99" spans="1:3" x14ac:dyDescent="0.25">
      <c r="A99" s="11">
        <v>9.7000000000000003E-2</v>
      </c>
      <c r="B99" s="12">
        <f>(General_Model!$E$6/General_Model!$E$7)-1/(1+General_Model!$E$26/((1.2+0.2*(General_Model!$E$26/A99)+0.35*SQRT(9.80665*(General_Model!$E$4/1000))/A99)*A99))-(A99^2/(2*9.80665*General_Model!$E$7))*((4*(0.3164/((General_Model!$E$14*A99*(General_Model!$E$4/1000)/General_Model!$E$15)^0.25))*General_Model!$E$7/(General_Model!$E$4/1000)+1)+(4*(0.3164/((General_Model!$E$14*A99*(General_Model!$E$4/1000)/General_Model!$E$15)^0.25))*General_Model!$E$7/(General_Model!$E$4/1000)+2)*(General_Model!$E$26/A99))</f>
        <v>0.12430987525316189</v>
      </c>
      <c r="C99" s="13">
        <f t="shared" si="1"/>
        <v>0</v>
      </c>
    </row>
    <row r="100" spans="1:3" x14ac:dyDescent="0.25">
      <c r="A100" s="11">
        <v>9.8000000000000004E-2</v>
      </c>
      <c r="B100" s="12">
        <f>(General_Model!$E$6/General_Model!$E$7)-1/(1+General_Model!$E$26/((1.2+0.2*(General_Model!$E$26/A100)+0.35*SQRT(9.80665*(General_Model!$E$4/1000))/A100)*A100))-(A100^2/(2*9.80665*General_Model!$E$7))*((4*(0.3164/((General_Model!$E$14*A100*(General_Model!$E$4/1000)/General_Model!$E$15)^0.25))*General_Model!$E$7/(General_Model!$E$4/1000)+1)+(4*(0.3164/((General_Model!$E$14*A100*(General_Model!$E$4/1000)/General_Model!$E$15)^0.25))*General_Model!$E$7/(General_Model!$E$4/1000)+2)*(General_Model!$E$26/A100))</f>
        <v>0.12361478723339558</v>
      </c>
      <c r="C100" s="13">
        <f t="shared" si="1"/>
        <v>0</v>
      </c>
    </row>
    <row r="101" spans="1:3" x14ac:dyDescent="0.25">
      <c r="A101" s="11">
        <v>9.9000000000000005E-2</v>
      </c>
      <c r="B101" s="12">
        <f>(General_Model!$E$6/General_Model!$E$7)-1/(1+General_Model!$E$26/((1.2+0.2*(General_Model!$E$26/A101)+0.35*SQRT(9.80665*(General_Model!$E$4/1000))/A101)*A101))-(A101^2/(2*9.80665*General_Model!$E$7))*((4*(0.3164/((General_Model!$E$14*A101*(General_Model!$E$4/1000)/General_Model!$E$15)^0.25))*General_Model!$E$7/(General_Model!$E$4/1000)+1)+(4*(0.3164/((General_Model!$E$14*A101*(General_Model!$E$4/1000)/General_Model!$E$15)^0.25))*General_Model!$E$7/(General_Model!$E$4/1000)+2)*(General_Model!$E$26/A101))</f>
        <v>0.12292075183549166</v>
      </c>
      <c r="C101" s="13">
        <f t="shared" si="1"/>
        <v>0</v>
      </c>
    </row>
    <row r="102" spans="1:3" x14ac:dyDescent="0.25">
      <c r="A102" s="11">
        <v>0.1</v>
      </c>
      <c r="B102" s="12">
        <f>(General_Model!$E$6/General_Model!$E$7)-1/(1+General_Model!$E$26/((1.2+0.2*(General_Model!$E$26/A102)+0.35*SQRT(9.80665*(General_Model!$E$4/1000))/A102)*A102))-(A102^2/(2*9.80665*General_Model!$E$7))*((4*(0.3164/((General_Model!$E$14*A102*(General_Model!$E$4/1000)/General_Model!$E$15)^0.25))*General_Model!$E$7/(General_Model!$E$4/1000)+1)+(4*(0.3164/((General_Model!$E$14*A102*(General_Model!$E$4/1000)/General_Model!$E$15)^0.25))*General_Model!$E$7/(General_Model!$E$4/1000)+2)*(General_Model!$E$26/A102))</f>
        <v>0.1222277642920046</v>
      </c>
      <c r="C102" s="13">
        <f t="shared" si="1"/>
        <v>0</v>
      </c>
    </row>
    <row r="103" spans="1:3" x14ac:dyDescent="0.25">
      <c r="A103" s="11">
        <v>0.10100000000000001</v>
      </c>
      <c r="B103" s="12">
        <f>(General_Model!$E$6/General_Model!$E$7)-1/(1+General_Model!$E$26/((1.2+0.2*(General_Model!$E$26/A103)+0.35*SQRT(9.80665*(General_Model!$E$4/1000))/A103)*A103))-(A103^2/(2*9.80665*General_Model!$E$7))*((4*(0.3164/((General_Model!$E$14*A103*(General_Model!$E$4/1000)/General_Model!$E$15)^0.25))*General_Model!$E$7/(General_Model!$E$4/1000)+1)+(4*(0.3164/((General_Model!$E$14*A103*(General_Model!$E$4/1000)/General_Model!$E$15)^0.25))*General_Model!$E$7/(General_Model!$E$4/1000)+2)*(General_Model!$E$26/A103))</f>
        <v>0.12153581987911929</v>
      </c>
      <c r="C103" s="13">
        <f t="shared" si="1"/>
        <v>0</v>
      </c>
    </row>
    <row r="104" spans="1:3" x14ac:dyDescent="0.25">
      <c r="A104" s="11">
        <v>0.10199999999999999</v>
      </c>
      <c r="B104" s="12">
        <f>(General_Model!$E$6/General_Model!$E$7)-1/(1+General_Model!$E$26/((1.2+0.2*(General_Model!$E$26/A104)+0.35*SQRT(9.80665*(General_Model!$E$4/1000))/A104)*A104))-(A104^2/(2*9.80665*General_Model!$E$7))*((4*(0.3164/((General_Model!$E$14*A104*(General_Model!$E$4/1000)/General_Model!$E$15)^0.25))*General_Model!$E$7/(General_Model!$E$4/1000)+1)+(4*(0.3164/((General_Model!$E$14*A104*(General_Model!$E$4/1000)/General_Model!$E$15)^0.25))*General_Model!$E$7/(General_Model!$E$4/1000)+2)*(General_Model!$E$26/A104))</f>
        <v>0.12084491391561761</v>
      </c>
      <c r="C104" s="13">
        <f t="shared" si="1"/>
        <v>0</v>
      </c>
    </row>
    <row r="105" spans="1:3" x14ac:dyDescent="0.25">
      <c r="A105" s="11">
        <v>0.10299999999999999</v>
      </c>
      <c r="B105" s="12">
        <f>(General_Model!$E$6/General_Model!$E$7)-1/(1+General_Model!$E$26/((1.2+0.2*(General_Model!$E$26/A105)+0.35*SQRT(9.80665*(General_Model!$E$4/1000))/A105)*A105))-(A105^2/(2*9.80665*General_Model!$E$7))*((4*(0.3164/((General_Model!$E$14*A105*(General_Model!$E$4/1000)/General_Model!$E$15)^0.25))*General_Model!$E$7/(General_Model!$E$4/1000)+1)+(4*(0.3164/((General_Model!$E$14*A105*(General_Model!$E$4/1000)/General_Model!$E$15)^0.25))*General_Model!$E$7/(General_Model!$E$4/1000)+2)*(General_Model!$E$26/A105))</f>
        <v>0.12015504176188531</v>
      </c>
      <c r="C105" s="13">
        <f t="shared" si="1"/>
        <v>0</v>
      </c>
    </row>
    <row r="106" spans="1:3" x14ac:dyDescent="0.25">
      <c r="A106" s="11">
        <v>0.104</v>
      </c>
      <c r="B106" s="12">
        <f>(General_Model!$E$6/General_Model!$E$7)-1/(1+General_Model!$E$26/((1.2+0.2*(General_Model!$E$26/A106)+0.35*SQRT(9.80665*(General_Model!$E$4/1000))/A106)*A106))-(A106^2/(2*9.80665*General_Model!$E$7))*((4*(0.3164/((General_Model!$E$14*A106*(General_Model!$E$4/1000)/General_Model!$E$15)^0.25))*General_Model!$E$7/(General_Model!$E$4/1000)+1)+(4*(0.3164/((General_Model!$E$14*A106*(General_Model!$E$4/1000)/General_Model!$E$15)^0.25))*General_Model!$E$7/(General_Model!$E$4/1000)+2)*(General_Model!$E$26/A106))</f>
        <v>0.11946619881895813</v>
      </c>
      <c r="C106" s="13">
        <f t="shared" si="1"/>
        <v>0</v>
      </c>
    </row>
    <row r="107" spans="1:3" x14ac:dyDescent="0.25">
      <c r="A107" s="11">
        <v>0.105</v>
      </c>
      <c r="B107" s="12">
        <f>(General_Model!$E$6/General_Model!$E$7)-1/(1+General_Model!$E$26/((1.2+0.2*(General_Model!$E$26/A107)+0.35*SQRT(9.80665*(General_Model!$E$4/1000))/A107)*A107))-(A107^2/(2*9.80665*General_Model!$E$7))*((4*(0.3164/((General_Model!$E$14*A107*(General_Model!$E$4/1000)/General_Model!$E$15)^0.25))*General_Model!$E$7/(General_Model!$E$4/1000)+1)+(4*(0.3164/((General_Model!$E$14*A107*(General_Model!$E$4/1000)/General_Model!$E$15)^0.25))*General_Model!$E$7/(General_Model!$E$4/1000)+2)*(General_Model!$E$26/A107))</f>
        <v>0.11877838052760538</v>
      </c>
      <c r="C107" s="13">
        <f t="shared" si="1"/>
        <v>0</v>
      </c>
    </row>
    <row r="108" spans="1:3" x14ac:dyDescent="0.25">
      <c r="A108" s="11">
        <v>0.106</v>
      </c>
      <c r="B108" s="12">
        <f>(General_Model!$E$6/General_Model!$E$7)-1/(1+General_Model!$E$26/((1.2+0.2*(General_Model!$E$26/A108)+0.35*SQRT(9.80665*(General_Model!$E$4/1000))/A108)*A108))-(A108^2/(2*9.80665*General_Model!$E$7))*((4*(0.3164/((General_Model!$E$14*A108*(General_Model!$E$4/1000)/General_Model!$E$15)^0.25))*General_Model!$E$7/(General_Model!$E$4/1000)+1)+(4*(0.3164/((General_Model!$E$14*A108*(General_Model!$E$4/1000)/General_Model!$E$15)^0.25))*General_Model!$E$7/(General_Model!$E$4/1000)+2)*(General_Model!$E$26/A108))</f>
        <v>0.11809158236744827</v>
      </c>
      <c r="C108" s="13">
        <f t="shared" si="1"/>
        <v>0</v>
      </c>
    </row>
    <row r="109" spans="1:3" x14ac:dyDescent="0.25">
      <c r="A109" s="11">
        <v>0.107</v>
      </c>
      <c r="B109" s="12">
        <f>(General_Model!$E$6/General_Model!$E$7)-1/(1+General_Model!$E$26/((1.2+0.2*(General_Model!$E$26/A109)+0.35*SQRT(9.80665*(General_Model!$E$4/1000))/A109)*A109))-(A109^2/(2*9.80665*General_Model!$E$7))*((4*(0.3164/((General_Model!$E$14*A109*(General_Model!$E$4/1000)/General_Model!$E$15)^0.25))*General_Model!$E$7/(General_Model!$E$4/1000)+1)+(4*(0.3164/((General_Model!$E$14*A109*(General_Model!$E$4/1000)/General_Model!$E$15)^0.25))*General_Model!$E$7/(General_Model!$E$4/1000)+2)*(General_Model!$E$26/A109))</f>
        <v>0.1174057998561118</v>
      </c>
      <c r="C109" s="13">
        <f t="shared" si="1"/>
        <v>0</v>
      </c>
    </row>
    <row r="110" spans="1:3" x14ac:dyDescent="0.25">
      <c r="A110" s="11">
        <v>0.108</v>
      </c>
      <c r="B110" s="12">
        <f>(General_Model!$E$6/General_Model!$E$7)-1/(1+General_Model!$E$26/((1.2+0.2*(General_Model!$E$26/A110)+0.35*SQRT(9.80665*(General_Model!$E$4/1000))/A110)*A110))-(A110^2/(2*9.80665*General_Model!$E$7))*((4*(0.3164/((General_Model!$E$14*A110*(General_Model!$E$4/1000)/General_Model!$E$15)^0.25))*General_Model!$E$7/(General_Model!$E$4/1000)+1)+(4*(0.3164/((General_Model!$E$14*A110*(General_Model!$E$4/1000)/General_Model!$E$15)^0.25))*General_Model!$E$7/(General_Model!$E$4/1000)+2)*(General_Model!$E$26/A110))</f>
        <v>0.11672102854840839</v>
      </c>
      <c r="C110" s="13">
        <f t="shared" si="1"/>
        <v>0</v>
      </c>
    </row>
    <row r="111" spans="1:3" x14ac:dyDescent="0.25">
      <c r="A111" s="11">
        <v>0.109</v>
      </c>
      <c r="B111" s="12">
        <f>(General_Model!$E$6/General_Model!$E$7)-1/(1+General_Model!$E$26/((1.2+0.2*(General_Model!$E$26/A111)+0.35*SQRT(9.80665*(General_Model!$E$4/1000))/A111)*A111))-(A111^2/(2*9.80665*General_Model!$E$7))*((4*(0.3164/((General_Model!$E$14*A111*(General_Model!$E$4/1000)/General_Model!$E$15)^0.25))*General_Model!$E$7/(General_Model!$E$4/1000)+1)+(4*(0.3164/((General_Model!$E$14*A111*(General_Model!$E$4/1000)/General_Model!$E$15)^0.25))*General_Model!$E$7/(General_Model!$E$4/1000)+2)*(General_Model!$E$26/A111))</f>
        <v>0.11603726403555188</v>
      </c>
      <c r="C111" s="13">
        <f t="shared" si="1"/>
        <v>0</v>
      </c>
    </row>
    <row r="112" spans="1:3" x14ac:dyDescent="0.25">
      <c r="A112" s="11">
        <v>0.11</v>
      </c>
      <c r="B112" s="12">
        <f>(General_Model!$E$6/General_Model!$E$7)-1/(1+General_Model!$E$26/((1.2+0.2*(General_Model!$E$26/A112)+0.35*SQRT(9.80665*(General_Model!$E$4/1000))/A112)*A112))-(A112^2/(2*9.80665*General_Model!$E$7))*((4*(0.3164/((General_Model!$E$14*A112*(General_Model!$E$4/1000)/General_Model!$E$15)^0.25))*General_Model!$E$7/(General_Model!$E$4/1000)+1)+(4*(0.3164/((General_Model!$E$14*A112*(General_Model!$E$4/1000)/General_Model!$E$15)^0.25))*General_Model!$E$7/(General_Model!$E$4/1000)+2)*(General_Model!$E$26/A112))</f>
        <v>0.11535450194440056</v>
      </c>
      <c r="C112" s="13">
        <f t="shared" si="1"/>
        <v>0</v>
      </c>
    </row>
    <row r="113" spans="1:3" x14ac:dyDescent="0.25">
      <c r="A113" s="11">
        <v>0.111</v>
      </c>
      <c r="B113" s="12">
        <f>(General_Model!$E$6/General_Model!$E$7)-1/(1+General_Model!$E$26/((1.2+0.2*(General_Model!$E$26/A113)+0.35*SQRT(9.80665*(General_Model!$E$4/1000))/A113)*A113))-(A113^2/(2*9.80665*General_Model!$E$7))*((4*(0.3164/((General_Model!$E$14*A113*(General_Model!$E$4/1000)/General_Model!$E$15)^0.25))*General_Model!$E$7/(General_Model!$E$4/1000)+1)+(4*(0.3164/((General_Model!$E$14*A113*(General_Model!$E$4/1000)/General_Model!$E$15)^0.25))*General_Model!$E$7/(General_Model!$E$4/1000)+2)*(General_Model!$E$26/A113))</f>
        <v>0.11467273793672701</v>
      </c>
      <c r="C113" s="13">
        <f t="shared" si="1"/>
        <v>0</v>
      </c>
    </row>
    <row r="114" spans="1:3" x14ac:dyDescent="0.25">
      <c r="A114" s="11">
        <v>0.112</v>
      </c>
      <c r="B114" s="12">
        <f>(General_Model!$E$6/General_Model!$E$7)-1/(1+General_Model!$E$26/((1.2+0.2*(General_Model!$E$26/A114)+0.35*SQRT(9.80665*(General_Model!$E$4/1000))/A114)*A114))-(A114^2/(2*9.80665*General_Model!$E$7))*((4*(0.3164/((General_Model!$E$14*A114*(General_Model!$E$4/1000)/General_Model!$E$15)^0.25))*General_Model!$E$7/(General_Model!$E$4/1000)+1)+(4*(0.3164/((General_Model!$E$14*A114*(General_Model!$E$4/1000)/General_Model!$E$15)^0.25))*General_Model!$E$7/(General_Model!$E$4/1000)+2)*(General_Model!$E$26/A114))</f>
        <v>0.11399196770851484</v>
      </c>
      <c r="C114" s="13">
        <f t="shared" si="1"/>
        <v>0</v>
      </c>
    </row>
    <row r="115" spans="1:3" x14ac:dyDescent="0.25">
      <c r="A115" s="11">
        <v>0.113</v>
      </c>
      <c r="B115" s="12">
        <f>(General_Model!$E$6/General_Model!$E$7)-1/(1+General_Model!$E$26/((1.2+0.2*(General_Model!$E$26/A115)+0.35*SQRT(9.80665*(General_Model!$E$4/1000))/A115)*A115))-(A115^2/(2*9.80665*General_Model!$E$7))*((4*(0.3164/((General_Model!$E$14*A115*(General_Model!$E$4/1000)/General_Model!$E$15)^0.25))*General_Model!$E$7/(General_Model!$E$4/1000)+1)+(4*(0.3164/((General_Model!$E$14*A115*(General_Model!$E$4/1000)/General_Model!$E$15)^0.25))*General_Model!$E$7/(General_Model!$E$4/1000)+2)*(General_Model!$E$26/A115))</f>
        <v>0.11331218698927938</v>
      </c>
      <c r="C115" s="13">
        <f t="shared" si="1"/>
        <v>0</v>
      </c>
    </row>
    <row r="116" spans="1:3" x14ac:dyDescent="0.25">
      <c r="A116" s="11">
        <v>0.114</v>
      </c>
      <c r="B116" s="12">
        <f>(General_Model!$E$6/General_Model!$E$7)-1/(1+General_Model!$E$26/((1.2+0.2*(General_Model!$E$26/A116)+0.35*SQRT(9.80665*(General_Model!$E$4/1000))/A116)*A116))-(A116^2/(2*9.80665*General_Model!$E$7))*((4*(0.3164/((General_Model!$E$14*A116*(General_Model!$E$4/1000)/General_Model!$E$15)^0.25))*General_Model!$E$7/(General_Model!$E$4/1000)+1)+(4*(0.3164/((General_Model!$E$14*A116*(General_Model!$E$4/1000)/General_Model!$E$15)^0.25))*General_Model!$E$7/(General_Model!$E$4/1000)+2)*(General_Model!$E$26/A116))</f>
        <v>0.11263339154141366</v>
      </c>
      <c r="C116" s="13">
        <f t="shared" si="1"/>
        <v>0</v>
      </c>
    </row>
    <row r="117" spans="1:3" x14ac:dyDescent="0.25">
      <c r="A117" s="11">
        <v>0.115</v>
      </c>
      <c r="B117" s="12">
        <f>(General_Model!$E$6/General_Model!$E$7)-1/(1+General_Model!$E$26/((1.2+0.2*(General_Model!$E$26/A117)+0.35*SQRT(9.80665*(General_Model!$E$4/1000))/A117)*A117))-(A117^2/(2*9.80665*General_Model!$E$7))*((4*(0.3164/((General_Model!$E$14*A117*(General_Model!$E$4/1000)/General_Model!$E$15)^0.25))*General_Model!$E$7/(General_Model!$E$4/1000)+1)+(4*(0.3164/((General_Model!$E$14*A117*(General_Model!$E$4/1000)/General_Model!$E$15)^0.25))*General_Model!$E$7/(General_Model!$E$4/1000)+2)*(General_Model!$E$26/A117))</f>
        <v>0.11195557715955494</v>
      </c>
      <c r="C117" s="13">
        <f t="shared" si="1"/>
        <v>0</v>
      </c>
    </row>
    <row r="118" spans="1:3" x14ac:dyDescent="0.25">
      <c r="A118" s="11">
        <v>0.11600000000000001</v>
      </c>
      <c r="B118" s="12">
        <f>(General_Model!$E$6/General_Model!$E$7)-1/(1+General_Model!$E$26/((1.2+0.2*(General_Model!$E$26/A118)+0.35*SQRT(9.80665*(General_Model!$E$4/1000))/A118)*A118))-(A118^2/(2*9.80665*General_Model!$E$7))*((4*(0.3164/((General_Model!$E$14*A118*(General_Model!$E$4/1000)/General_Model!$E$15)^0.25))*General_Model!$E$7/(General_Model!$E$4/1000)+1)+(4*(0.3164/((General_Model!$E$14*A118*(General_Model!$E$4/1000)/General_Model!$E$15)^0.25))*General_Model!$E$7/(General_Model!$E$4/1000)+2)*(General_Model!$E$26/A118))</f>
        <v>0.11127873966997504</v>
      </c>
      <c r="C118" s="13">
        <f t="shared" si="1"/>
        <v>0</v>
      </c>
    </row>
    <row r="119" spans="1:3" x14ac:dyDescent="0.25">
      <c r="A119" s="11">
        <v>0.11700000000000001</v>
      </c>
      <c r="B119" s="12">
        <f>(General_Model!$E$6/General_Model!$E$7)-1/(1+General_Model!$E$26/((1.2+0.2*(General_Model!$E$26/A119)+0.35*SQRT(9.80665*(General_Model!$E$4/1000))/A119)*A119))-(A119^2/(2*9.80665*General_Model!$E$7))*((4*(0.3164/((General_Model!$E$14*A119*(General_Model!$E$4/1000)/General_Model!$E$15)^0.25))*General_Model!$E$7/(General_Model!$E$4/1000)+1)+(4*(0.3164/((General_Model!$E$14*A119*(General_Model!$E$4/1000)/General_Model!$E$15)^0.25))*General_Model!$E$7/(General_Model!$E$4/1000)+2)*(General_Model!$E$26/A119))</f>
        <v>0.11060287492998933</v>
      </c>
      <c r="C119" s="13">
        <f t="shared" si="1"/>
        <v>0</v>
      </c>
    </row>
    <row r="120" spans="1:3" x14ac:dyDescent="0.25">
      <c r="A120" s="11">
        <v>0.11799999999999999</v>
      </c>
      <c r="B120" s="12">
        <f>(General_Model!$E$6/General_Model!$E$7)-1/(1+General_Model!$E$26/((1.2+0.2*(General_Model!$E$26/A120)+0.35*SQRT(9.80665*(General_Model!$E$4/1000))/A120)*A120))-(A120^2/(2*9.80665*General_Model!$E$7))*((4*(0.3164/((General_Model!$E$14*A120*(General_Model!$E$4/1000)/General_Model!$E$15)^0.25))*General_Model!$E$7/(General_Model!$E$4/1000)+1)+(4*(0.3164/((General_Model!$E$14*A120*(General_Model!$E$4/1000)/General_Model!$E$15)^0.25))*General_Model!$E$7/(General_Model!$E$4/1000)+2)*(General_Model!$E$26/A120))</f>
        <v>0.10992797882738752</v>
      </c>
      <c r="C120" s="13">
        <f t="shared" si="1"/>
        <v>0</v>
      </c>
    </row>
    <row r="121" spans="1:3" x14ac:dyDescent="0.25">
      <c r="A121" s="11">
        <v>0.11899999999999999</v>
      </c>
      <c r="B121" s="12">
        <f>(General_Model!$E$6/General_Model!$E$7)-1/(1+General_Model!$E$26/((1.2+0.2*(General_Model!$E$26/A121)+0.35*SQRT(9.80665*(General_Model!$E$4/1000))/A121)*A121))-(A121^2/(2*9.80665*General_Model!$E$7))*((4*(0.3164/((General_Model!$E$14*A121*(General_Model!$E$4/1000)/General_Model!$E$15)^0.25))*General_Model!$E$7/(General_Model!$E$4/1000)+1)+(4*(0.3164/((General_Model!$E$14*A121*(General_Model!$E$4/1000)/General_Model!$E$15)^0.25))*General_Model!$E$7/(General_Model!$E$4/1000)+2)*(General_Model!$E$26/A121))</f>
        <v>0.10925404727988149</v>
      </c>
      <c r="C121" s="13">
        <f t="shared" si="1"/>
        <v>0</v>
      </c>
    </row>
    <row r="122" spans="1:3" x14ac:dyDescent="0.25">
      <c r="A122" s="11">
        <v>0.12</v>
      </c>
      <c r="B122" s="12">
        <f>(General_Model!$E$6/General_Model!$E$7)-1/(1+General_Model!$E$26/((1.2+0.2*(General_Model!$E$26/A122)+0.35*SQRT(9.80665*(General_Model!$E$4/1000))/A122)*A122))-(A122^2/(2*9.80665*General_Model!$E$7))*((4*(0.3164/((General_Model!$E$14*A122*(General_Model!$E$4/1000)/General_Model!$E$15)^0.25))*General_Model!$E$7/(General_Model!$E$4/1000)+1)+(4*(0.3164/((General_Model!$E$14*A122*(General_Model!$E$4/1000)/General_Model!$E$15)^0.25))*General_Model!$E$7/(General_Model!$E$4/1000)+2)*(General_Model!$E$26/A122))</f>
        <v>0.10858107623457187</v>
      </c>
      <c r="C122" s="13">
        <f t="shared" si="1"/>
        <v>0</v>
      </c>
    </row>
    <row r="123" spans="1:3" x14ac:dyDescent="0.25">
      <c r="A123" s="11">
        <v>0.121</v>
      </c>
      <c r="B123" s="12">
        <f>(General_Model!$E$6/General_Model!$E$7)-1/(1+General_Model!$E$26/((1.2+0.2*(General_Model!$E$26/A123)+0.35*SQRT(9.80665*(General_Model!$E$4/1000))/A123)*A123))-(A123^2/(2*9.80665*General_Model!$E$7))*((4*(0.3164/((General_Model!$E$14*A123*(General_Model!$E$4/1000)/General_Model!$E$15)^0.25))*General_Model!$E$7/(General_Model!$E$4/1000)+1)+(4*(0.3164/((General_Model!$E$14*A123*(General_Model!$E$4/1000)/General_Model!$E$15)^0.25))*General_Model!$E$7/(General_Model!$E$4/1000)+2)*(General_Model!$E$26/A123))</f>
        <v>0.10790906166743236</v>
      </c>
      <c r="C123" s="13">
        <f t="shared" si="1"/>
        <v>0</v>
      </c>
    </row>
    <row r="124" spans="1:3" x14ac:dyDescent="0.25">
      <c r="A124" s="11">
        <v>0.122</v>
      </c>
      <c r="B124" s="12">
        <f>(General_Model!$E$6/General_Model!$E$7)-1/(1+General_Model!$E$26/((1.2+0.2*(General_Model!$E$26/A124)+0.35*SQRT(9.80665*(General_Model!$E$4/1000))/A124)*A124))-(A124^2/(2*9.80665*General_Model!$E$7))*((4*(0.3164/((General_Model!$E$14*A124*(General_Model!$E$4/1000)/General_Model!$E$15)^0.25))*General_Model!$E$7/(General_Model!$E$4/1000)+1)+(4*(0.3164/((General_Model!$E$14*A124*(General_Model!$E$4/1000)/General_Model!$E$15)^0.25))*General_Model!$E$7/(General_Model!$E$4/1000)+2)*(General_Model!$E$26/A124))</f>
        <v>0.10723799958281006</v>
      </c>
      <c r="C124" s="13">
        <f t="shared" si="1"/>
        <v>0</v>
      </c>
    </row>
    <row r="125" spans="1:3" x14ac:dyDescent="0.25">
      <c r="A125" s="11">
        <v>0.123</v>
      </c>
      <c r="B125" s="12">
        <f>(General_Model!$E$6/General_Model!$E$7)-1/(1+General_Model!$E$26/((1.2+0.2*(General_Model!$E$26/A125)+0.35*SQRT(9.80665*(General_Model!$E$4/1000))/A125)*A125))-(A125^2/(2*9.80665*General_Model!$E$7))*((4*(0.3164/((General_Model!$E$14*A125*(General_Model!$E$4/1000)/General_Model!$E$15)^0.25))*General_Model!$E$7/(General_Model!$E$4/1000)+1)+(4*(0.3164/((General_Model!$E$14*A125*(General_Model!$E$4/1000)/General_Model!$E$15)^0.25))*General_Model!$E$7/(General_Model!$E$4/1000)+2)*(General_Model!$E$26/A125))</f>
        <v>0.10656788601294082</v>
      </c>
      <c r="C125" s="13">
        <f t="shared" si="1"/>
        <v>0</v>
      </c>
    </row>
    <row r="126" spans="1:3" x14ac:dyDescent="0.25">
      <c r="A126" s="11">
        <v>0.124</v>
      </c>
      <c r="B126" s="12">
        <f>(General_Model!$E$6/General_Model!$E$7)-1/(1+General_Model!$E$26/((1.2+0.2*(General_Model!$E$26/A126)+0.35*SQRT(9.80665*(General_Model!$E$4/1000))/A126)*A126))-(A126^2/(2*9.80665*General_Model!$E$7))*((4*(0.3164/((General_Model!$E$14*A126*(General_Model!$E$4/1000)/General_Model!$E$15)^0.25))*General_Model!$E$7/(General_Model!$E$4/1000)+1)+(4*(0.3164/((General_Model!$E$14*A126*(General_Model!$E$4/1000)/General_Model!$E$15)^0.25))*General_Model!$E$7/(General_Model!$E$4/1000)+2)*(General_Model!$E$26/A126))</f>
        <v>0.10589871701748155</v>
      </c>
      <c r="C126" s="13">
        <f t="shared" si="1"/>
        <v>0</v>
      </c>
    </row>
    <row r="127" spans="1:3" x14ac:dyDescent="0.25">
      <c r="A127" s="11">
        <v>0.125</v>
      </c>
      <c r="B127" s="12">
        <f>(General_Model!$E$6/General_Model!$E$7)-1/(1+General_Model!$E$26/((1.2+0.2*(General_Model!$E$26/A127)+0.35*SQRT(9.80665*(General_Model!$E$4/1000))/A127)*A127))-(A127^2/(2*9.80665*General_Model!$E$7))*((4*(0.3164/((General_Model!$E$14*A127*(General_Model!$E$4/1000)/General_Model!$E$15)^0.25))*General_Model!$E$7/(General_Model!$E$4/1000)+1)+(4*(0.3164/((General_Model!$E$14*A127*(General_Model!$E$4/1000)/General_Model!$E$15)^0.25))*General_Model!$E$7/(General_Model!$E$4/1000)+2)*(General_Model!$E$26/A127))</f>
        <v>0.10523048868305553</v>
      </c>
      <c r="C127" s="13">
        <f t="shared" si="1"/>
        <v>0</v>
      </c>
    </row>
    <row r="128" spans="1:3" x14ac:dyDescent="0.25">
      <c r="A128" s="11">
        <v>0.126</v>
      </c>
      <c r="B128" s="12">
        <f>(General_Model!$E$6/General_Model!$E$7)-1/(1+General_Model!$E$26/((1.2+0.2*(General_Model!$E$26/A128)+0.35*SQRT(9.80665*(General_Model!$E$4/1000))/A128)*A128))-(A128^2/(2*9.80665*General_Model!$E$7))*((4*(0.3164/((General_Model!$E$14*A128*(General_Model!$E$4/1000)/General_Model!$E$15)^0.25))*General_Model!$E$7/(General_Model!$E$4/1000)+1)+(4*(0.3164/((General_Model!$E$14*A128*(General_Model!$E$4/1000)/General_Model!$E$15)^0.25))*General_Model!$E$7/(General_Model!$E$4/1000)+2)*(General_Model!$E$26/A128))</f>
        <v>0.1045631971228118</v>
      </c>
      <c r="C128" s="13">
        <f t="shared" si="1"/>
        <v>0</v>
      </c>
    </row>
    <row r="129" spans="1:3" x14ac:dyDescent="0.25">
      <c r="A129" s="11">
        <v>0.127</v>
      </c>
      <c r="B129" s="12">
        <f>(General_Model!$E$6/General_Model!$E$7)-1/(1+General_Model!$E$26/((1.2+0.2*(General_Model!$E$26/A129)+0.35*SQRT(9.80665*(General_Model!$E$4/1000))/A129)*A129))-(A129^2/(2*9.80665*General_Model!$E$7))*((4*(0.3164/((General_Model!$E$14*A129*(General_Model!$E$4/1000)/General_Model!$E$15)^0.25))*General_Model!$E$7/(General_Model!$E$4/1000)+1)+(4*(0.3164/((General_Model!$E$14*A129*(General_Model!$E$4/1000)/General_Model!$E$15)^0.25))*General_Model!$E$7/(General_Model!$E$4/1000)+2)*(General_Model!$E$26/A129))</f>
        <v>0.10389683847599882</v>
      </c>
      <c r="C129" s="13">
        <f t="shared" si="1"/>
        <v>0</v>
      </c>
    </row>
    <row r="130" spans="1:3" x14ac:dyDescent="0.25">
      <c r="A130" s="11">
        <v>0.128</v>
      </c>
      <c r="B130" s="12">
        <f>(General_Model!$E$6/General_Model!$E$7)-1/(1+General_Model!$E$26/((1.2+0.2*(General_Model!$E$26/A130)+0.35*SQRT(9.80665*(General_Model!$E$4/1000))/A130)*A130))-(A130^2/(2*9.80665*General_Model!$E$7))*((4*(0.3164/((General_Model!$E$14*A130*(General_Model!$E$4/1000)/General_Model!$E$15)^0.25))*General_Model!$E$7/(General_Model!$E$4/1000)+1)+(4*(0.3164/((General_Model!$E$14*A130*(General_Model!$E$4/1000)/General_Model!$E$15)^0.25))*General_Model!$E$7/(General_Model!$E$4/1000)+2)*(General_Model!$E$26/A130))</f>
        <v>0.10323140890754957</v>
      </c>
      <c r="C130" s="13">
        <f t="shared" si="1"/>
        <v>0</v>
      </c>
    </row>
    <row r="131" spans="1:3" x14ac:dyDescent="0.25">
      <c r="A131" s="11">
        <v>0.129</v>
      </c>
      <c r="B131" s="12">
        <f>(General_Model!$E$6/General_Model!$E$7)-1/(1+General_Model!$E$26/((1.2+0.2*(General_Model!$E$26/A131)+0.35*SQRT(9.80665*(General_Model!$E$4/1000))/A131)*A131))-(A131^2/(2*9.80665*General_Model!$E$7))*((4*(0.3164/((General_Model!$E$14*A131*(General_Model!$E$4/1000)/General_Model!$E$15)^0.25))*General_Model!$E$7/(General_Model!$E$4/1000)+1)+(4*(0.3164/((General_Model!$E$14*A131*(General_Model!$E$4/1000)/General_Model!$E$15)^0.25))*General_Model!$E$7/(General_Model!$E$4/1000)+2)*(General_Model!$E$26/A131))</f>
        <v>0.10256690460768032</v>
      </c>
      <c r="C131" s="13">
        <f t="shared" ref="C131:C194" si="2">IF(B131*B132&lt;=0,1,0)</f>
        <v>0</v>
      </c>
    </row>
    <row r="132" spans="1:3" x14ac:dyDescent="0.25">
      <c r="A132" s="11">
        <v>0.13</v>
      </c>
      <c r="B132" s="12">
        <f>(General_Model!$E$6/General_Model!$E$7)-1/(1+General_Model!$E$26/((1.2+0.2*(General_Model!$E$26/A132)+0.35*SQRT(9.80665*(General_Model!$E$4/1000))/A132)*A132))-(A132^2/(2*9.80665*General_Model!$E$7))*((4*(0.3164/((General_Model!$E$14*A132*(General_Model!$E$4/1000)/General_Model!$E$15)^0.25))*General_Model!$E$7/(General_Model!$E$4/1000)+1)+(4*(0.3164/((General_Model!$E$14*A132*(General_Model!$E$4/1000)/General_Model!$E$15)^0.25))*General_Model!$E$7/(General_Model!$E$4/1000)+2)*(General_Model!$E$26/A132))</f>
        <v>0.10190332179149919</v>
      </c>
      <c r="C132" s="13">
        <f t="shared" si="2"/>
        <v>0</v>
      </c>
    </row>
    <row r="133" spans="1:3" x14ac:dyDescent="0.25">
      <c r="A133" s="11">
        <v>0.13100000000000001</v>
      </c>
      <c r="B133" s="12">
        <f>(General_Model!$E$6/General_Model!$E$7)-1/(1+General_Model!$E$26/((1.2+0.2*(General_Model!$E$26/A133)+0.35*SQRT(9.80665*(General_Model!$E$4/1000))/A133)*A133))-(A133^2/(2*9.80665*General_Model!$E$7))*((4*(0.3164/((General_Model!$E$14*A133*(General_Model!$E$4/1000)/General_Model!$E$15)^0.25))*General_Model!$E$7/(General_Model!$E$4/1000)+1)+(4*(0.3164/((General_Model!$E$14*A133*(General_Model!$E$4/1000)/General_Model!$E$15)^0.25))*General_Model!$E$7/(General_Model!$E$4/1000)+2)*(General_Model!$E$26/A133))</f>
        <v>0.10124065669862883</v>
      </c>
      <c r="C133" s="13">
        <f t="shared" si="2"/>
        <v>0</v>
      </c>
    </row>
    <row r="134" spans="1:3" x14ac:dyDescent="0.25">
      <c r="A134" s="11">
        <v>0.13200000000000001</v>
      </c>
      <c r="B134" s="12">
        <f>(General_Model!$E$6/General_Model!$E$7)-1/(1+General_Model!$E$26/((1.2+0.2*(General_Model!$E$26/A134)+0.35*SQRT(9.80665*(General_Model!$E$4/1000))/A134)*A134))-(A134^2/(2*9.80665*General_Model!$E$7))*((4*(0.3164/((General_Model!$E$14*A134*(General_Model!$E$4/1000)/General_Model!$E$15)^0.25))*General_Model!$E$7/(General_Model!$E$4/1000)+1)+(4*(0.3164/((General_Model!$E$14*A134*(General_Model!$E$4/1000)/General_Model!$E$15)^0.25))*General_Model!$E$7/(General_Model!$E$4/1000)+2)*(General_Model!$E$26/A134))</f>
        <v>0.10057890559283685</v>
      </c>
      <c r="C134" s="13">
        <f t="shared" si="2"/>
        <v>0</v>
      </c>
    </row>
    <row r="135" spans="1:3" x14ac:dyDescent="0.25">
      <c r="A135" s="11">
        <v>0.13300000000000001</v>
      </c>
      <c r="B135" s="12">
        <f>(General_Model!$E$6/General_Model!$E$7)-1/(1+General_Model!$E$26/((1.2+0.2*(General_Model!$E$26/A135)+0.35*SQRT(9.80665*(General_Model!$E$4/1000))/A135)*A135))-(A135^2/(2*9.80665*General_Model!$E$7))*((4*(0.3164/((General_Model!$E$14*A135*(General_Model!$E$4/1000)/General_Model!$E$15)^0.25))*General_Model!$E$7/(General_Model!$E$4/1000)+1)+(4*(0.3164/((General_Model!$E$14*A135*(General_Model!$E$4/1000)/General_Model!$E$15)^0.25))*General_Model!$E$7/(General_Model!$E$4/1000)+2)*(General_Model!$E$26/A135))</f>
        <v>9.9918064761678943E-2</v>
      </c>
      <c r="C135" s="13">
        <f t="shared" si="2"/>
        <v>0</v>
      </c>
    </row>
    <row r="136" spans="1:3" x14ac:dyDescent="0.25">
      <c r="A136" s="11">
        <v>0.13400000000000001</v>
      </c>
      <c r="B136" s="12">
        <f>(General_Model!$E$6/General_Model!$E$7)-1/(1+General_Model!$E$26/((1.2+0.2*(General_Model!$E$26/A136)+0.35*SQRT(9.80665*(General_Model!$E$4/1000))/A136)*A136))-(A136^2/(2*9.80665*General_Model!$E$7))*((4*(0.3164/((General_Model!$E$14*A136*(General_Model!$E$4/1000)/General_Model!$E$15)^0.25))*General_Model!$E$7/(General_Model!$E$4/1000)+1)+(4*(0.3164/((General_Model!$E$14*A136*(General_Model!$E$4/1000)/General_Model!$E$15)^0.25))*General_Model!$E$7/(General_Model!$E$4/1000)+2)*(General_Model!$E$26/A136))</f>
        <v>9.9258130516151344E-2</v>
      </c>
      <c r="C136" s="13">
        <f t="shared" si="2"/>
        <v>0</v>
      </c>
    </row>
    <row r="137" spans="1:3" x14ac:dyDescent="0.25">
      <c r="A137" s="11">
        <v>0.13500000000000001</v>
      </c>
      <c r="B137" s="12">
        <f>(General_Model!$E$6/General_Model!$E$7)-1/(1+General_Model!$E$26/((1.2+0.2*(General_Model!$E$26/A137)+0.35*SQRT(9.80665*(General_Model!$E$4/1000))/A137)*A137))-(A137^2/(2*9.80665*General_Model!$E$7))*((4*(0.3164/((General_Model!$E$14*A137*(General_Model!$E$4/1000)/General_Model!$E$15)^0.25))*General_Model!$E$7/(General_Model!$E$4/1000)+1)+(4*(0.3164/((General_Model!$E$14*A137*(General_Model!$E$4/1000)/General_Model!$E$15)^0.25))*General_Model!$E$7/(General_Model!$E$4/1000)+2)*(General_Model!$E$26/A137))</f>
        <v>9.8599099190352202E-2</v>
      </c>
      <c r="C137" s="13">
        <f t="shared" si="2"/>
        <v>0</v>
      </c>
    </row>
    <row r="138" spans="1:3" x14ac:dyDescent="0.25">
      <c r="A138" s="11">
        <v>0.13600000000000001</v>
      </c>
      <c r="B138" s="12">
        <f>(General_Model!$E$6/General_Model!$E$7)-1/(1+General_Model!$E$26/((1.2+0.2*(General_Model!$E$26/A138)+0.35*SQRT(9.80665*(General_Model!$E$4/1000))/A138)*A138))-(A138^2/(2*9.80665*General_Model!$E$7))*((4*(0.3164/((General_Model!$E$14*A138*(General_Model!$E$4/1000)/General_Model!$E$15)^0.25))*General_Model!$E$7/(General_Model!$E$4/1000)+1)+(4*(0.3164/((General_Model!$E$14*A138*(General_Model!$E$4/1000)/General_Model!$E$15)^0.25))*General_Model!$E$7/(General_Model!$E$4/1000)+2)*(General_Model!$E$26/A138))</f>
        <v>9.7940967141153315E-2</v>
      </c>
      <c r="C138" s="13">
        <f t="shared" si="2"/>
        <v>0</v>
      </c>
    </row>
    <row r="139" spans="1:3" x14ac:dyDescent="0.25">
      <c r="A139" s="11">
        <v>0.13700000000000001</v>
      </c>
      <c r="B139" s="12">
        <f>(General_Model!$E$6/General_Model!$E$7)-1/(1+General_Model!$E$26/((1.2+0.2*(General_Model!$E$26/A139)+0.35*SQRT(9.80665*(General_Model!$E$4/1000))/A139)*A139))-(A139^2/(2*9.80665*General_Model!$E$7))*((4*(0.3164/((General_Model!$E$14*A139*(General_Model!$E$4/1000)/General_Model!$E$15)^0.25))*General_Model!$E$7/(General_Model!$E$4/1000)+1)+(4*(0.3164/((General_Model!$E$14*A139*(General_Model!$E$4/1000)/General_Model!$E$15)^0.25))*General_Model!$E$7/(General_Model!$E$4/1000)+2)*(General_Model!$E$26/A139))</f>
        <v>9.7283730747880159E-2</v>
      </c>
      <c r="C139" s="13">
        <f t="shared" si="2"/>
        <v>0</v>
      </c>
    </row>
    <row r="140" spans="1:3" x14ac:dyDescent="0.25">
      <c r="A140" s="11">
        <v>0.13800000000000001</v>
      </c>
      <c r="B140" s="12">
        <f>(General_Model!$E$6/General_Model!$E$7)-1/(1+General_Model!$E$26/((1.2+0.2*(General_Model!$E$26/A140)+0.35*SQRT(9.80665*(General_Model!$E$4/1000))/A140)*A140))-(A140^2/(2*9.80665*General_Model!$E$7))*((4*(0.3164/((General_Model!$E$14*A140*(General_Model!$E$4/1000)/General_Model!$E$15)^0.25))*General_Model!$E$7/(General_Model!$E$4/1000)+1)+(4*(0.3164/((General_Model!$E$14*A140*(General_Model!$E$4/1000)/General_Model!$E$15)^0.25))*General_Model!$E$7/(General_Model!$E$4/1000)+2)*(General_Model!$E$26/A140))</f>
        <v>9.6627386412000554E-2</v>
      </c>
      <c r="C140" s="13">
        <f t="shared" si="2"/>
        <v>0</v>
      </c>
    </row>
    <row r="141" spans="1:3" x14ac:dyDescent="0.25">
      <c r="A141" s="11">
        <v>0.13900000000000001</v>
      </c>
      <c r="B141" s="12">
        <f>(General_Model!$E$6/General_Model!$E$7)-1/(1+General_Model!$E$26/((1.2+0.2*(General_Model!$E$26/A141)+0.35*SQRT(9.80665*(General_Model!$E$4/1000))/A141)*A141))-(A141^2/(2*9.80665*General_Model!$E$7))*((4*(0.3164/((General_Model!$E$14*A141*(General_Model!$E$4/1000)/General_Model!$E$15)^0.25))*General_Model!$E$7/(General_Model!$E$4/1000)+1)+(4*(0.3164/((General_Model!$E$14*A141*(General_Model!$E$4/1000)/General_Model!$E$15)^0.25))*General_Model!$E$7/(General_Model!$E$4/1000)+2)*(General_Model!$E$26/A141))</f>
        <v>9.5971930556821489E-2</v>
      </c>
      <c r="C141" s="13">
        <f t="shared" si="2"/>
        <v>0</v>
      </c>
    </row>
    <row r="142" spans="1:3" x14ac:dyDescent="0.25">
      <c r="A142" s="11">
        <v>0.14000000000000001</v>
      </c>
      <c r="B142" s="12">
        <f>(General_Model!$E$6/General_Model!$E$7)-1/(1+General_Model!$E$26/((1.2+0.2*(General_Model!$E$26/A142)+0.35*SQRT(9.80665*(General_Model!$E$4/1000))/A142)*A142))-(A142^2/(2*9.80665*General_Model!$E$7))*((4*(0.3164/((General_Model!$E$14*A142*(General_Model!$E$4/1000)/General_Model!$E$15)^0.25))*General_Model!$E$7/(General_Model!$E$4/1000)+1)+(4*(0.3164/((General_Model!$E$14*A142*(General_Model!$E$4/1000)/General_Model!$E$15)^0.25))*General_Model!$E$7/(General_Model!$E$4/1000)+2)*(General_Model!$E$26/A142))</f>
        <v>9.5317359627194717E-2</v>
      </c>
      <c r="C142" s="13">
        <f t="shared" si="2"/>
        <v>0</v>
      </c>
    </row>
    <row r="143" spans="1:3" x14ac:dyDescent="0.25">
      <c r="A143" s="11">
        <v>0.14099999999999999</v>
      </c>
      <c r="B143" s="12">
        <f>(General_Model!$E$6/General_Model!$E$7)-1/(1+General_Model!$E$26/((1.2+0.2*(General_Model!$E$26/A143)+0.35*SQRT(9.80665*(General_Model!$E$4/1000))/A143)*A143))-(A143^2/(2*9.80665*General_Model!$E$7))*((4*(0.3164/((General_Model!$E$14*A143*(General_Model!$E$4/1000)/General_Model!$E$15)^0.25))*General_Model!$E$7/(General_Model!$E$4/1000)+1)+(4*(0.3164/((General_Model!$E$14*A143*(General_Model!$E$4/1000)/General_Model!$E$15)^0.25))*General_Model!$E$7/(General_Model!$E$4/1000)+2)*(General_Model!$E$26/A143))</f>
        <v>9.4663670089228269E-2</v>
      </c>
      <c r="C143" s="13">
        <f t="shared" si="2"/>
        <v>0</v>
      </c>
    </row>
    <row r="144" spans="1:3" x14ac:dyDescent="0.25">
      <c r="A144" s="11">
        <v>0.14199999999999999</v>
      </c>
      <c r="B144" s="12">
        <f>(General_Model!$E$6/General_Model!$E$7)-1/(1+General_Model!$E$26/((1.2+0.2*(General_Model!$E$26/A144)+0.35*SQRT(9.80665*(General_Model!$E$4/1000))/A144)*A144))-(A144^2/(2*9.80665*General_Model!$E$7))*((4*(0.3164/((General_Model!$E$14*A144*(General_Model!$E$4/1000)/General_Model!$E$15)^0.25))*General_Model!$E$7/(General_Model!$E$4/1000)+1)+(4*(0.3164/((General_Model!$E$14*A144*(General_Model!$E$4/1000)/General_Model!$E$15)^0.25))*General_Model!$E$7/(General_Model!$E$4/1000)+2)*(General_Model!$E$26/A144))</f>
        <v>9.4010858430007338E-2</v>
      </c>
      <c r="C144" s="13">
        <f t="shared" si="2"/>
        <v>0</v>
      </c>
    </row>
    <row r="145" spans="1:3" x14ac:dyDescent="0.25">
      <c r="A145" s="11">
        <v>0.14299999999999999</v>
      </c>
      <c r="B145" s="12">
        <f>(General_Model!$E$6/General_Model!$E$7)-1/(1+General_Model!$E$26/((1.2+0.2*(General_Model!$E$26/A145)+0.35*SQRT(9.80665*(General_Model!$E$4/1000))/A145)*A145))-(A145^2/(2*9.80665*General_Model!$E$7))*((4*(0.3164/((General_Model!$E$14*A145*(General_Model!$E$4/1000)/General_Model!$E$15)^0.25))*General_Model!$E$7/(General_Model!$E$4/1000)+1)+(4*(0.3164/((General_Model!$E$14*A145*(General_Model!$E$4/1000)/General_Model!$E$15)^0.25))*General_Model!$E$7/(General_Model!$E$4/1000)+2)*(General_Model!$E$26/A145))</f>
        <v>9.3358921157321015E-2</v>
      </c>
      <c r="C145" s="13">
        <f t="shared" si="2"/>
        <v>0</v>
      </c>
    </row>
    <row r="146" spans="1:3" x14ac:dyDescent="0.25">
      <c r="A146" s="11">
        <v>0.14399999999999999</v>
      </c>
      <c r="B146" s="12">
        <f>(General_Model!$E$6/General_Model!$E$7)-1/(1+General_Model!$E$26/((1.2+0.2*(General_Model!$E$26/A146)+0.35*SQRT(9.80665*(General_Model!$E$4/1000))/A146)*A146))-(A146^2/(2*9.80665*General_Model!$E$7))*((4*(0.3164/((General_Model!$E$14*A146*(General_Model!$E$4/1000)/General_Model!$E$15)^0.25))*General_Model!$E$7/(General_Model!$E$4/1000)+1)+(4*(0.3164/((General_Model!$E$14*A146*(General_Model!$E$4/1000)/General_Model!$E$15)^0.25))*General_Model!$E$7/(General_Model!$E$4/1000)+2)*(General_Model!$E$26/A146))</f>
        <v>9.2707854799396278E-2</v>
      </c>
      <c r="C146" s="13">
        <f t="shared" si="2"/>
        <v>0</v>
      </c>
    </row>
    <row r="147" spans="1:3" x14ac:dyDescent="0.25">
      <c r="A147" s="11">
        <v>0.14499999999999999</v>
      </c>
      <c r="B147" s="12">
        <f>(General_Model!$E$6/General_Model!$E$7)-1/(1+General_Model!$E$26/((1.2+0.2*(General_Model!$E$26/A147)+0.35*SQRT(9.80665*(General_Model!$E$4/1000))/A147)*A147))-(A147^2/(2*9.80665*General_Model!$E$7))*((4*(0.3164/((General_Model!$E$14*A147*(General_Model!$E$4/1000)/General_Model!$E$15)^0.25))*General_Model!$E$7/(General_Model!$E$4/1000)+1)+(4*(0.3164/((General_Model!$E$14*A147*(General_Model!$E$4/1000)/General_Model!$E$15)^0.25))*General_Model!$E$7/(General_Model!$E$4/1000)+2)*(General_Model!$E$26/A147))</f>
        <v>9.2057655904638186E-2</v>
      </c>
      <c r="C147" s="13">
        <f t="shared" si="2"/>
        <v>0</v>
      </c>
    </row>
    <row r="148" spans="1:3" x14ac:dyDescent="0.25">
      <c r="A148" s="11">
        <v>0.14599999999999999</v>
      </c>
      <c r="B148" s="12">
        <f>(General_Model!$E$6/General_Model!$E$7)-1/(1+General_Model!$E$26/((1.2+0.2*(General_Model!$E$26/A148)+0.35*SQRT(9.80665*(General_Model!$E$4/1000))/A148)*A148))-(A148^2/(2*9.80665*General_Model!$E$7))*((4*(0.3164/((General_Model!$E$14*A148*(General_Model!$E$4/1000)/General_Model!$E$15)^0.25))*General_Model!$E$7/(General_Model!$E$4/1000)+1)+(4*(0.3164/((General_Model!$E$14*A148*(General_Model!$E$4/1000)/General_Model!$E$15)^0.25))*General_Model!$E$7/(General_Model!$E$4/1000)+2)*(General_Model!$E$26/A148))</f>
        <v>9.140832104137761E-2</v>
      </c>
      <c r="C148" s="13">
        <f t="shared" si="2"/>
        <v>0</v>
      </c>
    </row>
    <row r="149" spans="1:3" x14ac:dyDescent="0.25">
      <c r="A149" s="11">
        <v>0.14699999999999999</v>
      </c>
      <c r="B149" s="12">
        <f>(General_Model!$E$6/General_Model!$E$7)-1/(1+General_Model!$E$26/((1.2+0.2*(General_Model!$E$26/A149)+0.35*SQRT(9.80665*(General_Model!$E$4/1000))/A149)*A149))-(A149^2/(2*9.80665*General_Model!$E$7))*((4*(0.3164/((General_Model!$E$14*A149*(General_Model!$E$4/1000)/General_Model!$E$15)^0.25))*General_Model!$E$7/(General_Model!$E$4/1000)+1)+(4*(0.3164/((General_Model!$E$14*A149*(General_Model!$E$4/1000)/General_Model!$E$15)^0.25))*General_Model!$E$7/(General_Model!$E$4/1000)+2)*(General_Model!$E$26/A149))</f>
        <v>9.0759846797623375E-2</v>
      </c>
      <c r="C149" s="13">
        <f t="shared" si="2"/>
        <v>0</v>
      </c>
    </row>
    <row r="150" spans="1:3" x14ac:dyDescent="0.25">
      <c r="A150" s="11">
        <v>0.14799999999999999</v>
      </c>
      <c r="B150" s="12">
        <f>(General_Model!$E$6/General_Model!$E$7)-1/(1+General_Model!$E$26/((1.2+0.2*(General_Model!$E$26/A150)+0.35*SQRT(9.80665*(General_Model!$E$4/1000))/A150)*A150))-(A150^2/(2*9.80665*General_Model!$E$7))*((4*(0.3164/((General_Model!$E$14*A150*(General_Model!$E$4/1000)/General_Model!$E$15)^0.25))*General_Model!$E$7/(General_Model!$E$4/1000)+1)+(4*(0.3164/((General_Model!$E$14*A150*(General_Model!$E$4/1000)/General_Model!$E$15)^0.25))*General_Model!$E$7/(General_Model!$E$4/1000)+2)*(General_Model!$E$26/A150))</f>
        <v>9.0112229780822006E-2</v>
      </c>
      <c r="C150" s="13">
        <f t="shared" si="2"/>
        <v>0</v>
      </c>
    </row>
    <row r="151" spans="1:3" x14ac:dyDescent="0.25">
      <c r="A151" s="11">
        <v>0.14899999999999999</v>
      </c>
      <c r="B151" s="12">
        <f>(General_Model!$E$6/General_Model!$E$7)-1/(1+General_Model!$E$26/((1.2+0.2*(General_Model!$E$26/A151)+0.35*SQRT(9.80665*(General_Model!$E$4/1000))/A151)*A151))-(A151^2/(2*9.80665*General_Model!$E$7))*((4*(0.3164/((General_Model!$E$14*A151*(General_Model!$E$4/1000)/General_Model!$E$15)^0.25))*General_Model!$E$7/(General_Model!$E$4/1000)+1)+(4*(0.3164/((General_Model!$E$14*A151*(General_Model!$E$4/1000)/General_Model!$E$15)^0.25))*General_Model!$E$7/(General_Model!$E$4/1000)+2)*(General_Model!$E$26/A151))</f>
        <v>8.9465466617622127E-2</v>
      </c>
      <c r="C151" s="13">
        <f t="shared" si="2"/>
        <v>0</v>
      </c>
    </row>
    <row r="152" spans="1:3" x14ac:dyDescent="0.25">
      <c r="A152" s="11">
        <v>0.15</v>
      </c>
      <c r="B152" s="12">
        <f>(General_Model!$E$6/General_Model!$E$7)-1/(1+General_Model!$E$26/((1.2+0.2*(General_Model!$E$26/A152)+0.35*SQRT(9.80665*(General_Model!$E$4/1000))/A152)*A152))-(A152^2/(2*9.80665*General_Model!$E$7))*((4*(0.3164/((General_Model!$E$14*A152*(General_Model!$E$4/1000)/General_Model!$E$15)^0.25))*General_Model!$E$7/(General_Model!$E$4/1000)+1)+(4*(0.3164/((General_Model!$E$14*A152*(General_Model!$E$4/1000)/General_Model!$E$15)^0.25))*General_Model!$E$7/(General_Model!$E$4/1000)+2)*(General_Model!$E$26/A152))</f>
        <v>8.8819553953645103E-2</v>
      </c>
      <c r="C152" s="13">
        <f t="shared" si="2"/>
        <v>0</v>
      </c>
    </row>
    <row r="153" spans="1:3" x14ac:dyDescent="0.25">
      <c r="A153" s="11">
        <v>0.151</v>
      </c>
      <c r="B153" s="12">
        <f>(General_Model!$E$6/General_Model!$E$7)-1/(1+General_Model!$E$26/((1.2+0.2*(General_Model!$E$26/A153)+0.35*SQRT(9.80665*(General_Model!$E$4/1000))/A153)*A153))-(A153^2/(2*9.80665*General_Model!$E$7))*((4*(0.3164/((General_Model!$E$14*A153*(General_Model!$E$4/1000)/General_Model!$E$15)^0.25))*General_Model!$E$7/(General_Model!$E$4/1000)+1)+(4*(0.3164/((General_Model!$E$14*A153*(General_Model!$E$4/1000)/General_Model!$E$15)^0.25))*General_Model!$E$7/(General_Model!$E$4/1000)+2)*(General_Model!$E$26/A153))</f>
        <v>8.8174488453260064E-2</v>
      </c>
      <c r="C153" s="13">
        <f t="shared" si="2"/>
        <v>0</v>
      </c>
    </row>
    <row r="154" spans="1:3" x14ac:dyDescent="0.25">
      <c r="A154" s="11">
        <v>0.152</v>
      </c>
      <c r="B154" s="12">
        <f>(General_Model!$E$6/General_Model!$E$7)-1/(1+General_Model!$E$26/((1.2+0.2*(General_Model!$E$26/A154)+0.35*SQRT(9.80665*(General_Model!$E$4/1000))/A154)*A154))-(A154^2/(2*9.80665*General_Model!$E$7))*((4*(0.3164/((General_Model!$E$14*A154*(General_Model!$E$4/1000)/General_Model!$E$15)^0.25))*General_Model!$E$7/(General_Model!$E$4/1000)+1)+(4*(0.3164/((General_Model!$E$14*A154*(General_Model!$E$4/1000)/General_Model!$E$15)^0.25))*General_Model!$E$7/(General_Model!$E$4/1000)+2)*(General_Model!$E$26/A154))</f>
        <v>8.7530266799365736E-2</v>
      </c>
      <c r="C154" s="13">
        <f t="shared" si="2"/>
        <v>0</v>
      </c>
    </row>
    <row r="155" spans="1:3" x14ac:dyDescent="0.25">
      <c r="A155" s="11">
        <v>0.153</v>
      </c>
      <c r="B155" s="12">
        <f>(General_Model!$E$6/General_Model!$E$7)-1/(1+General_Model!$E$26/((1.2+0.2*(General_Model!$E$26/A155)+0.35*SQRT(9.80665*(General_Model!$E$4/1000))/A155)*A155))-(A155^2/(2*9.80665*General_Model!$E$7))*((4*(0.3164/((General_Model!$E$14*A155*(General_Model!$E$4/1000)/General_Model!$E$15)^0.25))*General_Model!$E$7/(General_Model!$E$4/1000)+1)+(4*(0.3164/((General_Model!$E$14*A155*(General_Model!$E$4/1000)/General_Model!$E$15)^0.25))*General_Model!$E$7/(General_Model!$E$4/1000)+2)*(General_Model!$E$26/A155))</f>
        <v>8.6886885693175236E-2</v>
      </c>
      <c r="C155" s="13">
        <f t="shared" si="2"/>
        <v>0</v>
      </c>
    </row>
    <row r="156" spans="1:3" x14ac:dyDescent="0.25">
      <c r="A156" s="11">
        <v>0.154</v>
      </c>
      <c r="B156" s="12">
        <f>(General_Model!$E$6/General_Model!$E$7)-1/(1+General_Model!$E$26/((1.2+0.2*(General_Model!$E$26/A156)+0.35*SQRT(9.80665*(General_Model!$E$4/1000))/A156)*A156))-(A156^2/(2*9.80665*General_Model!$E$7))*((4*(0.3164/((General_Model!$E$14*A156*(General_Model!$E$4/1000)/General_Model!$E$15)^0.25))*General_Model!$E$7/(General_Model!$E$4/1000)+1)+(4*(0.3164/((General_Model!$E$14*A156*(General_Model!$E$4/1000)/General_Model!$E$15)^0.25))*General_Model!$E$7/(General_Model!$E$4/1000)+2)*(General_Model!$E$26/A156))</f>
        <v>8.6244341854007575E-2</v>
      </c>
      <c r="C156" s="13">
        <f t="shared" si="2"/>
        <v>0</v>
      </c>
    </row>
    <row r="157" spans="1:3" x14ac:dyDescent="0.25">
      <c r="A157" s="11">
        <v>0.155</v>
      </c>
      <c r="B157" s="12">
        <f>(General_Model!$E$6/General_Model!$E$7)-1/(1+General_Model!$E$26/((1.2+0.2*(General_Model!$E$26/A157)+0.35*SQRT(9.80665*(General_Model!$E$4/1000))/A157)*A157))-(A157^2/(2*9.80665*General_Model!$E$7))*((4*(0.3164/((General_Model!$E$14*A157*(General_Model!$E$4/1000)/General_Model!$E$15)^0.25))*General_Model!$E$7/(General_Model!$E$4/1000)+1)+(4*(0.3164/((General_Model!$E$14*A157*(General_Model!$E$4/1000)/General_Model!$E$15)^0.25))*General_Model!$E$7/(General_Model!$E$4/1000)+2)*(General_Model!$E$26/A157))</f>
        <v>8.5602632019082692E-2</v>
      </c>
      <c r="C157" s="13">
        <f t="shared" si="2"/>
        <v>0</v>
      </c>
    </row>
    <row r="158" spans="1:3" x14ac:dyDescent="0.25">
      <c r="A158" s="11">
        <v>0.156</v>
      </c>
      <c r="B158" s="12">
        <f>(General_Model!$E$6/General_Model!$E$7)-1/(1+General_Model!$E$26/((1.2+0.2*(General_Model!$E$26/A158)+0.35*SQRT(9.80665*(General_Model!$E$4/1000))/A158)*A158))-(A158^2/(2*9.80665*General_Model!$E$7))*((4*(0.3164/((General_Model!$E$14*A158*(General_Model!$E$4/1000)/General_Model!$E$15)^0.25))*General_Model!$E$7/(General_Model!$E$4/1000)+1)+(4*(0.3164/((General_Model!$E$14*A158*(General_Model!$E$4/1000)/General_Model!$E$15)^0.25))*General_Model!$E$7/(General_Model!$E$4/1000)+2)*(General_Model!$E$26/A158))</f>
        <v>8.4961752943321062E-2</v>
      </c>
      <c r="C158" s="13">
        <f t="shared" si="2"/>
        <v>0</v>
      </c>
    </row>
    <row r="159" spans="1:3" x14ac:dyDescent="0.25">
      <c r="A159" s="11">
        <v>0.157</v>
      </c>
      <c r="B159" s="12">
        <f>(General_Model!$E$6/General_Model!$E$7)-1/(1+General_Model!$E$26/((1.2+0.2*(General_Model!$E$26/A159)+0.35*SQRT(9.80665*(General_Model!$E$4/1000))/A159)*A159))-(A159^2/(2*9.80665*General_Model!$E$7))*((4*(0.3164/((General_Model!$E$14*A159*(General_Model!$E$4/1000)/General_Model!$E$15)^0.25))*General_Model!$E$7/(General_Model!$E$4/1000)+1)+(4*(0.3164/((General_Model!$E$14*A159*(General_Model!$E$4/1000)/General_Model!$E$15)^0.25))*General_Model!$E$7/(General_Model!$E$4/1000)+2)*(General_Model!$E$26/A159))</f>
        <v>8.4321701399148574E-2</v>
      </c>
      <c r="C159" s="13">
        <f t="shared" si="2"/>
        <v>0</v>
      </c>
    </row>
    <row r="160" spans="1:3" x14ac:dyDescent="0.25">
      <c r="A160" s="11">
        <v>0.158</v>
      </c>
      <c r="B160" s="12">
        <f>(General_Model!$E$6/General_Model!$E$7)-1/(1+General_Model!$E$26/((1.2+0.2*(General_Model!$E$26/A160)+0.35*SQRT(9.80665*(General_Model!$E$4/1000))/A160)*A160))-(A160^2/(2*9.80665*General_Model!$E$7))*((4*(0.3164/((General_Model!$E$14*A160*(General_Model!$E$4/1000)/General_Model!$E$15)^0.25))*General_Model!$E$7/(General_Model!$E$4/1000)+1)+(4*(0.3164/((General_Model!$E$14*A160*(General_Model!$E$4/1000)/General_Model!$E$15)^0.25))*General_Model!$E$7/(General_Model!$E$4/1000)+2)*(General_Model!$E$26/A160))</f>
        <v>8.3682474176304811E-2</v>
      </c>
      <c r="C160" s="13">
        <f t="shared" si="2"/>
        <v>0</v>
      </c>
    </row>
    <row r="161" spans="1:3" x14ac:dyDescent="0.25">
      <c r="A161" s="11">
        <v>0.159</v>
      </c>
      <c r="B161" s="12">
        <f>(General_Model!$E$6/General_Model!$E$7)-1/(1+General_Model!$E$26/((1.2+0.2*(General_Model!$E$26/A161)+0.35*SQRT(9.80665*(General_Model!$E$4/1000))/A161)*A161))-(A161^2/(2*9.80665*General_Model!$E$7))*((4*(0.3164/((General_Model!$E$14*A161*(General_Model!$E$4/1000)/General_Model!$E$15)^0.25))*General_Model!$E$7/(General_Model!$E$4/1000)+1)+(4*(0.3164/((General_Model!$E$14*A161*(General_Model!$E$4/1000)/General_Model!$E$15)^0.25))*General_Model!$E$7/(General_Model!$E$4/1000)+2)*(General_Model!$E$26/A161))</f>
        <v>8.3044068081655251E-2</v>
      </c>
      <c r="C161" s="13">
        <f t="shared" si="2"/>
        <v>0</v>
      </c>
    </row>
    <row r="162" spans="1:3" x14ac:dyDescent="0.25">
      <c r="A162" s="11">
        <v>0.16</v>
      </c>
      <c r="B162" s="12">
        <f>(General_Model!$E$6/General_Model!$E$7)-1/(1+General_Model!$E$26/((1.2+0.2*(General_Model!$E$26/A162)+0.35*SQRT(9.80665*(General_Model!$E$4/1000))/A162)*A162))-(A162^2/(2*9.80665*General_Model!$E$7))*((4*(0.3164/((General_Model!$E$14*A162*(General_Model!$E$4/1000)/General_Model!$E$15)^0.25))*General_Model!$E$7/(General_Model!$E$4/1000)+1)+(4*(0.3164/((General_Model!$E$14*A162*(General_Model!$E$4/1000)/General_Model!$E$15)^0.25))*General_Model!$E$7/(General_Model!$E$4/1000)+2)*(General_Model!$E$26/A162))</f>
        <v>8.2406479939008695E-2</v>
      </c>
      <c r="C162" s="13">
        <f t="shared" si="2"/>
        <v>0</v>
      </c>
    </row>
    <row r="163" spans="1:3" x14ac:dyDescent="0.25">
      <c r="A163" s="11">
        <v>0.161</v>
      </c>
      <c r="B163" s="12">
        <f>(General_Model!$E$6/General_Model!$E$7)-1/(1+General_Model!$E$26/((1.2+0.2*(General_Model!$E$26/A163)+0.35*SQRT(9.80665*(General_Model!$E$4/1000))/A163)*A163))-(A163^2/(2*9.80665*General_Model!$E$7))*((4*(0.3164/((General_Model!$E$14*A163*(General_Model!$E$4/1000)/General_Model!$E$15)^0.25))*General_Model!$E$7/(General_Model!$E$4/1000)+1)+(4*(0.3164/((General_Model!$E$14*A163*(General_Model!$E$4/1000)/General_Model!$E$15)^0.25))*General_Model!$E$7/(General_Model!$E$4/1000)+2)*(General_Model!$E$26/A163))</f>
        <v>8.1769706588936564E-2</v>
      </c>
      <c r="C163" s="13">
        <f t="shared" si="2"/>
        <v>0</v>
      </c>
    </row>
    <row r="164" spans="1:3" x14ac:dyDescent="0.25">
      <c r="A164" s="11">
        <v>0.16200000000000001</v>
      </c>
      <c r="B164" s="12">
        <f>(General_Model!$E$6/General_Model!$E$7)-1/(1+General_Model!$E$26/((1.2+0.2*(General_Model!$E$26/A164)+0.35*SQRT(9.80665*(General_Model!$E$4/1000))/A164)*A164))-(A164^2/(2*9.80665*General_Model!$E$7))*((4*(0.3164/((General_Model!$E$14*A164*(General_Model!$E$4/1000)/General_Model!$E$15)^0.25))*General_Model!$E$7/(General_Model!$E$4/1000)+1)+(4*(0.3164/((General_Model!$E$14*A164*(General_Model!$E$4/1000)/General_Model!$E$15)^0.25))*General_Model!$E$7/(General_Model!$E$4/1000)+2)*(General_Model!$E$26/A164))</f>
        <v>8.1133744888598355E-2</v>
      </c>
      <c r="C164" s="13">
        <f t="shared" si="2"/>
        <v>0</v>
      </c>
    </row>
    <row r="165" spans="1:3" x14ac:dyDescent="0.25">
      <c r="A165" s="11">
        <v>0.16300000000000001</v>
      </c>
      <c r="B165" s="12">
        <f>(General_Model!$E$6/General_Model!$E$7)-1/(1+General_Model!$E$26/((1.2+0.2*(General_Model!$E$26/A165)+0.35*SQRT(9.80665*(General_Model!$E$4/1000))/A165)*A165))-(A165^2/(2*9.80665*General_Model!$E$7))*((4*(0.3164/((General_Model!$E$14*A165*(General_Model!$E$4/1000)/General_Model!$E$15)^0.25))*General_Model!$E$7/(General_Model!$E$4/1000)+1)+(4*(0.3164/((General_Model!$E$14*A165*(General_Model!$E$4/1000)/General_Model!$E$15)^0.25))*General_Model!$E$7/(General_Model!$E$4/1000)+2)*(General_Model!$E$26/A165))</f>
        <v>8.0498591711568562E-2</v>
      </c>
      <c r="C165" s="13">
        <f t="shared" si="2"/>
        <v>0</v>
      </c>
    </row>
    <row r="166" spans="1:3" x14ac:dyDescent="0.25">
      <c r="A166" s="11">
        <v>0.16400000000000001</v>
      </c>
      <c r="B166" s="12">
        <f>(General_Model!$E$6/General_Model!$E$7)-1/(1+General_Model!$E$26/((1.2+0.2*(General_Model!$E$26/A166)+0.35*SQRT(9.80665*(General_Model!$E$4/1000))/A166)*A166))-(A166^2/(2*9.80665*General_Model!$E$7))*((4*(0.3164/((General_Model!$E$14*A166*(General_Model!$E$4/1000)/General_Model!$E$15)^0.25))*General_Model!$E$7/(General_Model!$E$4/1000)+1)+(4*(0.3164/((General_Model!$E$14*A166*(General_Model!$E$4/1000)/General_Model!$E$15)^0.25))*General_Model!$E$7/(General_Model!$E$4/1000)+2)*(General_Model!$E$26/A166))</f>
        <v>7.986424394766832E-2</v>
      </c>
      <c r="C166" s="13">
        <f t="shared" si="2"/>
        <v>0</v>
      </c>
    </row>
    <row r="167" spans="1:3" x14ac:dyDescent="0.25">
      <c r="A167" s="11">
        <v>0.16500000000000001</v>
      </c>
      <c r="B167" s="12">
        <f>(General_Model!$E$6/General_Model!$E$7)-1/(1+General_Model!$E$26/((1.2+0.2*(General_Model!$E$26/A167)+0.35*SQRT(9.80665*(General_Model!$E$4/1000))/A167)*A167))-(A167^2/(2*9.80665*General_Model!$E$7))*((4*(0.3164/((General_Model!$E$14*A167*(General_Model!$E$4/1000)/General_Model!$E$15)^0.25))*General_Model!$E$7/(General_Model!$E$4/1000)+1)+(4*(0.3164/((General_Model!$E$14*A167*(General_Model!$E$4/1000)/General_Model!$E$15)^0.25))*General_Model!$E$7/(General_Model!$E$4/1000)+2)*(General_Model!$E$26/A167))</f>
        <v>7.9230698502800068E-2</v>
      </c>
      <c r="C167" s="13">
        <f t="shared" si="2"/>
        <v>0</v>
      </c>
    </row>
    <row r="168" spans="1:3" x14ac:dyDescent="0.25">
      <c r="A168" s="11">
        <v>0.16600000000000001</v>
      </c>
      <c r="B168" s="12">
        <f>(General_Model!$E$6/General_Model!$E$7)-1/(1+General_Model!$E$26/((1.2+0.2*(General_Model!$E$26/A168)+0.35*SQRT(9.80665*(General_Model!$E$4/1000))/A168)*A168))-(A168^2/(2*9.80665*General_Model!$E$7))*((4*(0.3164/((General_Model!$E$14*A168*(General_Model!$E$4/1000)/General_Model!$E$15)^0.25))*General_Model!$E$7/(General_Model!$E$4/1000)+1)+(4*(0.3164/((General_Model!$E$14*A168*(General_Model!$E$4/1000)/General_Model!$E$15)^0.25))*General_Model!$E$7/(General_Model!$E$4/1000)+2)*(General_Model!$E$26/A168))</f>
        <v>7.8597952298784871E-2</v>
      </c>
      <c r="C168" s="13">
        <f t="shared" si="2"/>
        <v>0</v>
      </c>
    </row>
    <row r="169" spans="1:3" x14ac:dyDescent="0.25">
      <c r="A169" s="11">
        <v>0.16700000000000001</v>
      </c>
      <c r="B169" s="12">
        <f>(General_Model!$E$6/General_Model!$E$7)-1/(1+General_Model!$E$26/((1.2+0.2*(General_Model!$E$26/A169)+0.35*SQRT(9.80665*(General_Model!$E$4/1000))/A169)*A169))-(A169^2/(2*9.80665*General_Model!$E$7))*((4*(0.3164/((General_Model!$E$14*A169*(General_Model!$E$4/1000)/General_Model!$E$15)^0.25))*General_Model!$E$7/(General_Model!$E$4/1000)+1)+(4*(0.3164/((General_Model!$E$14*A169*(General_Model!$E$4/1000)/General_Model!$E$15)^0.25))*General_Model!$E$7/(General_Model!$E$4/1000)+2)*(General_Model!$E$26/A169))</f>
        <v>7.7966002273205284E-2</v>
      </c>
      <c r="C169" s="13">
        <f t="shared" si="2"/>
        <v>0</v>
      </c>
    </row>
    <row r="170" spans="1:3" x14ac:dyDescent="0.25">
      <c r="A170" s="11">
        <v>0.16800000000000001</v>
      </c>
      <c r="B170" s="12">
        <f>(General_Model!$E$6/General_Model!$E$7)-1/(1+General_Model!$E$26/((1.2+0.2*(General_Model!$E$26/A170)+0.35*SQRT(9.80665*(General_Model!$E$4/1000))/A170)*A170))-(A170^2/(2*9.80665*General_Model!$E$7))*((4*(0.3164/((General_Model!$E$14*A170*(General_Model!$E$4/1000)/General_Model!$E$15)^0.25))*General_Model!$E$7/(General_Model!$E$4/1000)+1)+(4*(0.3164/((General_Model!$E$14*A170*(General_Model!$E$4/1000)/General_Model!$E$15)^0.25))*General_Model!$E$7/(General_Model!$E$4/1000)+2)*(General_Model!$E$26/A170))</f>
        <v>7.7334845379247869E-2</v>
      </c>
      <c r="C170" s="13">
        <f t="shared" si="2"/>
        <v>0</v>
      </c>
    </row>
    <row r="171" spans="1:3" x14ac:dyDescent="0.25">
      <c r="A171" s="11">
        <v>0.16900000000000001</v>
      </c>
      <c r="B171" s="12">
        <f>(General_Model!$E$6/General_Model!$E$7)-1/(1+General_Model!$E$26/((1.2+0.2*(General_Model!$E$26/A171)+0.35*SQRT(9.80665*(General_Model!$E$4/1000))/A171)*A171))-(A171^2/(2*9.80665*General_Model!$E$7))*((4*(0.3164/((General_Model!$E$14*A171*(General_Model!$E$4/1000)/General_Model!$E$15)^0.25))*General_Model!$E$7/(General_Model!$E$4/1000)+1)+(4*(0.3164/((General_Model!$E$14*A171*(General_Model!$E$4/1000)/General_Model!$E$15)^0.25))*General_Model!$E$7/(General_Model!$E$4/1000)+2)*(General_Model!$E$26/A171))</f>
        <v>7.6704478585551628E-2</v>
      </c>
      <c r="C171" s="13">
        <f t="shared" si="2"/>
        <v>0</v>
      </c>
    </row>
    <row r="172" spans="1:3" x14ac:dyDescent="0.25">
      <c r="A172" s="11">
        <v>0.17</v>
      </c>
      <c r="B172" s="12">
        <f>(General_Model!$E$6/General_Model!$E$7)-1/(1+General_Model!$E$26/((1.2+0.2*(General_Model!$E$26/A172)+0.35*SQRT(9.80665*(General_Model!$E$4/1000))/A172)*A172))-(A172^2/(2*9.80665*General_Model!$E$7))*((4*(0.3164/((General_Model!$E$14*A172*(General_Model!$E$4/1000)/General_Model!$E$15)^0.25))*General_Model!$E$7/(General_Model!$E$4/1000)+1)+(4*(0.3164/((General_Model!$E$14*A172*(General_Model!$E$4/1000)/General_Model!$E$15)^0.25))*General_Model!$E$7/(General_Model!$E$4/1000)+2)*(General_Model!$E$26/A172))</f>
        <v>7.6074898876057215E-2</v>
      </c>
      <c r="C172" s="13">
        <f t="shared" si="2"/>
        <v>0</v>
      </c>
    </row>
    <row r="173" spans="1:3" x14ac:dyDescent="0.25">
      <c r="A173" s="11">
        <v>0.17100000000000001</v>
      </c>
      <c r="B173" s="12">
        <f>(General_Model!$E$6/General_Model!$E$7)-1/(1+General_Model!$E$26/((1.2+0.2*(General_Model!$E$26/A173)+0.35*SQRT(9.80665*(General_Model!$E$4/1000))/A173)*A173))-(A173^2/(2*9.80665*General_Model!$E$7))*((4*(0.3164/((General_Model!$E$14*A173*(General_Model!$E$4/1000)/General_Model!$E$15)^0.25))*General_Model!$E$7/(General_Model!$E$4/1000)+1)+(4*(0.3164/((General_Model!$E$14*A173*(General_Model!$E$4/1000)/General_Model!$E$15)^0.25))*General_Model!$E$7/(General_Model!$E$4/1000)+2)*(General_Model!$E$26/A173))</f>
        <v>7.5446103249861507E-2</v>
      </c>
      <c r="C173" s="13">
        <f t="shared" si="2"/>
        <v>0</v>
      </c>
    </row>
    <row r="174" spans="1:3" x14ac:dyDescent="0.25">
      <c r="A174" s="11">
        <v>0.17199999999999999</v>
      </c>
      <c r="B174" s="12">
        <f>(General_Model!$E$6/General_Model!$E$7)-1/(1+General_Model!$E$26/((1.2+0.2*(General_Model!$E$26/A174)+0.35*SQRT(9.80665*(General_Model!$E$4/1000))/A174)*A174))-(A174^2/(2*9.80665*General_Model!$E$7))*((4*(0.3164/((General_Model!$E$14*A174*(General_Model!$E$4/1000)/General_Model!$E$15)^0.25))*General_Model!$E$7/(General_Model!$E$4/1000)+1)+(4*(0.3164/((General_Model!$E$14*A174*(General_Model!$E$4/1000)/General_Model!$E$15)^0.25))*General_Model!$E$7/(General_Model!$E$4/1000)+2)*(General_Model!$E$26/A174))</f>
        <v>7.4818088721072026E-2</v>
      </c>
      <c r="C174" s="13">
        <f t="shared" si="2"/>
        <v>0</v>
      </c>
    </row>
    <row r="175" spans="1:3" x14ac:dyDescent="0.25">
      <c r="A175" s="11">
        <v>0.17299999999999999</v>
      </c>
      <c r="B175" s="12">
        <f>(General_Model!$E$6/General_Model!$E$7)-1/(1+General_Model!$E$26/((1.2+0.2*(General_Model!$E$26/A175)+0.35*SQRT(9.80665*(General_Model!$E$4/1000))/A175)*A175))-(A175^2/(2*9.80665*General_Model!$E$7))*((4*(0.3164/((General_Model!$E$14*A175*(General_Model!$E$4/1000)/General_Model!$E$15)^0.25))*General_Model!$E$7/(General_Model!$E$4/1000)+1)+(4*(0.3164/((General_Model!$E$14*A175*(General_Model!$E$4/1000)/General_Model!$E$15)^0.25))*General_Model!$E$7/(General_Model!$E$4/1000)+2)*(General_Model!$E$26/A175))</f>
        <v>7.4190852318665942E-2</v>
      </c>
      <c r="C175" s="13">
        <f t="shared" si="2"/>
        <v>0</v>
      </c>
    </row>
    <row r="176" spans="1:3" x14ac:dyDescent="0.25">
      <c r="A176" s="11">
        <v>0.17399999999999999</v>
      </c>
      <c r="B176" s="12">
        <f>(General_Model!$E$6/General_Model!$E$7)-1/(1+General_Model!$E$26/((1.2+0.2*(General_Model!$E$26/A176)+0.35*SQRT(9.80665*(General_Model!$E$4/1000))/A176)*A176))-(A176^2/(2*9.80665*General_Model!$E$7))*((4*(0.3164/((General_Model!$E$14*A176*(General_Model!$E$4/1000)/General_Model!$E$15)^0.25))*General_Model!$E$7/(General_Model!$E$4/1000)+1)+(4*(0.3164/((General_Model!$E$14*A176*(General_Model!$E$4/1000)/General_Model!$E$15)^0.25))*General_Model!$E$7/(General_Model!$E$4/1000)+2)*(General_Model!$E$26/A176))</f>
        <v>7.3564391086351572E-2</v>
      </c>
      <c r="C176" s="13">
        <f t="shared" si="2"/>
        <v>0</v>
      </c>
    </row>
    <row r="177" spans="1:3" x14ac:dyDescent="0.25">
      <c r="A177" s="11">
        <v>0.17499999999999999</v>
      </c>
      <c r="B177" s="12">
        <f>(General_Model!$E$6/General_Model!$E$7)-1/(1+General_Model!$E$26/((1.2+0.2*(General_Model!$E$26/A177)+0.35*SQRT(9.80665*(General_Model!$E$4/1000))/A177)*A177))-(A177^2/(2*9.80665*General_Model!$E$7))*((4*(0.3164/((General_Model!$E$14*A177*(General_Model!$E$4/1000)/General_Model!$E$15)^0.25))*General_Model!$E$7/(General_Model!$E$4/1000)+1)+(4*(0.3164/((General_Model!$E$14*A177*(General_Model!$E$4/1000)/General_Model!$E$15)^0.25))*General_Model!$E$7/(General_Model!$E$4/1000)+2)*(General_Model!$E$26/A177))</f>
        <v>7.293870208243125E-2</v>
      </c>
      <c r="C177" s="13">
        <f t="shared" si="2"/>
        <v>0</v>
      </c>
    </row>
    <row r="178" spans="1:3" x14ac:dyDescent="0.25">
      <c r="A178" s="11">
        <v>0.17599999999999999</v>
      </c>
      <c r="B178" s="12">
        <f>(General_Model!$E$6/General_Model!$E$7)-1/(1+General_Model!$E$26/((1.2+0.2*(General_Model!$E$26/A178)+0.35*SQRT(9.80665*(General_Model!$E$4/1000))/A178)*A178))-(A178^2/(2*9.80665*General_Model!$E$7))*((4*(0.3164/((General_Model!$E$14*A178*(General_Model!$E$4/1000)/General_Model!$E$15)^0.25))*General_Model!$E$7/(General_Model!$E$4/1000)+1)+(4*(0.3164/((General_Model!$E$14*A178*(General_Model!$E$4/1000)/General_Model!$E$15)^0.25))*General_Model!$E$7/(General_Model!$E$4/1000)+2)*(General_Model!$E$26/A178))</f>
        <v>7.2313782379668401E-2</v>
      </c>
      <c r="C178" s="13">
        <f t="shared" si="2"/>
        <v>0</v>
      </c>
    </row>
    <row r="179" spans="1:3" x14ac:dyDescent="0.25">
      <c r="A179" s="11">
        <v>0.17699999999999999</v>
      </c>
      <c r="B179" s="12">
        <f>(General_Model!$E$6/General_Model!$E$7)-1/(1+General_Model!$E$26/((1.2+0.2*(General_Model!$E$26/A179)+0.35*SQRT(9.80665*(General_Model!$E$4/1000))/A179)*A179))-(A179^2/(2*9.80665*General_Model!$E$7))*((4*(0.3164/((General_Model!$E$14*A179*(General_Model!$E$4/1000)/General_Model!$E$15)^0.25))*General_Model!$E$7/(General_Model!$E$4/1000)+1)+(4*(0.3164/((General_Model!$E$14*A179*(General_Model!$E$4/1000)/General_Model!$E$15)^0.25))*General_Model!$E$7/(General_Model!$E$4/1000)+2)*(General_Model!$E$26/A179))</f>
        <v>7.1689629065154914E-2</v>
      </c>
      <c r="C179" s="13">
        <f t="shared" si="2"/>
        <v>0</v>
      </c>
    </row>
    <row r="180" spans="1:3" x14ac:dyDescent="0.25">
      <c r="A180" s="11">
        <v>0.17799999999999999</v>
      </c>
      <c r="B180" s="12">
        <f>(General_Model!$E$6/General_Model!$E$7)-1/(1+General_Model!$E$26/((1.2+0.2*(General_Model!$E$26/A180)+0.35*SQRT(9.80665*(General_Model!$E$4/1000))/A180)*A180))-(A180^2/(2*9.80665*General_Model!$E$7))*((4*(0.3164/((General_Model!$E$14*A180*(General_Model!$E$4/1000)/General_Model!$E$15)^0.25))*General_Model!$E$7/(General_Model!$E$4/1000)+1)+(4*(0.3164/((General_Model!$E$14*A180*(General_Model!$E$4/1000)/General_Model!$E$15)^0.25))*General_Model!$E$7/(General_Model!$E$4/1000)+2)*(General_Model!$E$26/A180))</f>
        <v>7.1066239240183016E-2</v>
      </c>
      <c r="C180" s="13">
        <f t="shared" si="2"/>
        <v>0</v>
      </c>
    </row>
    <row r="181" spans="1:3" x14ac:dyDescent="0.25">
      <c r="A181" s="11">
        <v>0.17899999999999999</v>
      </c>
      <c r="B181" s="12">
        <f>(General_Model!$E$6/General_Model!$E$7)-1/(1+General_Model!$E$26/((1.2+0.2*(General_Model!$E$26/A181)+0.35*SQRT(9.80665*(General_Model!$E$4/1000))/A181)*A181))-(A181^2/(2*9.80665*General_Model!$E$7))*((4*(0.3164/((General_Model!$E$14*A181*(General_Model!$E$4/1000)/General_Model!$E$15)^0.25))*General_Model!$E$7/(General_Model!$E$4/1000)+1)+(4*(0.3164/((General_Model!$E$14*A181*(General_Model!$E$4/1000)/General_Model!$E$15)^0.25))*General_Model!$E$7/(General_Model!$E$4/1000)+2)*(General_Model!$E$26/A181))</f>
        <v>7.0443610020117314E-2</v>
      </c>
      <c r="C181" s="13">
        <f t="shared" si="2"/>
        <v>0</v>
      </c>
    </row>
    <row r="182" spans="1:3" x14ac:dyDescent="0.25">
      <c r="A182" s="11">
        <v>0.18</v>
      </c>
      <c r="B182" s="12">
        <f>(General_Model!$E$6/General_Model!$E$7)-1/(1+General_Model!$E$26/((1.2+0.2*(General_Model!$E$26/A182)+0.35*SQRT(9.80665*(General_Model!$E$4/1000))/A182)*A182))-(A182^2/(2*9.80665*General_Model!$E$7))*((4*(0.3164/((General_Model!$E$14*A182*(General_Model!$E$4/1000)/General_Model!$E$15)^0.25))*General_Model!$E$7/(General_Model!$E$4/1000)+1)+(4*(0.3164/((General_Model!$E$14*A182*(General_Model!$E$4/1000)/General_Model!$E$15)^0.25))*General_Model!$E$7/(General_Model!$E$4/1000)+2)*(General_Model!$E$26/A182))</f>
        <v>6.9821738534271316E-2</v>
      </c>
      <c r="C182" s="13">
        <f t="shared" si="2"/>
        <v>0</v>
      </c>
    </row>
    <row r="183" spans="1:3" x14ac:dyDescent="0.25">
      <c r="A183" s="11">
        <v>0.18099999999999999</v>
      </c>
      <c r="B183" s="12">
        <f>(General_Model!$E$6/General_Model!$E$7)-1/(1+General_Model!$E$26/((1.2+0.2*(General_Model!$E$26/A183)+0.35*SQRT(9.80665*(General_Model!$E$4/1000))/A183)*A183))-(A183^2/(2*9.80665*General_Model!$E$7))*((4*(0.3164/((General_Model!$E$14*A183*(General_Model!$E$4/1000)/General_Model!$E$15)^0.25))*General_Model!$E$7/(General_Model!$E$4/1000)+1)+(4*(0.3164/((General_Model!$E$14*A183*(General_Model!$E$4/1000)/General_Model!$E$15)^0.25))*General_Model!$E$7/(General_Model!$E$4/1000)+2)*(General_Model!$E$26/A183))</f>
        <v>6.9200621925783551E-2</v>
      </c>
      <c r="C183" s="13">
        <f t="shared" si="2"/>
        <v>0</v>
      </c>
    </row>
    <row r="184" spans="1:3" x14ac:dyDescent="0.25">
      <c r="A184" s="11">
        <v>0.182</v>
      </c>
      <c r="B184" s="12">
        <f>(General_Model!$E$6/General_Model!$E$7)-1/(1+General_Model!$E$26/((1.2+0.2*(General_Model!$E$26/A184)+0.35*SQRT(9.80665*(General_Model!$E$4/1000))/A184)*A184))-(A184^2/(2*9.80665*General_Model!$E$7))*((4*(0.3164/((General_Model!$E$14*A184*(General_Model!$E$4/1000)/General_Model!$E$15)^0.25))*General_Model!$E$7/(General_Model!$E$4/1000)+1)+(4*(0.3164/((General_Model!$E$14*A184*(General_Model!$E$4/1000)/General_Model!$E$15)^0.25))*General_Model!$E$7/(General_Model!$E$4/1000)+2)*(General_Model!$E$26/A184))</f>
        <v>6.858025735149785E-2</v>
      </c>
      <c r="C184" s="13">
        <f t="shared" si="2"/>
        <v>0</v>
      </c>
    </row>
    <row r="185" spans="1:3" x14ac:dyDescent="0.25">
      <c r="A185" s="11">
        <v>0.183</v>
      </c>
      <c r="B185" s="12">
        <f>(General_Model!$E$6/General_Model!$E$7)-1/(1+General_Model!$E$26/((1.2+0.2*(General_Model!$E$26/A185)+0.35*SQRT(9.80665*(General_Model!$E$4/1000))/A185)*A185))-(A185^2/(2*9.80665*General_Model!$E$7))*((4*(0.3164/((General_Model!$E$14*A185*(General_Model!$E$4/1000)/General_Model!$E$15)^0.25))*General_Model!$E$7/(General_Model!$E$4/1000)+1)+(4*(0.3164/((General_Model!$E$14*A185*(General_Model!$E$4/1000)/General_Model!$E$15)^0.25))*General_Model!$E$7/(General_Model!$E$4/1000)+2)*(General_Model!$E$26/A185))</f>
        <v>6.7960641981844983E-2</v>
      </c>
      <c r="C185" s="13">
        <f t="shared" si="2"/>
        <v>0</v>
      </c>
    </row>
    <row r="186" spans="1:3" x14ac:dyDescent="0.25">
      <c r="A186" s="11">
        <v>0.184</v>
      </c>
      <c r="B186" s="12">
        <f>(General_Model!$E$6/General_Model!$E$7)-1/(1+General_Model!$E$26/((1.2+0.2*(General_Model!$E$26/A186)+0.35*SQRT(9.80665*(General_Model!$E$4/1000))/A186)*A186))-(A186^2/(2*9.80665*General_Model!$E$7))*((4*(0.3164/((General_Model!$E$14*A186*(General_Model!$E$4/1000)/General_Model!$E$15)^0.25))*General_Model!$E$7/(General_Model!$E$4/1000)+1)+(4*(0.3164/((General_Model!$E$14*A186*(General_Model!$E$4/1000)/General_Model!$E$15)^0.25))*General_Model!$E$7/(General_Model!$E$4/1000)+2)*(General_Model!$E$26/A186))</f>
        <v>6.7341773000725427E-2</v>
      </c>
      <c r="C186" s="13">
        <f t="shared" si="2"/>
        <v>0</v>
      </c>
    </row>
    <row r="187" spans="1:3" x14ac:dyDescent="0.25">
      <c r="A187" s="11">
        <v>0.185</v>
      </c>
      <c r="B187" s="12">
        <f>(General_Model!$E$6/General_Model!$E$7)-1/(1+General_Model!$E$26/((1.2+0.2*(General_Model!$E$26/A187)+0.35*SQRT(9.80665*(General_Model!$E$4/1000))/A187)*A187))-(A187^2/(2*9.80665*General_Model!$E$7))*((4*(0.3164/((General_Model!$E$14*A187*(General_Model!$E$4/1000)/General_Model!$E$15)^0.25))*General_Model!$E$7/(General_Model!$E$4/1000)+1)+(4*(0.3164/((General_Model!$E$14*A187*(General_Model!$E$4/1000)/General_Model!$E$15)^0.25))*General_Model!$E$7/(General_Model!$E$4/1000)+2)*(General_Model!$E$26/A187))</f>
        <v>6.6723647605395786E-2</v>
      </c>
      <c r="C187" s="13">
        <f t="shared" si="2"/>
        <v>0</v>
      </c>
    </row>
    <row r="188" spans="1:3" x14ac:dyDescent="0.25">
      <c r="A188" s="11">
        <v>0.186</v>
      </c>
      <c r="B188" s="12">
        <f>(General_Model!$E$6/General_Model!$E$7)-1/(1+General_Model!$E$26/((1.2+0.2*(General_Model!$E$26/A188)+0.35*SQRT(9.80665*(General_Model!$E$4/1000))/A188)*A188))-(A188^2/(2*9.80665*General_Model!$E$7))*((4*(0.3164/((General_Model!$E$14*A188*(General_Model!$E$4/1000)/General_Model!$E$15)^0.25))*General_Model!$E$7/(General_Model!$E$4/1000)+1)+(4*(0.3164/((General_Model!$E$14*A188*(General_Model!$E$4/1000)/General_Model!$E$15)^0.25))*General_Model!$E$7/(General_Model!$E$4/1000)+2)*(General_Model!$E$26/A188))</f>
        <v>6.6106263006354984E-2</v>
      </c>
      <c r="C188" s="13">
        <f t="shared" si="2"/>
        <v>0</v>
      </c>
    </row>
    <row r="189" spans="1:3" x14ac:dyDescent="0.25">
      <c r="A189" s="11">
        <v>0.187</v>
      </c>
      <c r="B189" s="12">
        <f>(General_Model!$E$6/General_Model!$E$7)-1/(1+General_Model!$E$26/((1.2+0.2*(General_Model!$E$26/A189)+0.35*SQRT(9.80665*(General_Model!$E$4/1000))/A189)*A189))-(A189^2/(2*9.80665*General_Model!$E$7))*((4*(0.3164/((General_Model!$E$14*A189*(General_Model!$E$4/1000)/General_Model!$E$15)^0.25))*General_Model!$E$7/(General_Model!$E$4/1000)+1)+(4*(0.3164/((General_Model!$E$14*A189*(General_Model!$E$4/1000)/General_Model!$E$15)^0.25))*General_Model!$E$7/(General_Model!$E$4/1000)+2)*(General_Model!$E$26/A189))</f>
        <v>6.5489616427234471E-2</v>
      </c>
      <c r="C189" s="13">
        <f t="shared" si="2"/>
        <v>0</v>
      </c>
    </row>
    <row r="190" spans="1:3" x14ac:dyDescent="0.25">
      <c r="A190" s="11">
        <v>0.188</v>
      </c>
      <c r="B190" s="12">
        <f>(General_Model!$E$6/General_Model!$E$7)-1/(1+General_Model!$E$26/((1.2+0.2*(General_Model!$E$26/A190)+0.35*SQRT(9.80665*(General_Model!$E$4/1000))/A190)*A190))-(A190^2/(2*9.80665*General_Model!$E$7))*((4*(0.3164/((General_Model!$E$14*A190*(General_Model!$E$4/1000)/General_Model!$E$15)^0.25))*General_Model!$E$7/(General_Model!$E$4/1000)+1)+(4*(0.3164/((General_Model!$E$14*A190*(General_Model!$E$4/1000)/General_Model!$E$15)^0.25))*General_Model!$E$7/(General_Model!$E$4/1000)+2)*(General_Model!$E$26/A190))</f>
        <v>6.4873705104688359E-2</v>
      </c>
      <c r="C190" s="13">
        <f t="shared" si="2"/>
        <v>0</v>
      </c>
    </row>
    <row r="191" spans="1:3" x14ac:dyDescent="0.25">
      <c r="A191" s="11">
        <v>0.189</v>
      </c>
      <c r="B191" s="12">
        <f>(General_Model!$E$6/General_Model!$E$7)-1/(1+General_Model!$E$26/((1.2+0.2*(General_Model!$E$26/A191)+0.35*SQRT(9.80665*(General_Model!$E$4/1000))/A191)*A191))-(A191^2/(2*9.80665*General_Model!$E$7))*((4*(0.3164/((General_Model!$E$14*A191*(General_Model!$E$4/1000)/General_Model!$E$15)^0.25))*General_Model!$E$7/(General_Model!$E$4/1000)+1)+(4*(0.3164/((General_Model!$E$14*A191*(General_Model!$E$4/1000)/General_Model!$E$15)^0.25))*General_Model!$E$7/(General_Model!$E$4/1000)+2)*(General_Model!$E$26/A191))</f>
        <v>6.4258526288286599E-2</v>
      </c>
      <c r="C191" s="13">
        <f t="shared" si="2"/>
        <v>0</v>
      </c>
    </row>
    <row r="192" spans="1:3" x14ac:dyDescent="0.25">
      <c r="A192" s="11">
        <v>0.19</v>
      </c>
      <c r="B192" s="12">
        <f>(General_Model!$E$6/General_Model!$E$7)-1/(1+General_Model!$E$26/((1.2+0.2*(General_Model!$E$26/A192)+0.35*SQRT(9.80665*(General_Model!$E$4/1000))/A192)*A192))-(A192^2/(2*9.80665*General_Model!$E$7))*((4*(0.3164/((General_Model!$E$14*A192*(General_Model!$E$4/1000)/General_Model!$E$15)^0.25))*General_Model!$E$7/(General_Model!$E$4/1000)+1)+(4*(0.3164/((General_Model!$E$14*A192*(General_Model!$E$4/1000)/General_Model!$E$15)^0.25))*General_Model!$E$7/(General_Model!$E$4/1000)+2)*(General_Model!$E$26/A192))</f>
        <v>6.3644077240408783E-2</v>
      </c>
      <c r="C192" s="13">
        <f t="shared" si="2"/>
        <v>0</v>
      </c>
    </row>
    <row r="193" spans="1:3" x14ac:dyDescent="0.25">
      <c r="A193" s="11">
        <v>0.191</v>
      </c>
      <c r="B193" s="12">
        <f>(General_Model!$E$6/General_Model!$E$7)-1/(1+General_Model!$E$26/((1.2+0.2*(General_Model!$E$26/A193)+0.35*SQRT(9.80665*(General_Model!$E$4/1000))/A193)*A193))-(A193^2/(2*9.80665*General_Model!$E$7))*((4*(0.3164/((General_Model!$E$14*A193*(General_Model!$E$4/1000)/General_Model!$E$15)^0.25))*General_Model!$E$7/(General_Model!$E$4/1000)+1)+(4*(0.3164/((General_Model!$E$14*A193*(General_Model!$E$4/1000)/General_Model!$E$15)^0.25))*General_Model!$E$7/(General_Model!$E$4/1000)+2)*(General_Model!$E$26/A193))</f>
        <v>6.3030355236140645E-2</v>
      </c>
      <c r="C193" s="13">
        <f t="shared" si="2"/>
        <v>0</v>
      </c>
    </row>
    <row r="194" spans="1:3" x14ac:dyDescent="0.25">
      <c r="A194" s="11">
        <v>0.192</v>
      </c>
      <c r="B194" s="12">
        <f>(General_Model!$E$6/General_Model!$E$7)-1/(1+General_Model!$E$26/((1.2+0.2*(General_Model!$E$26/A194)+0.35*SQRT(9.80665*(General_Model!$E$4/1000))/A194)*A194))-(A194^2/(2*9.80665*General_Model!$E$7))*((4*(0.3164/((General_Model!$E$14*A194*(General_Model!$E$4/1000)/General_Model!$E$15)^0.25))*General_Model!$E$7/(General_Model!$E$4/1000)+1)+(4*(0.3164/((General_Model!$E$14*A194*(General_Model!$E$4/1000)/General_Model!$E$15)^0.25))*General_Model!$E$7/(General_Model!$E$4/1000)+2)*(General_Model!$E$26/A194))</f>
        <v>6.2417357563171377E-2</v>
      </c>
      <c r="C194" s="13">
        <f t="shared" si="2"/>
        <v>0</v>
      </c>
    </row>
    <row r="195" spans="1:3" x14ac:dyDescent="0.25">
      <c r="A195" s="11">
        <v>0.193</v>
      </c>
      <c r="B195" s="12">
        <f>(General_Model!$E$6/General_Model!$E$7)-1/(1+General_Model!$E$26/((1.2+0.2*(General_Model!$E$26/A195)+0.35*SQRT(9.80665*(General_Model!$E$4/1000))/A195)*A195))-(A195^2/(2*9.80665*General_Model!$E$7))*((4*(0.3164/((General_Model!$E$14*A195*(General_Model!$E$4/1000)/General_Model!$E$15)^0.25))*General_Model!$E$7/(General_Model!$E$4/1000)+1)+(4*(0.3164/((General_Model!$E$14*A195*(General_Model!$E$4/1000)/General_Model!$E$15)^0.25))*General_Model!$E$7/(General_Model!$E$4/1000)+2)*(General_Model!$E$26/A195))</f>
        <v>6.1805081521692819E-2</v>
      </c>
      <c r="C195" s="13">
        <f t="shared" ref="C195:C258" si="3">IF(B195*B196&lt;=0,1,0)</f>
        <v>0</v>
      </c>
    </row>
    <row r="196" spans="1:3" x14ac:dyDescent="0.25">
      <c r="A196" s="11">
        <v>0.19400000000000001</v>
      </c>
      <c r="B196" s="12">
        <f>(General_Model!$E$6/General_Model!$E$7)-1/(1+General_Model!$E$26/((1.2+0.2*(General_Model!$E$26/A196)+0.35*SQRT(9.80665*(General_Model!$E$4/1000))/A196)*A196))-(A196^2/(2*9.80665*General_Model!$E$7))*((4*(0.3164/((General_Model!$E$14*A196*(General_Model!$E$4/1000)/General_Model!$E$15)^0.25))*General_Model!$E$7/(General_Model!$E$4/1000)+1)+(4*(0.3164/((General_Model!$E$14*A196*(General_Model!$E$4/1000)/General_Model!$E$15)^0.25))*General_Model!$E$7/(General_Model!$E$4/1000)+2)*(General_Model!$E$26/A196))</f>
        <v>6.1193524424300302E-2</v>
      </c>
      <c r="C196" s="13">
        <f t="shared" si="3"/>
        <v>0</v>
      </c>
    </row>
    <row r="197" spans="1:3" x14ac:dyDescent="0.25">
      <c r="A197" s="11">
        <v>0.19500000000000001</v>
      </c>
      <c r="B197" s="12">
        <f>(General_Model!$E$6/General_Model!$E$7)-1/(1+General_Model!$E$26/((1.2+0.2*(General_Model!$E$26/A197)+0.35*SQRT(9.80665*(General_Model!$E$4/1000))/A197)*A197))-(A197^2/(2*9.80665*General_Model!$E$7))*((4*(0.3164/((General_Model!$E$14*A197*(General_Model!$E$4/1000)/General_Model!$E$15)^0.25))*General_Model!$E$7/(General_Model!$E$4/1000)+1)+(4*(0.3164/((General_Model!$E$14*A197*(General_Model!$E$4/1000)/General_Model!$E$15)^0.25))*General_Model!$E$7/(General_Model!$E$4/1000)+2)*(General_Model!$E$26/A197))</f>
        <v>6.0582683595894679E-2</v>
      </c>
      <c r="C197" s="13">
        <f t="shared" si="3"/>
        <v>0</v>
      </c>
    </row>
    <row r="198" spans="1:3" x14ac:dyDescent="0.25">
      <c r="A198" s="11">
        <v>0.19600000000000001</v>
      </c>
      <c r="B198" s="12">
        <f>(General_Model!$E$6/General_Model!$E$7)-1/(1+General_Model!$E$26/((1.2+0.2*(General_Model!$E$26/A198)+0.35*SQRT(9.80665*(General_Model!$E$4/1000))/A198)*A198))-(A198^2/(2*9.80665*General_Model!$E$7))*((4*(0.3164/((General_Model!$E$14*A198*(General_Model!$E$4/1000)/General_Model!$E$15)^0.25))*General_Model!$E$7/(General_Model!$E$4/1000)+1)+(4*(0.3164/((General_Model!$E$14*A198*(General_Model!$E$4/1000)/General_Model!$E$15)^0.25))*General_Model!$E$7/(General_Model!$E$4/1000)+2)*(General_Model!$E$26/A198))</f>
        <v>5.9972556373585693E-2</v>
      </c>
      <c r="C198" s="13">
        <f t="shared" si="3"/>
        <v>0</v>
      </c>
    </row>
    <row r="199" spans="1:3" x14ac:dyDescent="0.25">
      <c r="A199" s="11">
        <v>0.19700000000000001</v>
      </c>
      <c r="B199" s="12">
        <f>(General_Model!$E$6/General_Model!$E$7)-1/(1+General_Model!$E$26/((1.2+0.2*(General_Model!$E$26/A199)+0.35*SQRT(9.80665*(General_Model!$E$4/1000))/A199)*A199))-(A199^2/(2*9.80665*General_Model!$E$7))*((4*(0.3164/((General_Model!$E$14*A199*(General_Model!$E$4/1000)/General_Model!$E$15)^0.25))*General_Model!$E$7/(General_Model!$E$4/1000)+1)+(4*(0.3164/((General_Model!$E$14*A199*(General_Model!$E$4/1000)/General_Model!$E$15)^0.25))*General_Model!$E$7/(General_Model!$E$4/1000)+2)*(General_Model!$E$26/A199))</f>
        <v>5.9363140106597892E-2</v>
      </c>
      <c r="C199" s="13">
        <f t="shared" si="3"/>
        <v>0</v>
      </c>
    </row>
    <row r="200" spans="1:3" x14ac:dyDescent="0.25">
      <c r="A200" s="11">
        <v>0.19800000000000001</v>
      </c>
      <c r="B200" s="12">
        <f>(General_Model!$E$6/General_Model!$E$7)-1/(1+General_Model!$E$26/((1.2+0.2*(General_Model!$E$26/A200)+0.35*SQRT(9.80665*(General_Model!$E$4/1000))/A200)*A200))-(A200^2/(2*9.80665*General_Model!$E$7))*((4*(0.3164/((General_Model!$E$14*A200*(General_Model!$E$4/1000)/General_Model!$E$15)^0.25))*General_Model!$E$7/(General_Model!$E$4/1000)+1)+(4*(0.3164/((General_Model!$E$14*A200*(General_Model!$E$4/1000)/General_Model!$E$15)^0.25))*General_Model!$E$7/(General_Model!$E$4/1000)+2)*(General_Model!$E$26/A200))</f>
        <v>5.8754432156175984E-2</v>
      </c>
      <c r="C200" s="13">
        <f t="shared" si="3"/>
        <v>0</v>
      </c>
    </row>
    <row r="201" spans="1:3" x14ac:dyDescent="0.25">
      <c r="A201" s="11">
        <v>0.19900000000000001</v>
      </c>
      <c r="B201" s="12">
        <f>(General_Model!$E$6/General_Model!$E$7)-1/(1+General_Model!$E$26/((1.2+0.2*(General_Model!$E$26/A201)+0.35*SQRT(9.80665*(General_Model!$E$4/1000))/A201)*A201))-(A201^2/(2*9.80665*General_Model!$E$7))*((4*(0.3164/((General_Model!$E$14*A201*(General_Model!$E$4/1000)/General_Model!$E$15)^0.25))*General_Model!$E$7/(General_Model!$E$4/1000)+1)+(4*(0.3164/((General_Model!$E$14*A201*(General_Model!$E$4/1000)/General_Model!$E$15)^0.25))*General_Model!$E$7/(General_Model!$E$4/1000)+2)*(General_Model!$E$26/A201))</f>
        <v>5.8146429895493873E-2</v>
      </c>
      <c r="C201" s="13">
        <f t="shared" si="3"/>
        <v>0</v>
      </c>
    </row>
    <row r="202" spans="1:3" x14ac:dyDescent="0.25">
      <c r="A202" s="11">
        <v>0.2</v>
      </c>
      <c r="B202" s="12">
        <f>(General_Model!$E$6/General_Model!$E$7)-1/(1+General_Model!$E$26/((1.2+0.2*(General_Model!$E$26/A202)+0.35*SQRT(9.80665*(General_Model!$E$4/1000))/A202)*A202))-(A202^2/(2*9.80665*General_Model!$E$7))*((4*(0.3164/((General_Model!$E$14*A202*(General_Model!$E$4/1000)/General_Model!$E$15)^0.25))*General_Model!$E$7/(General_Model!$E$4/1000)+1)+(4*(0.3164/((General_Model!$E$14*A202*(General_Model!$E$4/1000)/General_Model!$E$15)^0.25))*General_Model!$E$7/(General_Model!$E$4/1000)+2)*(General_Model!$E$26/A202))</f>
        <v>5.7539130709562396E-2</v>
      </c>
      <c r="C202" s="13">
        <f t="shared" si="3"/>
        <v>0</v>
      </c>
    </row>
    <row r="203" spans="1:3" x14ac:dyDescent="0.25">
      <c r="A203" s="11">
        <v>0.20100000000000001</v>
      </c>
      <c r="B203" s="12">
        <f>(General_Model!$E$6/General_Model!$E$7)-1/(1+General_Model!$E$26/((1.2+0.2*(General_Model!$E$26/A203)+0.35*SQRT(9.80665*(General_Model!$E$4/1000))/A203)*A203))-(A203^2/(2*9.80665*General_Model!$E$7))*((4*(0.3164/((General_Model!$E$14*A203*(General_Model!$E$4/1000)/General_Model!$E$15)^0.25))*General_Model!$E$7/(General_Model!$E$4/1000)+1)+(4*(0.3164/((General_Model!$E$14*A203*(General_Model!$E$4/1000)/General_Model!$E$15)^0.25))*General_Model!$E$7/(General_Model!$E$4/1000)+2)*(General_Model!$E$26/A203))</f>
        <v>5.6932531995141207E-2</v>
      </c>
      <c r="C203" s="13">
        <f t="shared" si="3"/>
        <v>0</v>
      </c>
    </row>
    <row r="204" spans="1:3" x14ac:dyDescent="0.25">
      <c r="A204" s="11">
        <v>0.20200000000000001</v>
      </c>
      <c r="B204" s="12">
        <f>(General_Model!$E$6/General_Model!$E$7)-1/(1+General_Model!$E$26/((1.2+0.2*(General_Model!$E$26/A204)+0.35*SQRT(9.80665*(General_Model!$E$4/1000))/A204)*A204))-(A204^2/(2*9.80665*General_Model!$E$7))*((4*(0.3164/((General_Model!$E$14*A204*(General_Model!$E$4/1000)/General_Model!$E$15)^0.25))*General_Model!$E$7/(General_Model!$E$4/1000)+1)+(4*(0.3164/((General_Model!$E$14*A204*(General_Model!$E$4/1000)/General_Model!$E$15)^0.25))*General_Model!$E$7/(General_Model!$E$4/1000)+2)*(General_Model!$E$26/A204))</f>
        <v>5.6326631160649288E-2</v>
      </c>
      <c r="C204" s="13">
        <f t="shared" si="3"/>
        <v>0</v>
      </c>
    </row>
    <row r="205" spans="1:3" x14ac:dyDescent="0.25">
      <c r="A205" s="11">
        <v>0.20300000000000001</v>
      </c>
      <c r="B205" s="12">
        <f>(General_Model!$E$6/General_Model!$E$7)-1/(1+General_Model!$E$26/((1.2+0.2*(General_Model!$E$26/A205)+0.35*SQRT(9.80665*(General_Model!$E$4/1000))/A205)*A205))-(A205^2/(2*9.80665*General_Model!$E$7))*((4*(0.3164/((General_Model!$E$14*A205*(General_Model!$E$4/1000)/General_Model!$E$15)^0.25))*General_Model!$E$7/(General_Model!$E$4/1000)+1)+(4*(0.3164/((General_Model!$E$14*A205*(General_Model!$E$4/1000)/General_Model!$E$15)^0.25))*General_Model!$E$7/(General_Model!$E$4/1000)+2)*(General_Model!$E$26/A205))</f>
        <v>5.5721425626078437E-2</v>
      </c>
      <c r="C205" s="13">
        <f t="shared" si="3"/>
        <v>0</v>
      </c>
    </row>
    <row r="206" spans="1:3" x14ac:dyDescent="0.25">
      <c r="A206" s="11">
        <v>0.20399999999999999</v>
      </c>
      <c r="B206" s="12">
        <f>(General_Model!$E$6/General_Model!$E$7)-1/(1+General_Model!$E$26/((1.2+0.2*(General_Model!$E$26/A206)+0.35*SQRT(9.80665*(General_Model!$E$4/1000))/A206)*A206))-(A206^2/(2*9.80665*General_Model!$E$7))*((4*(0.3164/((General_Model!$E$14*A206*(General_Model!$E$4/1000)/General_Model!$E$15)^0.25))*General_Model!$E$7/(General_Model!$E$4/1000)+1)+(4*(0.3164/((General_Model!$E$14*A206*(General_Model!$E$4/1000)/General_Model!$E$15)^0.25))*General_Model!$E$7/(General_Model!$E$4/1000)+2)*(General_Model!$E$26/A206))</f>
        <v>5.511691282290751E-2</v>
      </c>
      <c r="C206" s="13">
        <f t="shared" si="3"/>
        <v>0</v>
      </c>
    </row>
    <row r="207" spans="1:3" x14ac:dyDescent="0.25">
      <c r="A207" s="11">
        <v>0.20499999999999999</v>
      </c>
      <c r="B207" s="12">
        <f>(General_Model!$E$6/General_Model!$E$7)-1/(1+General_Model!$E$26/((1.2+0.2*(General_Model!$E$26/A207)+0.35*SQRT(9.80665*(General_Model!$E$4/1000))/A207)*A207))-(A207^2/(2*9.80665*General_Model!$E$7))*((4*(0.3164/((General_Model!$E$14*A207*(General_Model!$E$4/1000)/General_Model!$E$15)^0.25))*General_Model!$E$7/(General_Model!$E$4/1000)+1)+(4*(0.3164/((General_Model!$E$14*A207*(General_Model!$E$4/1000)/General_Model!$E$15)^0.25))*General_Model!$E$7/(General_Model!$E$4/1000)+2)*(General_Model!$E$26/A207))</f>
        <v>5.4513090194017233E-2</v>
      </c>
      <c r="C207" s="13">
        <f t="shared" si="3"/>
        <v>0</v>
      </c>
    </row>
    <row r="208" spans="1:3" x14ac:dyDescent="0.25">
      <c r="A208" s="11">
        <v>0.20599999999999999</v>
      </c>
      <c r="B208" s="12">
        <f>(General_Model!$E$6/General_Model!$E$7)-1/(1+General_Model!$E$26/((1.2+0.2*(General_Model!$E$26/A208)+0.35*SQRT(9.80665*(General_Model!$E$4/1000))/A208)*A208))-(A208^2/(2*9.80665*General_Model!$E$7))*((4*(0.3164/((General_Model!$E$14*A208*(General_Model!$E$4/1000)/General_Model!$E$15)^0.25))*General_Model!$E$7/(General_Model!$E$4/1000)+1)+(4*(0.3164/((General_Model!$E$14*A208*(General_Model!$E$4/1000)/General_Model!$E$15)^0.25))*General_Model!$E$7/(General_Model!$E$4/1000)+2)*(General_Model!$E$26/A208))</f>
        <v>5.390995519360732E-2</v>
      </c>
      <c r="C208" s="13">
        <f t="shared" si="3"/>
        <v>0</v>
      </c>
    </row>
    <row r="209" spans="1:3" x14ac:dyDescent="0.25">
      <c r="A209" s="11">
        <v>0.20699999999999999</v>
      </c>
      <c r="B209" s="12">
        <f>(General_Model!$E$6/General_Model!$E$7)-1/(1+General_Model!$E$26/((1.2+0.2*(General_Model!$E$26/A209)+0.35*SQRT(9.80665*(General_Model!$E$4/1000))/A209)*A209))-(A209^2/(2*9.80665*General_Model!$E$7))*((4*(0.3164/((General_Model!$E$14*A209*(General_Model!$E$4/1000)/General_Model!$E$15)^0.25))*General_Model!$E$7/(General_Model!$E$4/1000)+1)+(4*(0.3164/((General_Model!$E$14*A209*(General_Model!$E$4/1000)/General_Model!$E$15)^0.25))*General_Model!$E$7/(General_Model!$E$4/1000)+2)*(General_Model!$E$26/A209))</f>
        <v>5.330750528711363E-2</v>
      </c>
      <c r="C209" s="13">
        <f t="shared" si="3"/>
        <v>0</v>
      </c>
    </row>
    <row r="210" spans="1:3" x14ac:dyDescent="0.25">
      <c r="A210" s="11">
        <v>0.20799999999999999</v>
      </c>
      <c r="B210" s="12">
        <f>(General_Model!$E$6/General_Model!$E$7)-1/(1+General_Model!$E$26/((1.2+0.2*(General_Model!$E$26/A210)+0.35*SQRT(9.80665*(General_Model!$E$4/1000))/A210)*A210))-(A210^2/(2*9.80665*General_Model!$E$7))*((4*(0.3164/((General_Model!$E$14*A210*(General_Model!$E$4/1000)/General_Model!$E$15)^0.25))*General_Model!$E$7/(General_Model!$E$4/1000)+1)+(4*(0.3164/((General_Model!$E$14*A210*(General_Model!$E$4/1000)/General_Model!$E$15)^0.25))*General_Model!$E$7/(General_Model!$E$4/1000)+2)*(General_Model!$E$26/A210))</f>
        <v>5.2705737951126874E-2</v>
      </c>
      <c r="C210" s="13">
        <f t="shared" si="3"/>
        <v>0</v>
      </c>
    </row>
    <row r="211" spans="1:3" x14ac:dyDescent="0.25">
      <c r="A211" s="11">
        <v>0.20899999999999999</v>
      </c>
      <c r="B211" s="12">
        <f>(General_Model!$E$6/General_Model!$E$7)-1/(1+General_Model!$E$26/((1.2+0.2*(General_Model!$E$26/A211)+0.35*SQRT(9.80665*(General_Model!$E$4/1000))/A211)*A211))-(A211^2/(2*9.80665*General_Model!$E$7))*((4*(0.3164/((General_Model!$E$14*A211*(General_Model!$E$4/1000)/General_Model!$E$15)^0.25))*General_Model!$E$7/(General_Model!$E$4/1000)+1)+(4*(0.3164/((General_Model!$E$14*A211*(General_Model!$E$4/1000)/General_Model!$E$15)^0.25))*General_Model!$E$7/(General_Model!$E$4/1000)+2)*(General_Model!$E$26/A211))</f>
        <v>5.21046506733127E-2</v>
      </c>
      <c r="C211" s="13">
        <f t="shared" si="3"/>
        <v>0</v>
      </c>
    </row>
    <row r="212" spans="1:3" x14ac:dyDescent="0.25">
      <c r="A212" s="11">
        <v>0.21</v>
      </c>
      <c r="B212" s="12">
        <f>(General_Model!$E$6/General_Model!$E$7)-1/(1+General_Model!$E$26/((1.2+0.2*(General_Model!$E$26/A212)+0.35*SQRT(9.80665*(General_Model!$E$4/1000))/A212)*A212))-(A212^2/(2*9.80665*General_Model!$E$7))*((4*(0.3164/((General_Model!$E$14*A212*(General_Model!$E$4/1000)/General_Model!$E$15)^0.25))*General_Model!$E$7/(General_Model!$E$4/1000)+1)+(4*(0.3164/((General_Model!$E$14*A212*(General_Model!$E$4/1000)/General_Model!$E$15)^0.25))*General_Model!$E$7/(General_Model!$E$4/1000)+2)*(General_Model!$E$26/A212))</f>
        <v>5.150424095233215E-2</v>
      </c>
      <c r="C212" s="13">
        <f t="shared" si="3"/>
        <v>0</v>
      </c>
    </row>
    <row r="213" spans="1:3" x14ac:dyDescent="0.25">
      <c r="A213" s="11">
        <v>0.21099999999999999</v>
      </c>
      <c r="B213" s="12">
        <f>(General_Model!$E$6/General_Model!$E$7)-1/(1+General_Model!$E$26/((1.2+0.2*(General_Model!$E$26/A213)+0.35*SQRT(9.80665*(General_Model!$E$4/1000))/A213)*A213))-(A213^2/(2*9.80665*General_Model!$E$7))*((4*(0.3164/((General_Model!$E$14*A213*(General_Model!$E$4/1000)/General_Model!$E$15)^0.25))*General_Model!$E$7/(General_Model!$E$4/1000)+1)+(4*(0.3164/((General_Model!$E$14*A213*(General_Model!$E$4/1000)/General_Model!$E$15)^0.25))*General_Model!$E$7/(General_Model!$E$4/1000)+2)*(General_Model!$E$26/A213))</f>
        <v>5.0904506297763864E-2</v>
      </c>
      <c r="C213" s="13">
        <f t="shared" si="3"/>
        <v>0</v>
      </c>
    </row>
    <row r="214" spans="1:3" x14ac:dyDescent="0.25">
      <c r="A214" s="11">
        <v>0.21199999999999999</v>
      </c>
      <c r="B214" s="12">
        <f>(General_Model!$E$6/General_Model!$E$7)-1/(1+General_Model!$E$26/((1.2+0.2*(General_Model!$E$26/A214)+0.35*SQRT(9.80665*(General_Model!$E$4/1000))/A214)*A214))-(A214^2/(2*9.80665*General_Model!$E$7))*((4*(0.3164/((General_Model!$E$14*A214*(General_Model!$E$4/1000)/General_Model!$E$15)^0.25))*General_Model!$E$7/(General_Model!$E$4/1000)+1)+(4*(0.3164/((General_Model!$E$14*A214*(General_Model!$E$4/1000)/General_Model!$E$15)^0.25))*General_Model!$E$7/(General_Model!$E$4/1000)+2)*(General_Model!$E$26/A214))</f>
        <v>5.0305444230026898E-2</v>
      </c>
      <c r="C214" s="13">
        <f t="shared" si="3"/>
        <v>0</v>
      </c>
    </row>
    <row r="215" spans="1:3" x14ac:dyDescent="0.25">
      <c r="A215" s="11">
        <v>0.21299999999999999</v>
      </c>
      <c r="B215" s="12">
        <f>(General_Model!$E$6/General_Model!$E$7)-1/(1+General_Model!$E$26/((1.2+0.2*(General_Model!$E$26/A215)+0.35*SQRT(9.80665*(General_Model!$E$4/1000))/A215)*A215))-(A215^2/(2*9.80665*General_Model!$E$7))*((4*(0.3164/((General_Model!$E$14*A215*(General_Model!$E$4/1000)/General_Model!$E$15)^0.25))*General_Model!$E$7/(General_Model!$E$4/1000)+1)+(4*(0.3164/((General_Model!$E$14*A215*(General_Model!$E$4/1000)/General_Model!$E$15)^0.25))*General_Model!$E$7/(General_Model!$E$4/1000)+2)*(General_Model!$E$26/A215))</f>
        <v>4.9707052280304295E-2</v>
      </c>
      <c r="C215" s="13">
        <f t="shared" si="3"/>
        <v>0</v>
      </c>
    </row>
    <row r="216" spans="1:3" x14ac:dyDescent="0.25">
      <c r="A216" s="11">
        <v>0.214</v>
      </c>
      <c r="B216" s="12">
        <f>(General_Model!$E$6/General_Model!$E$7)-1/(1+General_Model!$E$26/((1.2+0.2*(General_Model!$E$26/A216)+0.35*SQRT(9.80665*(General_Model!$E$4/1000))/A216)*A216))-(A216^2/(2*9.80665*General_Model!$E$7))*((4*(0.3164/((General_Model!$E$14*A216*(General_Model!$E$4/1000)/General_Model!$E$15)^0.25))*General_Model!$E$7/(General_Model!$E$4/1000)+1)+(4*(0.3164/((General_Model!$E$14*A216*(General_Model!$E$4/1000)/General_Model!$E$15)^0.25))*General_Model!$E$7/(General_Model!$E$4/1000)+2)*(General_Model!$E$26/A216))</f>
        <v>4.9109327990468493E-2</v>
      </c>
      <c r="C216" s="13">
        <f t="shared" si="3"/>
        <v>0</v>
      </c>
    </row>
    <row r="217" spans="1:3" x14ac:dyDescent="0.25">
      <c r="A217" s="11">
        <v>0.215</v>
      </c>
      <c r="B217" s="12">
        <f>(General_Model!$E$6/General_Model!$E$7)-1/(1+General_Model!$E$26/((1.2+0.2*(General_Model!$E$26/A217)+0.35*SQRT(9.80665*(General_Model!$E$4/1000))/A217)*A217))-(A217^2/(2*9.80665*General_Model!$E$7))*((4*(0.3164/((General_Model!$E$14*A217*(General_Model!$E$4/1000)/General_Model!$E$15)^0.25))*General_Model!$E$7/(General_Model!$E$4/1000)+1)+(4*(0.3164/((General_Model!$E$14*A217*(General_Model!$E$4/1000)/General_Model!$E$15)^0.25))*General_Model!$E$7/(General_Model!$E$4/1000)+2)*(General_Model!$E$26/A217))</f>
        <v>4.8512268913006522E-2</v>
      </c>
      <c r="C217" s="13">
        <f t="shared" si="3"/>
        <v>0</v>
      </c>
    </row>
    <row r="218" spans="1:3" x14ac:dyDescent="0.25">
      <c r="A218" s="11">
        <v>0.216</v>
      </c>
      <c r="B218" s="12">
        <f>(General_Model!$E$6/General_Model!$E$7)-1/(1+General_Model!$E$26/((1.2+0.2*(General_Model!$E$26/A218)+0.35*SQRT(9.80665*(General_Model!$E$4/1000))/A218)*A218))-(A218^2/(2*9.80665*General_Model!$E$7))*((4*(0.3164/((General_Model!$E$14*A218*(General_Model!$E$4/1000)/General_Model!$E$15)^0.25))*General_Model!$E$7/(General_Model!$E$4/1000)+1)+(4*(0.3164/((General_Model!$E$14*A218*(General_Model!$E$4/1000)/General_Model!$E$15)^0.25))*General_Model!$E$7/(General_Model!$E$4/1000)+2)*(General_Model!$E$26/A218))</f>
        <v>4.7915872610947194E-2</v>
      </c>
      <c r="C218" s="13">
        <f t="shared" si="3"/>
        <v>0</v>
      </c>
    </row>
    <row r="219" spans="1:3" x14ac:dyDescent="0.25">
      <c r="A219" s="11">
        <v>0.217</v>
      </c>
      <c r="B219" s="12">
        <f>(General_Model!$E$6/General_Model!$E$7)-1/(1+General_Model!$E$26/((1.2+0.2*(General_Model!$E$26/A219)+0.35*SQRT(9.80665*(General_Model!$E$4/1000))/A219)*A219))-(A219^2/(2*9.80665*General_Model!$E$7))*((4*(0.3164/((General_Model!$E$14*A219*(General_Model!$E$4/1000)/General_Model!$E$15)^0.25))*General_Model!$E$7/(General_Model!$E$4/1000)+1)+(4*(0.3164/((General_Model!$E$14*A219*(General_Model!$E$4/1000)/General_Model!$E$15)^0.25))*General_Model!$E$7/(General_Model!$E$4/1000)+2)*(General_Model!$E$26/A219))</f>
        <v>4.7320136657788572E-2</v>
      </c>
      <c r="C219" s="13">
        <f t="shared" si="3"/>
        <v>0</v>
      </c>
    </row>
    <row r="220" spans="1:3" x14ac:dyDescent="0.25">
      <c r="A220" s="11">
        <v>0.218</v>
      </c>
      <c r="B220" s="12">
        <f>(General_Model!$E$6/General_Model!$E$7)-1/(1+General_Model!$E$26/((1.2+0.2*(General_Model!$E$26/A220)+0.35*SQRT(9.80665*(General_Model!$E$4/1000))/A220)*A220))-(A220^2/(2*9.80665*General_Model!$E$7))*((4*(0.3164/((General_Model!$E$14*A220*(General_Model!$E$4/1000)/General_Model!$E$15)^0.25))*General_Model!$E$7/(General_Model!$E$4/1000)+1)+(4*(0.3164/((General_Model!$E$14*A220*(General_Model!$E$4/1000)/General_Model!$E$15)^0.25))*General_Model!$E$7/(General_Model!$E$4/1000)+2)*(General_Model!$E$26/A220))</f>
        <v>4.6725058637426146E-2</v>
      </c>
      <c r="C220" s="13">
        <f t="shared" si="3"/>
        <v>0</v>
      </c>
    </row>
    <row r="221" spans="1:3" x14ac:dyDescent="0.25">
      <c r="A221" s="11">
        <v>0.219</v>
      </c>
      <c r="B221" s="12">
        <f>(General_Model!$E$6/General_Model!$E$7)-1/(1+General_Model!$E$26/((1.2+0.2*(General_Model!$E$26/A221)+0.35*SQRT(9.80665*(General_Model!$E$4/1000))/A221)*A221))-(A221^2/(2*9.80665*General_Model!$E$7))*((4*(0.3164/((General_Model!$E$14*A221*(General_Model!$E$4/1000)/General_Model!$E$15)^0.25))*General_Model!$E$7/(General_Model!$E$4/1000)+1)+(4*(0.3164/((General_Model!$E$14*A221*(General_Model!$E$4/1000)/General_Model!$E$15)^0.25))*General_Model!$E$7/(General_Model!$E$4/1000)+2)*(General_Model!$E$26/A221))</f>
        <v>4.6130636144083109E-2</v>
      </c>
      <c r="C221" s="13">
        <f t="shared" si="3"/>
        <v>0</v>
      </c>
    </row>
    <row r="222" spans="1:3" x14ac:dyDescent="0.25">
      <c r="A222" s="11">
        <v>0.22</v>
      </c>
      <c r="B222" s="12">
        <f>(General_Model!$E$6/General_Model!$E$7)-1/(1+General_Model!$E$26/((1.2+0.2*(General_Model!$E$26/A222)+0.35*SQRT(9.80665*(General_Model!$E$4/1000))/A222)*A222))-(A222^2/(2*9.80665*General_Model!$E$7))*((4*(0.3164/((General_Model!$E$14*A222*(General_Model!$E$4/1000)/General_Model!$E$15)^0.25))*General_Model!$E$7/(General_Model!$E$4/1000)+1)+(4*(0.3164/((General_Model!$E$14*A222*(General_Model!$E$4/1000)/General_Model!$E$15)^0.25))*General_Model!$E$7/(General_Model!$E$4/1000)+2)*(General_Model!$E$26/A222))</f>
        <v>4.5536866782239532E-2</v>
      </c>
      <c r="C222" s="13">
        <f t="shared" si="3"/>
        <v>0</v>
      </c>
    </row>
    <row r="223" spans="1:3" x14ac:dyDescent="0.25">
      <c r="A223" s="11">
        <v>0.221</v>
      </c>
      <c r="B223" s="12">
        <f>(General_Model!$E$6/General_Model!$E$7)-1/(1+General_Model!$E$26/((1.2+0.2*(General_Model!$E$26/A223)+0.35*SQRT(9.80665*(General_Model!$E$4/1000))/A223)*A223))-(A223^2/(2*9.80665*General_Model!$E$7))*((4*(0.3164/((General_Model!$E$14*A223*(General_Model!$E$4/1000)/General_Model!$E$15)^0.25))*General_Model!$E$7/(General_Model!$E$4/1000)+1)+(4*(0.3164/((General_Model!$E$14*A223*(General_Model!$E$4/1000)/General_Model!$E$15)^0.25))*General_Model!$E$7/(General_Model!$E$4/1000)+2)*(General_Model!$E$26/A223))</f>
        <v>4.4943748166564275E-2</v>
      </c>
      <c r="C223" s="13">
        <f t="shared" si="3"/>
        <v>0</v>
      </c>
    </row>
    <row r="224" spans="1:3" x14ac:dyDescent="0.25">
      <c r="A224" s="11">
        <v>0.222</v>
      </c>
      <c r="B224" s="12">
        <f>(General_Model!$E$6/General_Model!$E$7)-1/(1+General_Model!$E$26/((1.2+0.2*(General_Model!$E$26/A224)+0.35*SQRT(9.80665*(General_Model!$E$4/1000))/A224)*A224))-(A224^2/(2*9.80665*General_Model!$E$7))*((4*(0.3164/((General_Model!$E$14*A224*(General_Model!$E$4/1000)/General_Model!$E$15)^0.25))*General_Model!$E$7/(General_Model!$E$4/1000)+1)+(4*(0.3164/((General_Model!$E$14*A224*(General_Model!$E$4/1000)/General_Model!$E$15)^0.25))*General_Model!$E$7/(General_Model!$E$4/1000)+2)*(General_Model!$E$26/A224))</f>
        <v>4.4351277921846594E-2</v>
      </c>
      <c r="C224" s="13">
        <f t="shared" si="3"/>
        <v>0</v>
      </c>
    </row>
    <row r="225" spans="1:3" x14ac:dyDescent="0.25">
      <c r="A225" s="11">
        <v>0.223</v>
      </c>
      <c r="B225" s="12">
        <f>(General_Model!$E$6/General_Model!$E$7)-1/(1+General_Model!$E$26/((1.2+0.2*(General_Model!$E$26/A225)+0.35*SQRT(9.80665*(General_Model!$E$4/1000))/A225)*A225))-(A225^2/(2*9.80665*General_Model!$E$7))*((4*(0.3164/((General_Model!$E$14*A225*(General_Model!$E$4/1000)/General_Model!$E$15)^0.25))*General_Model!$E$7/(General_Model!$E$4/1000)+1)+(4*(0.3164/((General_Model!$E$14*A225*(General_Model!$E$4/1000)/General_Model!$E$15)^0.25))*General_Model!$E$7/(General_Model!$E$4/1000)+2)*(General_Model!$E$26/A225))</f>
        <v>4.3759453682928912E-2</v>
      </c>
      <c r="C225" s="13">
        <f t="shared" si="3"/>
        <v>0</v>
      </c>
    </row>
    <row r="226" spans="1:3" x14ac:dyDescent="0.25">
      <c r="A226" s="11">
        <v>0.224</v>
      </c>
      <c r="B226" s="12">
        <f>(General_Model!$E$6/General_Model!$E$7)-1/(1+General_Model!$E$26/((1.2+0.2*(General_Model!$E$26/A226)+0.35*SQRT(9.80665*(General_Model!$E$4/1000))/A226)*A226))-(A226^2/(2*9.80665*General_Model!$E$7))*((4*(0.3164/((General_Model!$E$14*A226*(General_Model!$E$4/1000)/General_Model!$E$15)^0.25))*General_Model!$E$7/(General_Model!$E$4/1000)+1)+(4*(0.3164/((General_Model!$E$14*A226*(General_Model!$E$4/1000)/General_Model!$E$15)^0.25))*General_Model!$E$7/(General_Model!$E$4/1000)+2)*(General_Model!$E$26/A226))</f>
        <v>4.3168273094640157E-2</v>
      </c>
      <c r="C226" s="13">
        <f t="shared" si="3"/>
        <v>0</v>
      </c>
    </row>
    <row r="227" spans="1:3" x14ac:dyDescent="0.25">
      <c r="A227" s="11">
        <v>0.22500000000000001</v>
      </c>
      <c r="B227" s="12">
        <f>(General_Model!$E$6/General_Model!$E$7)-1/(1+General_Model!$E$26/((1.2+0.2*(General_Model!$E$26/A227)+0.35*SQRT(9.80665*(General_Model!$E$4/1000))/A227)*A227))-(A227^2/(2*9.80665*General_Model!$E$7))*((4*(0.3164/((General_Model!$E$14*A227*(General_Model!$E$4/1000)/General_Model!$E$15)^0.25))*General_Model!$E$7/(General_Model!$E$4/1000)+1)+(4*(0.3164/((General_Model!$E$14*A227*(General_Model!$E$4/1000)/General_Model!$E$15)^0.25))*General_Model!$E$7/(General_Model!$E$4/1000)+2)*(General_Model!$E$26/A227))</f>
        <v>4.2577733811730557E-2</v>
      </c>
      <c r="C227" s="13">
        <f t="shared" si="3"/>
        <v>0</v>
      </c>
    </row>
    <row r="228" spans="1:3" x14ac:dyDescent="0.25">
      <c r="A228" s="11">
        <v>0.22600000000000001</v>
      </c>
      <c r="B228" s="12">
        <f>(General_Model!$E$6/General_Model!$E$7)-1/(1+General_Model!$E$26/((1.2+0.2*(General_Model!$E$26/A228)+0.35*SQRT(9.80665*(General_Model!$E$4/1000))/A228)*A228))-(A228^2/(2*9.80665*General_Model!$E$7))*((4*(0.3164/((General_Model!$E$14*A228*(General_Model!$E$4/1000)/General_Model!$E$15)^0.25))*General_Model!$E$7/(General_Model!$E$4/1000)+1)+(4*(0.3164/((General_Model!$E$14*A228*(General_Model!$E$4/1000)/General_Model!$E$15)^0.25))*General_Model!$E$7/(General_Model!$E$4/1000)+2)*(General_Model!$E$26/A228))</f>
        <v>4.1987833498805895E-2</v>
      </c>
      <c r="C228" s="13">
        <f t="shared" si="3"/>
        <v>0</v>
      </c>
    </row>
    <row r="229" spans="1:3" x14ac:dyDescent="0.25">
      <c r="A229" s="11">
        <v>0.22700000000000001</v>
      </c>
      <c r="B229" s="12">
        <f>(General_Model!$E$6/General_Model!$E$7)-1/(1+General_Model!$E$26/((1.2+0.2*(General_Model!$E$26/A229)+0.35*SQRT(9.80665*(General_Model!$E$4/1000))/A229)*A229))-(A229^2/(2*9.80665*General_Model!$E$7))*((4*(0.3164/((General_Model!$E$14*A229*(General_Model!$E$4/1000)/General_Model!$E$15)^0.25))*General_Model!$E$7/(General_Model!$E$4/1000)+1)+(4*(0.3164/((General_Model!$E$14*A229*(General_Model!$E$4/1000)/General_Model!$E$15)^0.25))*General_Model!$E$7/(General_Model!$E$4/1000)+2)*(General_Model!$E$26/A229))</f>
        <v>4.1398569830264124E-2</v>
      </c>
      <c r="C229" s="13">
        <f t="shared" si="3"/>
        <v>0</v>
      </c>
    </row>
    <row r="230" spans="1:3" x14ac:dyDescent="0.25">
      <c r="A230" s="11">
        <v>0.22800000000000001</v>
      </c>
      <c r="B230" s="12">
        <f>(General_Model!$E$6/General_Model!$E$7)-1/(1+General_Model!$E$26/((1.2+0.2*(General_Model!$E$26/A230)+0.35*SQRT(9.80665*(General_Model!$E$4/1000))/A230)*A230))-(A230^2/(2*9.80665*General_Model!$E$7))*((4*(0.3164/((General_Model!$E$14*A230*(General_Model!$E$4/1000)/General_Model!$E$15)^0.25))*General_Model!$E$7/(General_Model!$E$4/1000)+1)+(4*(0.3164/((General_Model!$E$14*A230*(General_Model!$E$4/1000)/General_Model!$E$15)^0.25))*General_Model!$E$7/(General_Model!$E$4/1000)+2)*(General_Model!$E$26/A230))</f>
        <v>4.0809940490231247E-2</v>
      </c>
      <c r="C230" s="13">
        <f t="shared" si="3"/>
        <v>0</v>
      </c>
    </row>
    <row r="231" spans="1:3" x14ac:dyDescent="0.25">
      <c r="A231" s="11">
        <v>0.22900000000000001</v>
      </c>
      <c r="B231" s="12">
        <f>(General_Model!$E$6/General_Model!$E$7)-1/(1+General_Model!$E$26/((1.2+0.2*(General_Model!$E$26/A231)+0.35*SQRT(9.80665*(General_Model!$E$4/1000))/A231)*A231))-(A231^2/(2*9.80665*General_Model!$E$7))*((4*(0.3164/((General_Model!$E$14*A231*(General_Model!$E$4/1000)/General_Model!$E$15)^0.25))*General_Model!$E$7/(General_Model!$E$4/1000)+1)+(4*(0.3164/((General_Model!$E$14*A231*(General_Model!$E$4/1000)/General_Model!$E$15)^0.25))*General_Model!$E$7/(General_Model!$E$4/1000)+2)*(General_Model!$E$26/A231))</f>
        <v>4.0221943172499032E-2</v>
      </c>
      <c r="C231" s="13">
        <f t="shared" si="3"/>
        <v>0</v>
      </c>
    </row>
    <row r="232" spans="1:3" x14ac:dyDescent="0.25">
      <c r="A232" s="11">
        <v>0.23</v>
      </c>
      <c r="B232" s="12">
        <f>(General_Model!$E$6/General_Model!$E$7)-1/(1+General_Model!$E$26/((1.2+0.2*(General_Model!$E$26/A232)+0.35*SQRT(9.80665*(General_Model!$E$4/1000))/A232)*A232))-(A232^2/(2*9.80665*General_Model!$E$7))*((4*(0.3164/((General_Model!$E$14*A232*(General_Model!$E$4/1000)/General_Model!$E$15)^0.25))*General_Model!$E$7/(General_Model!$E$4/1000)+1)+(4*(0.3164/((General_Model!$E$14*A232*(General_Model!$E$4/1000)/General_Model!$E$15)^0.25))*General_Model!$E$7/(General_Model!$E$4/1000)+2)*(General_Model!$E$26/A232))</f>
        <v>3.9634575580462801E-2</v>
      </c>
      <c r="C232" s="13">
        <f t="shared" si="3"/>
        <v>0</v>
      </c>
    </row>
    <row r="233" spans="1:3" x14ac:dyDescent="0.25">
      <c r="A233" s="11">
        <v>0.23100000000000001</v>
      </c>
      <c r="B233" s="12">
        <f>(General_Model!$E$6/General_Model!$E$7)-1/(1+General_Model!$E$26/((1.2+0.2*(General_Model!$E$26/A233)+0.35*SQRT(9.80665*(General_Model!$E$4/1000))/A233)*A233))-(A233^2/(2*9.80665*General_Model!$E$7))*((4*(0.3164/((General_Model!$E$14*A233*(General_Model!$E$4/1000)/General_Model!$E$15)^0.25))*General_Model!$E$7/(General_Model!$E$4/1000)+1)+(4*(0.3164/((General_Model!$E$14*A233*(General_Model!$E$4/1000)/General_Model!$E$15)^0.25))*General_Model!$E$7/(General_Model!$E$4/1000)+2)*(General_Model!$E$26/A233))</f>
        <v>3.9047835427059641E-2</v>
      </c>
      <c r="C233" s="13">
        <f t="shared" si="3"/>
        <v>0</v>
      </c>
    </row>
    <row r="234" spans="1:3" x14ac:dyDescent="0.25">
      <c r="A234" s="11">
        <v>0.23200000000000001</v>
      </c>
      <c r="B234" s="12">
        <f>(General_Model!$E$6/General_Model!$E$7)-1/(1+General_Model!$E$26/((1.2+0.2*(General_Model!$E$26/A234)+0.35*SQRT(9.80665*(General_Model!$E$4/1000))/A234)*A234))-(A234^2/(2*9.80665*General_Model!$E$7))*((4*(0.3164/((General_Model!$E$14*A234*(General_Model!$E$4/1000)/General_Model!$E$15)^0.25))*General_Model!$E$7/(General_Model!$E$4/1000)+1)+(4*(0.3164/((General_Model!$E$14*A234*(General_Model!$E$4/1000)/General_Model!$E$15)^0.25))*General_Model!$E$7/(General_Model!$E$4/1000)+2)*(General_Model!$E$26/A234))</f>
        <v>3.8461720434708462E-2</v>
      </c>
      <c r="C234" s="13">
        <f t="shared" si="3"/>
        <v>0</v>
      </c>
    </row>
    <row r="235" spans="1:3" x14ac:dyDescent="0.25">
      <c r="A235" s="11">
        <v>0.23300000000000001</v>
      </c>
      <c r="B235" s="12">
        <f>(General_Model!$E$6/General_Model!$E$7)-1/(1+General_Model!$E$26/((1.2+0.2*(General_Model!$E$26/A235)+0.35*SQRT(9.80665*(General_Model!$E$4/1000))/A235)*A235))-(A235^2/(2*9.80665*General_Model!$E$7))*((4*(0.3164/((General_Model!$E$14*A235*(General_Model!$E$4/1000)/General_Model!$E$15)^0.25))*General_Model!$E$7/(General_Model!$E$4/1000)+1)+(4*(0.3164/((General_Model!$E$14*A235*(General_Model!$E$4/1000)/General_Model!$E$15)^0.25))*General_Model!$E$7/(General_Model!$E$4/1000)+2)*(General_Model!$E$26/A235))</f>
        <v>3.7876228335249833E-2</v>
      </c>
      <c r="C235" s="13">
        <f t="shared" si="3"/>
        <v>0</v>
      </c>
    </row>
    <row r="236" spans="1:3" x14ac:dyDescent="0.25">
      <c r="A236" s="11">
        <v>0.23400000000000001</v>
      </c>
      <c r="B236" s="12">
        <f>(General_Model!$E$6/General_Model!$E$7)-1/(1+General_Model!$E$26/((1.2+0.2*(General_Model!$E$26/A236)+0.35*SQRT(9.80665*(General_Model!$E$4/1000))/A236)*A236))-(A236^2/(2*9.80665*General_Model!$E$7))*((4*(0.3164/((General_Model!$E$14*A236*(General_Model!$E$4/1000)/General_Model!$E$15)^0.25))*General_Model!$E$7/(General_Model!$E$4/1000)+1)+(4*(0.3164/((General_Model!$E$14*A236*(General_Model!$E$4/1000)/General_Model!$E$15)^0.25))*General_Model!$E$7/(General_Model!$E$4/1000)+2)*(General_Model!$E$26/A236))</f>
        <v>3.7291356869885862E-2</v>
      </c>
      <c r="C236" s="13">
        <f t="shared" si="3"/>
        <v>0</v>
      </c>
    </row>
    <row r="237" spans="1:3" x14ac:dyDescent="0.25">
      <c r="A237" s="11">
        <v>0.23499999999999999</v>
      </c>
      <c r="B237" s="12">
        <f>(General_Model!$E$6/General_Model!$E$7)-1/(1+General_Model!$E$26/((1.2+0.2*(General_Model!$E$26/A237)+0.35*SQRT(9.80665*(General_Model!$E$4/1000))/A237)*A237))-(A237^2/(2*9.80665*General_Model!$E$7))*((4*(0.3164/((General_Model!$E$14*A237*(General_Model!$E$4/1000)/General_Model!$E$15)^0.25))*General_Model!$E$7/(General_Model!$E$4/1000)+1)+(4*(0.3164/((General_Model!$E$14*A237*(General_Model!$E$4/1000)/General_Model!$E$15)^0.25))*General_Model!$E$7/(General_Model!$E$4/1000)+2)*(General_Model!$E$26/A237))</f>
        <v>3.6707103789122397E-2</v>
      </c>
      <c r="C237" s="13">
        <f t="shared" si="3"/>
        <v>0</v>
      </c>
    </row>
    <row r="238" spans="1:3" x14ac:dyDescent="0.25">
      <c r="A238" s="11">
        <v>0.23599999999999999</v>
      </c>
      <c r="B238" s="12">
        <f>(General_Model!$E$6/General_Model!$E$7)-1/(1+General_Model!$E$26/((1.2+0.2*(General_Model!$E$26/A238)+0.35*SQRT(9.80665*(General_Model!$E$4/1000))/A238)*A238))-(A238^2/(2*9.80665*General_Model!$E$7))*((4*(0.3164/((General_Model!$E$14*A238*(General_Model!$E$4/1000)/General_Model!$E$15)^0.25))*General_Model!$E$7/(General_Model!$E$4/1000)+1)+(4*(0.3164/((General_Model!$E$14*A238*(General_Model!$E$4/1000)/General_Model!$E$15)^0.25))*General_Model!$E$7/(General_Model!$E$4/1000)+2)*(General_Model!$E$26/A238))</f>
        <v>3.6123466852710562E-2</v>
      </c>
      <c r="C238" s="13">
        <f t="shared" si="3"/>
        <v>0</v>
      </c>
    </row>
    <row r="239" spans="1:3" x14ac:dyDescent="0.25">
      <c r="A239" s="11">
        <v>0.23699999999999999</v>
      </c>
      <c r="B239" s="12">
        <f>(General_Model!$E$6/General_Model!$E$7)-1/(1+General_Model!$E$26/((1.2+0.2*(General_Model!$E$26/A239)+0.35*SQRT(9.80665*(General_Model!$E$4/1000))/A239)*A239))-(A239^2/(2*9.80665*General_Model!$E$7))*((4*(0.3164/((General_Model!$E$14*A239*(General_Model!$E$4/1000)/General_Model!$E$15)^0.25))*General_Model!$E$7/(General_Model!$E$4/1000)+1)+(4*(0.3164/((General_Model!$E$14*A239*(General_Model!$E$4/1000)/General_Model!$E$15)^0.25))*General_Model!$E$7/(General_Model!$E$4/1000)+2)*(General_Model!$E$26/A239))</f>
        <v>3.5540443829589013E-2</v>
      </c>
      <c r="C239" s="13">
        <f t="shared" si="3"/>
        <v>0</v>
      </c>
    </row>
    <row r="240" spans="1:3" x14ac:dyDescent="0.25">
      <c r="A240" s="11">
        <v>0.23799999999999999</v>
      </c>
      <c r="B240" s="12">
        <f>(General_Model!$E$6/General_Model!$E$7)-1/(1+General_Model!$E$26/((1.2+0.2*(General_Model!$E$26/A240)+0.35*SQRT(9.80665*(General_Model!$E$4/1000))/A240)*A240))-(A240^2/(2*9.80665*General_Model!$E$7))*((4*(0.3164/((General_Model!$E$14*A240*(General_Model!$E$4/1000)/General_Model!$E$15)^0.25))*General_Model!$E$7/(General_Model!$E$4/1000)+1)+(4*(0.3164/((General_Model!$E$14*A240*(General_Model!$E$4/1000)/General_Model!$E$15)^0.25))*General_Model!$E$7/(General_Model!$E$4/1000)+2)*(General_Model!$E$26/A240))</f>
        <v>3.4958032497827786E-2</v>
      </c>
      <c r="C240" s="13">
        <f t="shared" si="3"/>
        <v>0</v>
      </c>
    </row>
    <row r="241" spans="1:3" x14ac:dyDescent="0.25">
      <c r="A241" s="11">
        <v>0.23899999999999999</v>
      </c>
      <c r="B241" s="12">
        <f>(General_Model!$E$6/General_Model!$E$7)-1/(1+General_Model!$E$26/((1.2+0.2*(General_Model!$E$26/A241)+0.35*SQRT(9.80665*(General_Model!$E$4/1000))/A241)*A241))-(A241^2/(2*9.80665*General_Model!$E$7))*((4*(0.3164/((General_Model!$E$14*A241*(General_Model!$E$4/1000)/General_Model!$E$15)^0.25))*General_Model!$E$7/(General_Model!$E$4/1000)+1)+(4*(0.3164/((General_Model!$E$14*A241*(General_Model!$E$4/1000)/General_Model!$E$15)^0.25))*General_Model!$E$7/(General_Model!$E$4/1000)+2)*(General_Model!$E$26/A241))</f>
        <v>3.4376230644571321E-2</v>
      </c>
      <c r="C241" s="13">
        <f t="shared" si="3"/>
        <v>0</v>
      </c>
    </row>
    <row r="242" spans="1:3" x14ac:dyDescent="0.25">
      <c r="A242" s="11">
        <v>0.24</v>
      </c>
      <c r="B242" s="12">
        <f>(General_Model!$E$6/General_Model!$E$7)-1/(1+General_Model!$E$26/((1.2+0.2*(General_Model!$E$26/A242)+0.35*SQRT(9.80665*(General_Model!$E$4/1000))/A242)*A242))-(A242^2/(2*9.80665*General_Model!$E$7))*((4*(0.3164/((General_Model!$E$14*A242*(General_Model!$E$4/1000)/General_Model!$E$15)^0.25))*General_Model!$E$7/(General_Model!$E$4/1000)+1)+(4*(0.3164/((General_Model!$E$14*A242*(General_Model!$E$4/1000)/General_Model!$E$15)^0.25))*General_Model!$E$7/(General_Model!$E$4/1000)+2)*(General_Model!$E$26/A242))</f>
        <v>3.3795036065983039E-2</v>
      </c>
      <c r="C242" s="13">
        <f t="shared" si="3"/>
        <v>0</v>
      </c>
    </row>
    <row r="243" spans="1:3" x14ac:dyDescent="0.25">
      <c r="A243" s="11">
        <v>0.24099999999999999</v>
      </c>
      <c r="B243" s="12">
        <f>(General_Model!$E$6/General_Model!$E$7)-1/(1+General_Model!$E$26/((1.2+0.2*(General_Model!$E$26/A243)+0.35*SQRT(9.80665*(General_Model!$E$4/1000))/A243)*A243))-(A243^2/(2*9.80665*General_Model!$E$7))*((4*(0.3164/((General_Model!$E$14*A243*(General_Model!$E$4/1000)/General_Model!$E$15)^0.25))*General_Model!$E$7/(General_Model!$E$4/1000)+1)+(4*(0.3164/((General_Model!$E$14*A243*(General_Model!$E$4/1000)/General_Model!$E$15)^0.25))*General_Model!$E$7/(General_Model!$E$4/1000)+2)*(General_Model!$E$26/A243))</f>
        <v>3.3214446567190394E-2</v>
      </c>
      <c r="C243" s="13">
        <f t="shared" si="3"/>
        <v>0</v>
      </c>
    </row>
    <row r="244" spans="1:3" x14ac:dyDescent="0.25">
      <c r="A244" s="11">
        <v>0.24199999999999999</v>
      </c>
      <c r="B244" s="12">
        <f>(General_Model!$E$6/General_Model!$E$7)-1/(1+General_Model!$E$26/((1.2+0.2*(General_Model!$E$26/A244)+0.35*SQRT(9.80665*(General_Model!$E$4/1000))/A244)*A244))-(A244^2/(2*9.80665*General_Model!$E$7))*((4*(0.3164/((General_Model!$E$14*A244*(General_Model!$E$4/1000)/General_Model!$E$15)^0.25))*General_Model!$E$7/(General_Model!$E$4/1000)+1)+(4*(0.3164/((General_Model!$E$14*A244*(General_Model!$E$4/1000)/General_Model!$E$15)^0.25))*General_Model!$E$7/(General_Model!$E$4/1000)+2)*(General_Model!$E$26/A244))</f>
        <v>3.2634459962230342E-2</v>
      </c>
      <c r="C244" s="13">
        <f t="shared" si="3"/>
        <v>0</v>
      </c>
    </row>
    <row r="245" spans="1:3" x14ac:dyDescent="0.25">
      <c r="A245" s="11">
        <v>0.24299999999999999</v>
      </c>
      <c r="B245" s="12">
        <f>(General_Model!$E$6/General_Model!$E$7)-1/(1+General_Model!$E$26/((1.2+0.2*(General_Model!$E$26/A245)+0.35*SQRT(9.80665*(General_Model!$E$4/1000))/A245)*A245))-(A245^2/(2*9.80665*General_Model!$E$7))*((4*(0.3164/((General_Model!$E$14*A245*(General_Model!$E$4/1000)/General_Model!$E$15)^0.25))*General_Model!$E$7/(General_Model!$E$4/1000)+1)+(4*(0.3164/((General_Model!$E$14*A245*(General_Model!$E$4/1000)/General_Model!$E$15)^0.25))*General_Model!$E$7/(General_Model!$E$4/1000)+2)*(General_Model!$E$26/A245))</f>
        <v>3.2055074073994987E-2</v>
      </c>
      <c r="C245" s="13">
        <f t="shared" si="3"/>
        <v>0</v>
      </c>
    </row>
    <row r="246" spans="1:3" x14ac:dyDescent="0.25">
      <c r="A246" s="11">
        <v>0.24399999999999999</v>
      </c>
      <c r="B246" s="12">
        <f>(General_Model!$E$6/General_Model!$E$7)-1/(1+General_Model!$E$26/((1.2+0.2*(General_Model!$E$26/A246)+0.35*SQRT(9.80665*(General_Model!$E$4/1000))/A246)*A246))-(A246^2/(2*9.80665*General_Model!$E$7))*((4*(0.3164/((General_Model!$E$14*A246*(General_Model!$E$4/1000)/General_Model!$E$15)^0.25))*General_Model!$E$7/(General_Model!$E$4/1000)+1)+(4*(0.3164/((General_Model!$E$14*A246*(General_Model!$E$4/1000)/General_Model!$E$15)^0.25))*General_Model!$E$7/(General_Model!$E$4/1000)+2)*(General_Model!$E$26/A246))</f>
        <v>3.147628673417846E-2</v>
      </c>
      <c r="C246" s="13">
        <f t="shared" si="3"/>
        <v>0</v>
      </c>
    </row>
    <row r="247" spans="1:3" x14ac:dyDescent="0.25">
      <c r="A247" s="11">
        <v>0.245</v>
      </c>
      <c r="B247" s="12">
        <f>(General_Model!$E$6/General_Model!$E$7)-1/(1+General_Model!$E$26/((1.2+0.2*(General_Model!$E$26/A247)+0.35*SQRT(9.80665*(General_Model!$E$4/1000))/A247)*A247))-(A247^2/(2*9.80665*General_Model!$E$7))*((4*(0.3164/((General_Model!$E$14*A247*(General_Model!$E$4/1000)/General_Model!$E$15)^0.25))*General_Model!$E$7/(General_Model!$E$4/1000)+1)+(4*(0.3164/((General_Model!$E$14*A247*(General_Model!$E$4/1000)/General_Model!$E$15)^0.25))*General_Model!$E$7/(General_Model!$E$4/1000)+2)*(General_Model!$E$26/A247))</f>
        <v>3.0898095783224021E-2</v>
      </c>
      <c r="C247" s="13">
        <f t="shared" si="3"/>
        <v>0</v>
      </c>
    </row>
    <row r="248" spans="1:3" x14ac:dyDescent="0.25">
      <c r="A248" s="11">
        <v>0.246</v>
      </c>
      <c r="B248" s="12">
        <f>(General_Model!$E$6/General_Model!$E$7)-1/(1+General_Model!$E$26/((1.2+0.2*(General_Model!$E$26/A248)+0.35*SQRT(9.80665*(General_Model!$E$4/1000))/A248)*A248))-(A248^2/(2*9.80665*General_Model!$E$7))*((4*(0.3164/((General_Model!$E$14*A248*(General_Model!$E$4/1000)/General_Model!$E$15)^0.25))*General_Model!$E$7/(General_Model!$E$4/1000)+1)+(4*(0.3164/((General_Model!$E$14*A248*(General_Model!$E$4/1000)/General_Model!$E$15)^0.25))*General_Model!$E$7/(General_Model!$E$4/1000)+2)*(General_Model!$E$26/A248))</f>
        <v>3.0320499070271942E-2</v>
      </c>
      <c r="C248" s="13">
        <f t="shared" si="3"/>
        <v>0</v>
      </c>
    </row>
    <row r="249" spans="1:3" x14ac:dyDescent="0.25">
      <c r="A249" s="11">
        <v>0.247</v>
      </c>
      <c r="B249" s="12">
        <f>(General_Model!$E$6/General_Model!$E$7)-1/(1+General_Model!$E$26/((1.2+0.2*(General_Model!$E$26/A249)+0.35*SQRT(9.80665*(General_Model!$E$4/1000))/A249)*A249))-(A249^2/(2*9.80665*General_Model!$E$7))*((4*(0.3164/((General_Model!$E$14*A249*(General_Model!$E$4/1000)/General_Model!$E$15)^0.25))*General_Model!$E$7/(General_Model!$E$4/1000)+1)+(4*(0.3164/((General_Model!$E$14*A249*(General_Model!$E$4/1000)/General_Model!$E$15)^0.25))*General_Model!$E$7/(General_Model!$E$4/1000)+2)*(General_Model!$E$26/A249))</f>
        <v>2.9743494453106825E-2</v>
      </c>
      <c r="C249" s="13">
        <f t="shared" si="3"/>
        <v>0</v>
      </c>
    </row>
    <row r="250" spans="1:3" x14ac:dyDescent="0.25">
      <c r="A250" s="11">
        <v>0.248</v>
      </c>
      <c r="B250" s="12">
        <f>(General_Model!$E$6/General_Model!$E$7)-1/(1+General_Model!$E$26/((1.2+0.2*(General_Model!$E$26/A250)+0.35*SQRT(9.80665*(General_Model!$E$4/1000))/A250)*A250))-(A250^2/(2*9.80665*General_Model!$E$7))*((4*(0.3164/((General_Model!$E$14*A250*(General_Model!$E$4/1000)/General_Model!$E$15)^0.25))*General_Model!$E$7/(General_Model!$E$4/1000)+1)+(4*(0.3164/((General_Model!$E$14*A250*(General_Model!$E$4/1000)/General_Model!$E$15)^0.25))*General_Model!$E$7/(General_Model!$E$4/1000)+2)*(General_Model!$E$26/A250))</f>
        <v>2.9167079798107259E-2</v>
      </c>
      <c r="C250" s="13">
        <f t="shared" si="3"/>
        <v>0</v>
      </c>
    </row>
    <row r="251" spans="1:3" x14ac:dyDescent="0.25">
      <c r="A251" s="11">
        <v>0.249</v>
      </c>
      <c r="B251" s="12">
        <f>(General_Model!$E$6/General_Model!$E$7)-1/(1+General_Model!$E$26/((1.2+0.2*(General_Model!$E$26/A251)+0.35*SQRT(9.80665*(General_Model!$E$4/1000))/A251)*A251))-(A251^2/(2*9.80665*General_Model!$E$7))*((4*(0.3164/((General_Model!$E$14*A251*(General_Model!$E$4/1000)/General_Model!$E$15)^0.25))*General_Model!$E$7/(General_Model!$E$4/1000)+1)+(4*(0.3164/((General_Model!$E$14*A251*(General_Model!$E$4/1000)/General_Model!$E$15)^0.25))*General_Model!$E$7/(General_Model!$E$4/1000)+2)*(General_Model!$E$26/A251))</f>
        <v>2.85912529801945E-2</v>
      </c>
      <c r="C251" s="13">
        <f t="shared" si="3"/>
        <v>0</v>
      </c>
    </row>
    <row r="252" spans="1:3" x14ac:dyDescent="0.25">
      <c r="A252" s="11">
        <v>0.25</v>
      </c>
      <c r="B252" s="12">
        <f>(General_Model!$E$6/General_Model!$E$7)-1/(1+General_Model!$E$26/((1.2+0.2*(General_Model!$E$26/A252)+0.35*SQRT(9.80665*(General_Model!$E$4/1000))/A252)*A252))-(A252^2/(2*9.80665*General_Model!$E$7))*((4*(0.3164/((General_Model!$E$14*A252*(General_Model!$E$4/1000)/General_Model!$E$15)^0.25))*General_Model!$E$7/(General_Model!$E$4/1000)+1)+(4*(0.3164/((General_Model!$E$14*A252*(General_Model!$E$4/1000)/General_Model!$E$15)^0.25))*General_Model!$E$7/(General_Model!$E$4/1000)+2)*(General_Model!$E$26/A252))</f>
        <v>2.8016011882782098E-2</v>
      </c>
      <c r="C252" s="13">
        <f t="shared" si="3"/>
        <v>0</v>
      </c>
    </row>
    <row r="253" spans="1:3" x14ac:dyDescent="0.25">
      <c r="A253" s="11">
        <v>0.251</v>
      </c>
      <c r="B253" s="12">
        <f>(General_Model!$E$6/General_Model!$E$7)-1/(1+General_Model!$E$26/((1.2+0.2*(General_Model!$E$26/A253)+0.35*SQRT(9.80665*(General_Model!$E$4/1000))/A253)*A253))-(A253^2/(2*9.80665*General_Model!$E$7))*((4*(0.3164/((General_Model!$E$14*A253*(General_Model!$E$4/1000)/General_Model!$E$15)^0.25))*General_Model!$E$7/(General_Model!$E$4/1000)+1)+(4*(0.3164/((General_Model!$E$14*A253*(General_Model!$E$4/1000)/General_Model!$E$15)^0.25))*General_Model!$E$7/(General_Model!$E$4/1000)+2)*(General_Model!$E$26/A253))</f>
        <v>2.7441354397726249E-2</v>
      </c>
      <c r="C253" s="13">
        <f t="shared" si="3"/>
        <v>0</v>
      </c>
    </row>
    <row r="254" spans="1:3" x14ac:dyDescent="0.25">
      <c r="A254" s="11">
        <v>0.252</v>
      </c>
      <c r="B254" s="12">
        <f>(General_Model!$E$6/General_Model!$E$7)-1/(1+General_Model!$E$26/((1.2+0.2*(General_Model!$E$26/A254)+0.35*SQRT(9.80665*(General_Model!$E$4/1000))/A254)*A254))-(A254^2/(2*9.80665*General_Model!$E$7))*((4*(0.3164/((General_Model!$E$14*A254*(General_Model!$E$4/1000)/General_Model!$E$15)^0.25))*General_Model!$E$7/(General_Model!$E$4/1000)+1)+(4*(0.3164/((General_Model!$E$14*A254*(General_Model!$E$4/1000)/General_Model!$E$15)^0.25))*General_Model!$E$7/(General_Model!$E$4/1000)+2)*(General_Model!$E$26/A254))</f>
        <v>2.6867278425276662E-2</v>
      </c>
      <c r="C254" s="13">
        <f t="shared" si="3"/>
        <v>0</v>
      </c>
    </row>
    <row r="255" spans="1:3" x14ac:dyDescent="0.25">
      <c r="A255" s="11">
        <v>0.253</v>
      </c>
      <c r="B255" s="12">
        <f>(General_Model!$E$6/General_Model!$E$7)-1/(1+General_Model!$E$26/((1.2+0.2*(General_Model!$E$26/A255)+0.35*SQRT(9.80665*(General_Model!$E$4/1000))/A255)*A255))-(A255^2/(2*9.80665*General_Model!$E$7))*((4*(0.3164/((General_Model!$E$14*A255*(General_Model!$E$4/1000)/General_Model!$E$15)^0.25))*General_Model!$E$7/(General_Model!$E$4/1000)+1)+(4*(0.3164/((General_Model!$E$14*A255*(General_Model!$E$4/1000)/General_Model!$E$15)^0.25))*General_Model!$E$7/(General_Model!$E$4/1000)+2)*(General_Model!$E$26/A255))</f>
        <v>2.6293781874026895E-2</v>
      </c>
      <c r="C255" s="13">
        <f t="shared" si="3"/>
        <v>0</v>
      </c>
    </row>
    <row r="256" spans="1:3" x14ac:dyDescent="0.25">
      <c r="A256" s="11">
        <v>0.254</v>
      </c>
      <c r="B256" s="12">
        <f>(General_Model!$E$6/General_Model!$E$7)-1/(1+General_Model!$E$26/((1.2+0.2*(General_Model!$E$26/A256)+0.35*SQRT(9.80665*(General_Model!$E$4/1000))/A256)*A256))-(A256^2/(2*9.80665*General_Model!$E$7))*((4*(0.3164/((General_Model!$E$14*A256*(General_Model!$E$4/1000)/General_Model!$E$15)^0.25))*General_Model!$E$7/(General_Model!$E$4/1000)+1)+(4*(0.3164/((General_Model!$E$14*A256*(General_Model!$E$4/1000)/General_Model!$E$15)^0.25))*General_Model!$E$7/(General_Model!$E$4/1000)+2)*(General_Model!$E$26/A256))</f>
        <v>2.5720862660866817E-2</v>
      </c>
      <c r="C256" s="13">
        <f t="shared" si="3"/>
        <v>0</v>
      </c>
    </row>
    <row r="257" spans="1:3" x14ac:dyDescent="0.25">
      <c r="A257" s="11">
        <v>0.255</v>
      </c>
      <c r="B257" s="12">
        <f>(General_Model!$E$6/General_Model!$E$7)-1/(1+General_Model!$E$26/((1.2+0.2*(General_Model!$E$26/A257)+0.35*SQRT(9.80665*(General_Model!$E$4/1000))/A257)*A257))-(A257^2/(2*9.80665*General_Model!$E$7))*((4*(0.3164/((General_Model!$E$14*A257*(General_Model!$E$4/1000)/General_Model!$E$15)^0.25))*General_Model!$E$7/(General_Model!$E$4/1000)+1)+(4*(0.3164/((General_Model!$E$14*A257*(General_Model!$E$4/1000)/General_Model!$E$15)^0.25))*General_Model!$E$7/(General_Model!$E$4/1000)+2)*(General_Model!$E$26/A257))</f>
        <v>2.5148518710934022E-2</v>
      </c>
      <c r="C257" s="13">
        <f t="shared" si="3"/>
        <v>0</v>
      </c>
    </row>
    <row r="258" spans="1:3" x14ac:dyDescent="0.25">
      <c r="A258" s="11">
        <v>0.25600000000000001</v>
      </c>
      <c r="B258" s="12">
        <f>(General_Model!$E$6/General_Model!$E$7)-1/(1+General_Model!$E$26/((1.2+0.2*(General_Model!$E$26/A258)+0.35*SQRT(9.80665*(General_Model!$E$4/1000))/A258)*A258))-(A258^2/(2*9.80665*General_Model!$E$7))*((4*(0.3164/((General_Model!$E$14*A258*(General_Model!$E$4/1000)/General_Model!$E$15)^0.25))*General_Model!$E$7/(General_Model!$E$4/1000)+1)+(4*(0.3164/((General_Model!$E$14*A258*(General_Model!$E$4/1000)/General_Model!$E$15)^0.25))*General_Model!$E$7/(General_Model!$E$4/1000)+2)*(General_Model!$E$26/A258))</f>
        <v>2.4576747957566834E-2</v>
      </c>
      <c r="C258" s="13">
        <f t="shared" si="3"/>
        <v>0</v>
      </c>
    </row>
    <row r="259" spans="1:3" x14ac:dyDescent="0.25">
      <c r="A259" s="11">
        <v>0.25700000000000001</v>
      </c>
      <c r="B259" s="12">
        <f>(General_Model!$E$6/General_Model!$E$7)-1/(1+General_Model!$E$26/((1.2+0.2*(General_Model!$E$26/A259)+0.35*SQRT(9.80665*(General_Model!$E$4/1000))/A259)*A259))-(A259^2/(2*9.80665*General_Model!$E$7))*((4*(0.3164/((General_Model!$E$14*A259*(General_Model!$E$4/1000)/General_Model!$E$15)^0.25))*General_Model!$E$7/(General_Model!$E$4/1000)+1)+(4*(0.3164/((General_Model!$E$14*A259*(General_Model!$E$4/1000)/General_Model!$E$15)^0.25))*General_Model!$E$7/(General_Model!$E$4/1000)+2)*(General_Model!$E$26/A259))</f>
        <v>2.4005548342256648E-2</v>
      </c>
      <c r="C259" s="13">
        <f t="shared" ref="C259:C322" si="4">IF(B259*B260&lt;=0,1,0)</f>
        <v>0</v>
      </c>
    </row>
    <row r="260" spans="1:3" x14ac:dyDescent="0.25">
      <c r="A260" s="11">
        <v>0.25800000000000001</v>
      </c>
      <c r="B260" s="12">
        <f>(General_Model!$E$6/General_Model!$E$7)-1/(1+General_Model!$E$26/((1.2+0.2*(General_Model!$E$26/A260)+0.35*SQRT(9.80665*(General_Model!$E$4/1000))/A260)*A260))-(A260^2/(2*9.80665*General_Model!$E$7))*((4*(0.3164/((General_Model!$E$14*A260*(General_Model!$E$4/1000)/General_Model!$E$15)^0.25))*General_Model!$E$7/(General_Model!$E$4/1000)+1)+(4*(0.3164/((General_Model!$E$14*A260*(General_Model!$E$4/1000)/General_Model!$E$15)^0.25))*General_Model!$E$7/(General_Model!$E$4/1000)+2)*(General_Model!$E$26/A260))</f>
        <v>2.3434917814601823E-2</v>
      </c>
      <c r="C260" s="13">
        <f t="shared" si="4"/>
        <v>0</v>
      </c>
    </row>
    <row r="261" spans="1:3" x14ac:dyDescent="0.25">
      <c r="A261" s="11">
        <v>0.25900000000000001</v>
      </c>
      <c r="B261" s="12">
        <f>(General_Model!$E$6/General_Model!$E$7)-1/(1+General_Model!$E$26/((1.2+0.2*(General_Model!$E$26/A261)+0.35*SQRT(9.80665*(General_Model!$E$4/1000))/A261)*A261))-(A261^2/(2*9.80665*General_Model!$E$7))*((4*(0.3164/((General_Model!$E$14*A261*(General_Model!$E$4/1000)/General_Model!$E$15)^0.25))*General_Model!$E$7/(General_Model!$E$4/1000)+1)+(4*(0.3164/((General_Model!$E$14*A261*(General_Model!$E$4/1000)/General_Model!$E$15)^0.25))*General_Model!$E$7/(General_Model!$E$4/1000)+2)*(General_Model!$E$26/A261))</f>
        <v>2.286485433226125E-2</v>
      </c>
      <c r="C261" s="13">
        <f t="shared" si="4"/>
        <v>0</v>
      </c>
    </row>
    <row r="262" spans="1:3" x14ac:dyDescent="0.25">
      <c r="A262" s="11">
        <v>0.26</v>
      </c>
      <c r="B262" s="12">
        <f>(General_Model!$E$6/General_Model!$E$7)-1/(1+General_Model!$E$26/((1.2+0.2*(General_Model!$E$26/A262)+0.35*SQRT(9.80665*(General_Model!$E$4/1000))/A262)*A262))-(A262^2/(2*9.80665*General_Model!$E$7))*((4*(0.3164/((General_Model!$E$14*A262*(General_Model!$E$4/1000)/General_Model!$E$15)^0.25))*General_Model!$E$7/(General_Model!$E$4/1000)+1)+(4*(0.3164/((General_Model!$E$14*A262*(General_Model!$E$4/1000)/General_Model!$E$15)^0.25))*General_Model!$E$7/(General_Model!$E$4/1000)+2)*(General_Model!$E$26/A262))</f>
        <v>2.2295355860908715E-2</v>
      </c>
      <c r="C262" s="13">
        <f t="shared" si="4"/>
        <v>0</v>
      </c>
    </row>
    <row r="263" spans="1:3" x14ac:dyDescent="0.25">
      <c r="A263" s="11">
        <v>0.26100000000000001</v>
      </c>
      <c r="B263" s="12">
        <f>(General_Model!$E$6/General_Model!$E$7)-1/(1+General_Model!$E$26/((1.2+0.2*(General_Model!$E$26/A263)+0.35*SQRT(9.80665*(General_Model!$E$4/1000))/A263)*A263))-(A263^2/(2*9.80665*General_Model!$E$7))*((4*(0.3164/((General_Model!$E$14*A263*(General_Model!$E$4/1000)/General_Model!$E$15)^0.25))*General_Model!$E$7/(General_Model!$E$4/1000)+1)+(4*(0.3164/((General_Model!$E$14*A263*(General_Model!$E$4/1000)/General_Model!$E$15)^0.25))*General_Model!$E$7/(General_Model!$E$4/1000)+2)*(General_Model!$E$26/A263))</f>
        <v>2.1726420374187087E-2</v>
      </c>
      <c r="C263" s="13">
        <f t="shared" si="4"/>
        <v>0</v>
      </c>
    </row>
    <row r="264" spans="1:3" x14ac:dyDescent="0.25">
      <c r="A264" s="11">
        <v>0.26200000000000001</v>
      </c>
      <c r="B264" s="12">
        <f>(General_Model!$E$6/General_Model!$E$7)-1/(1+General_Model!$E$26/((1.2+0.2*(General_Model!$E$26/A264)+0.35*SQRT(9.80665*(General_Model!$E$4/1000))/A264)*A264))-(A264^2/(2*9.80665*General_Model!$E$7))*((4*(0.3164/((General_Model!$E$14*A264*(General_Model!$E$4/1000)/General_Model!$E$15)^0.25))*General_Model!$E$7/(General_Model!$E$4/1000)+1)+(4*(0.3164/((General_Model!$E$14*A264*(General_Model!$E$4/1000)/General_Model!$E$15)^0.25))*General_Model!$E$7/(General_Model!$E$4/1000)+2)*(General_Model!$E$26/A264))</f>
        <v>2.11580458536638E-2</v>
      </c>
      <c r="C264" s="13">
        <f t="shared" si="4"/>
        <v>0</v>
      </c>
    </row>
    <row r="265" spans="1:3" x14ac:dyDescent="0.25">
      <c r="A265" s="11">
        <v>0.26300000000000001</v>
      </c>
      <c r="B265" s="12">
        <f>(General_Model!$E$6/General_Model!$E$7)-1/(1+General_Model!$E$26/((1.2+0.2*(General_Model!$E$26/A265)+0.35*SQRT(9.80665*(General_Model!$E$4/1000))/A265)*A265))-(A265^2/(2*9.80665*General_Model!$E$7))*((4*(0.3164/((General_Model!$E$14*A265*(General_Model!$E$4/1000)/General_Model!$E$15)^0.25))*General_Model!$E$7/(General_Model!$E$4/1000)+1)+(4*(0.3164/((General_Model!$E$14*A265*(General_Model!$E$4/1000)/General_Model!$E$15)^0.25))*General_Model!$E$7/(General_Model!$E$4/1000)+2)*(General_Model!$E$26/A265))</f>
        <v>2.0590230288786628E-2</v>
      </c>
      <c r="C265" s="13">
        <f t="shared" si="4"/>
        <v>0</v>
      </c>
    </row>
    <row r="266" spans="1:3" x14ac:dyDescent="0.25">
      <c r="A266" s="11">
        <v>0.26400000000000001</v>
      </c>
      <c r="B266" s="12">
        <f>(General_Model!$E$6/General_Model!$E$7)-1/(1+General_Model!$E$26/((1.2+0.2*(General_Model!$E$26/A266)+0.35*SQRT(9.80665*(General_Model!$E$4/1000))/A266)*A266))-(A266^2/(2*9.80665*General_Model!$E$7))*((4*(0.3164/((General_Model!$E$14*A266*(General_Model!$E$4/1000)/General_Model!$E$15)^0.25))*General_Model!$E$7/(General_Model!$E$4/1000)+1)+(4*(0.3164/((General_Model!$E$14*A266*(General_Model!$E$4/1000)/General_Model!$E$15)^0.25))*General_Model!$E$7/(General_Model!$E$4/1000)+2)*(General_Model!$E$26/A266))</f>
        <v>2.0022971676838593E-2</v>
      </c>
      <c r="C266" s="13">
        <f t="shared" si="4"/>
        <v>0</v>
      </c>
    </row>
    <row r="267" spans="1:3" x14ac:dyDescent="0.25">
      <c r="A267" s="11">
        <v>0.26500000000000001</v>
      </c>
      <c r="B267" s="12">
        <f>(General_Model!$E$6/General_Model!$E$7)-1/(1+General_Model!$E$26/((1.2+0.2*(General_Model!$E$26/A267)+0.35*SQRT(9.80665*(General_Model!$E$4/1000))/A267)*A267))-(A267^2/(2*9.80665*General_Model!$E$7))*((4*(0.3164/((General_Model!$E$14*A267*(General_Model!$E$4/1000)/General_Model!$E$15)^0.25))*General_Model!$E$7/(General_Model!$E$4/1000)+1)+(4*(0.3164/((General_Model!$E$14*A267*(General_Model!$E$4/1000)/General_Model!$E$15)^0.25))*General_Model!$E$7/(General_Model!$E$4/1000)+2)*(General_Model!$E$26/A267))</f>
        <v>1.9456268022895212E-2</v>
      </c>
      <c r="C267" s="13">
        <f t="shared" si="4"/>
        <v>0</v>
      </c>
    </row>
    <row r="268" spans="1:3" x14ac:dyDescent="0.25">
      <c r="A268" s="11">
        <v>0.26600000000000001</v>
      </c>
      <c r="B268" s="12">
        <f>(General_Model!$E$6/General_Model!$E$7)-1/(1+General_Model!$E$26/((1.2+0.2*(General_Model!$E$26/A268)+0.35*SQRT(9.80665*(General_Model!$E$4/1000))/A268)*A268))-(A268^2/(2*9.80665*General_Model!$E$7))*((4*(0.3164/((General_Model!$E$14*A268*(General_Model!$E$4/1000)/General_Model!$E$15)^0.25))*General_Model!$E$7/(General_Model!$E$4/1000)+1)+(4*(0.3164/((General_Model!$E$14*A268*(General_Model!$E$4/1000)/General_Model!$E$15)^0.25))*General_Model!$E$7/(General_Model!$E$4/1000)+2)*(General_Model!$E$26/A268))</f>
        <v>1.8890117339780278E-2</v>
      </c>
      <c r="C268" s="13">
        <f t="shared" si="4"/>
        <v>0</v>
      </c>
    </row>
    <row r="269" spans="1:3" x14ac:dyDescent="0.25">
      <c r="A269" s="11">
        <v>0.26700000000000002</v>
      </c>
      <c r="B269" s="12">
        <f>(General_Model!$E$6/General_Model!$E$7)-1/(1+General_Model!$E$26/((1.2+0.2*(General_Model!$E$26/A269)+0.35*SQRT(9.80665*(General_Model!$E$4/1000))/A269)*A269))-(A269^2/(2*9.80665*General_Model!$E$7))*((4*(0.3164/((General_Model!$E$14*A269*(General_Model!$E$4/1000)/General_Model!$E$15)^0.25))*General_Model!$E$7/(General_Model!$E$4/1000)+1)+(4*(0.3164/((General_Model!$E$14*A269*(General_Model!$E$4/1000)/General_Model!$E$15)^0.25))*General_Model!$E$7/(General_Model!$E$4/1000)+2)*(General_Model!$E$26/A269))</f>
        <v>1.8324517648023425E-2</v>
      </c>
      <c r="C269" s="13">
        <f t="shared" si="4"/>
        <v>0</v>
      </c>
    </row>
    <row r="270" spans="1:3" x14ac:dyDescent="0.25">
      <c r="A270" s="11">
        <v>0.26800000000000002</v>
      </c>
      <c r="B270" s="12">
        <f>(General_Model!$E$6/General_Model!$E$7)-1/(1+General_Model!$E$26/((1.2+0.2*(General_Model!$E$26/A270)+0.35*SQRT(9.80665*(General_Model!$E$4/1000))/A270)*A270))-(A270^2/(2*9.80665*General_Model!$E$7))*((4*(0.3164/((General_Model!$E$14*A270*(General_Model!$E$4/1000)/General_Model!$E$15)^0.25))*General_Model!$E$7/(General_Model!$E$4/1000)+1)+(4*(0.3164/((General_Model!$E$14*A270*(General_Model!$E$4/1000)/General_Model!$E$15)^0.25))*General_Model!$E$7/(General_Model!$E$4/1000)+2)*(General_Model!$E$26/A270))</f>
        <v>1.7759466975817303E-2</v>
      </c>
      <c r="C270" s="13">
        <f t="shared" si="4"/>
        <v>0</v>
      </c>
    </row>
    <row r="271" spans="1:3" x14ac:dyDescent="0.25">
      <c r="A271" s="11">
        <v>0.26900000000000002</v>
      </c>
      <c r="B271" s="12">
        <f>(General_Model!$E$6/General_Model!$E$7)-1/(1+General_Model!$E$26/((1.2+0.2*(General_Model!$E$26/A271)+0.35*SQRT(9.80665*(General_Model!$E$4/1000))/A271)*A271))-(A271^2/(2*9.80665*General_Model!$E$7))*((4*(0.3164/((General_Model!$E$14*A271*(General_Model!$E$4/1000)/General_Model!$E$15)^0.25))*General_Model!$E$7/(General_Model!$E$4/1000)+1)+(4*(0.3164/((General_Model!$E$14*A271*(General_Model!$E$4/1000)/General_Model!$E$15)^0.25))*General_Model!$E$7/(General_Model!$E$4/1000)+2)*(General_Model!$E$26/A271))</f>
        <v>1.7194963358975766E-2</v>
      </c>
      <c r="C271" s="13">
        <f t="shared" si="4"/>
        <v>0</v>
      </c>
    </row>
    <row r="272" spans="1:3" x14ac:dyDescent="0.25">
      <c r="A272" s="11">
        <v>0.27</v>
      </c>
      <c r="B272" s="12">
        <f>(General_Model!$E$6/General_Model!$E$7)-1/(1+General_Model!$E$26/((1.2+0.2*(General_Model!$E$26/A272)+0.35*SQRT(9.80665*(General_Model!$E$4/1000))/A272)*A272))-(A272^2/(2*9.80665*General_Model!$E$7))*((4*(0.3164/((General_Model!$E$14*A272*(General_Model!$E$4/1000)/General_Model!$E$15)^0.25))*General_Model!$E$7/(General_Model!$E$4/1000)+1)+(4*(0.3164/((General_Model!$E$14*A272*(General_Model!$E$4/1000)/General_Model!$E$15)^0.25))*General_Model!$E$7/(General_Model!$E$4/1000)+2)*(General_Model!$E$26/A272))</f>
        <v>1.6631004840891056E-2</v>
      </c>
      <c r="C272" s="13">
        <f t="shared" si="4"/>
        <v>0</v>
      </c>
    </row>
    <row r="273" spans="1:3" x14ac:dyDescent="0.25">
      <c r="A273" s="11">
        <v>0.27100000000000002</v>
      </c>
      <c r="B273" s="12">
        <f>(General_Model!$E$6/General_Model!$E$7)-1/(1+General_Model!$E$26/((1.2+0.2*(General_Model!$E$26/A273)+0.35*SQRT(9.80665*(General_Model!$E$4/1000))/A273)*A273))-(A273^2/(2*9.80665*General_Model!$E$7))*((4*(0.3164/((General_Model!$E$14*A273*(General_Model!$E$4/1000)/General_Model!$E$15)^0.25))*General_Model!$E$7/(General_Model!$E$4/1000)+1)+(4*(0.3164/((General_Model!$E$14*A273*(General_Model!$E$4/1000)/General_Model!$E$15)^0.25))*General_Model!$E$7/(General_Model!$E$4/1000)+2)*(General_Model!$E$26/A273))</f>
        <v>1.6067589472493267E-2</v>
      </c>
      <c r="C273" s="13">
        <f t="shared" si="4"/>
        <v>0</v>
      </c>
    </row>
    <row r="274" spans="1:3" x14ac:dyDescent="0.25">
      <c r="A274" s="11">
        <v>0.27200000000000002</v>
      </c>
      <c r="B274" s="12">
        <f>(General_Model!$E$6/General_Model!$E$7)-1/(1+General_Model!$E$26/((1.2+0.2*(General_Model!$E$26/A274)+0.35*SQRT(9.80665*(General_Model!$E$4/1000))/A274)*A274))-(A274^2/(2*9.80665*General_Model!$E$7))*((4*(0.3164/((General_Model!$E$14*A274*(General_Model!$E$4/1000)/General_Model!$E$15)^0.25))*General_Model!$E$7/(General_Model!$E$4/1000)+1)+(4*(0.3164/((General_Model!$E$14*A274*(General_Model!$E$4/1000)/General_Model!$E$15)^0.25))*General_Model!$E$7/(General_Model!$E$4/1000)+2)*(General_Model!$E$26/A274))</f>
        <v>1.5504715312208643E-2</v>
      </c>
      <c r="C274" s="13">
        <f t="shared" si="4"/>
        <v>0</v>
      </c>
    </row>
    <row r="275" spans="1:3" x14ac:dyDescent="0.25">
      <c r="A275" s="11">
        <v>0.27300000000000002</v>
      </c>
      <c r="B275" s="12">
        <f>(General_Model!$E$6/General_Model!$E$7)-1/(1+General_Model!$E$26/((1.2+0.2*(General_Model!$E$26/A275)+0.35*SQRT(9.80665*(General_Model!$E$4/1000))/A275)*A275))-(A275^2/(2*9.80665*General_Model!$E$7))*((4*(0.3164/((General_Model!$E$14*A275*(General_Model!$E$4/1000)/General_Model!$E$15)^0.25))*General_Model!$E$7/(General_Model!$E$4/1000)+1)+(4*(0.3164/((General_Model!$E$14*A275*(General_Model!$E$4/1000)/General_Model!$E$15)^0.25))*General_Model!$E$7/(General_Model!$E$4/1000)+2)*(General_Model!$E$26/A275))</f>
        <v>1.4942380425919173E-2</v>
      </c>
      <c r="C275" s="13">
        <f t="shared" si="4"/>
        <v>0</v>
      </c>
    </row>
    <row r="276" spans="1:3" x14ac:dyDescent="0.25">
      <c r="A276" s="11">
        <v>0.27400000000000002</v>
      </c>
      <c r="B276" s="12">
        <f>(General_Model!$E$6/General_Model!$E$7)-1/(1+General_Model!$E$26/((1.2+0.2*(General_Model!$E$26/A276)+0.35*SQRT(9.80665*(General_Model!$E$4/1000))/A276)*A276))-(A276^2/(2*9.80665*General_Model!$E$7))*((4*(0.3164/((General_Model!$E$14*A276*(General_Model!$E$4/1000)/General_Model!$E$15)^0.25))*General_Model!$E$7/(General_Model!$E$4/1000)+1)+(4*(0.3164/((General_Model!$E$14*A276*(General_Model!$E$4/1000)/General_Model!$E$15)^0.25))*General_Model!$E$7/(General_Model!$E$4/1000)+2)*(General_Model!$E$26/A276))</f>
        <v>1.4380582886921442E-2</v>
      </c>
      <c r="C276" s="13">
        <f t="shared" si="4"/>
        <v>0</v>
      </c>
    </row>
    <row r="277" spans="1:3" x14ac:dyDescent="0.25">
      <c r="A277" s="11">
        <v>0.27500000000000002</v>
      </c>
      <c r="B277" s="12">
        <f>(General_Model!$E$6/General_Model!$E$7)-1/(1+General_Model!$E$26/((1.2+0.2*(General_Model!$E$26/A277)+0.35*SQRT(9.80665*(General_Model!$E$4/1000))/A277)*A277))-(A277^2/(2*9.80665*General_Model!$E$7))*((4*(0.3164/((General_Model!$E$14*A277*(General_Model!$E$4/1000)/General_Model!$E$15)^0.25))*General_Model!$E$7/(General_Model!$E$4/1000)+1)+(4*(0.3164/((General_Model!$E$14*A277*(General_Model!$E$4/1000)/General_Model!$E$15)^0.25))*General_Model!$E$7/(General_Model!$E$4/1000)+2)*(General_Model!$E$26/A277))</f>
        <v>1.3819320775887364E-2</v>
      </c>
      <c r="C277" s="13">
        <f t="shared" si="4"/>
        <v>0</v>
      </c>
    </row>
    <row r="278" spans="1:3" x14ac:dyDescent="0.25">
      <c r="A278" s="11">
        <v>0.27600000000000002</v>
      </c>
      <c r="B278" s="12">
        <f>(General_Model!$E$6/General_Model!$E$7)-1/(1+General_Model!$E$26/((1.2+0.2*(General_Model!$E$26/A278)+0.35*SQRT(9.80665*(General_Model!$E$4/1000))/A278)*A278))-(A278^2/(2*9.80665*General_Model!$E$7))*((4*(0.3164/((General_Model!$E$14*A278*(General_Model!$E$4/1000)/General_Model!$E$15)^0.25))*General_Model!$E$7/(General_Model!$E$4/1000)+1)+(4*(0.3164/((General_Model!$E$14*A278*(General_Model!$E$4/1000)/General_Model!$E$15)^0.25))*General_Model!$E$7/(General_Model!$E$4/1000)+2)*(General_Model!$E$26/A278))</f>
        <v>1.3258592180823932E-2</v>
      </c>
      <c r="C278" s="13">
        <f t="shared" si="4"/>
        <v>0</v>
      </c>
    </row>
    <row r="279" spans="1:3" x14ac:dyDescent="0.25">
      <c r="A279" s="11">
        <v>0.27700000000000002</v>
      </c>
      <c r="B279" s="12">
        <f>(General_Model!$E$6/General_Model!$E$7)-1/(1+General_Model!$E$26/((1.2+0.2*(General_Model!$E$26/A279)+0.35*SQRT(9.80665*(General_Model!$E$4/1000))/A279)*A279))-(A279^2/(2*9.80665*General_Model!$E$7))*((4*(0.3164/((General_Model!$E$14*A279*(General_Model!$E$4/1000)/General_Model!$E$15)^0.25))*General_Model!$E$7/(General_Model!$E$4/1000)+1)+(4*(0.3164/((General_Model!$E$14*A279*(General_Model!$E$4/1000)/General_Model!$E$15)^0.25))*General_Model!$E$7/(General_Model!$E$4/1000)+2)*(General_Model!$E$26/A279))</f>
        <v>1.2698395197033398E-2</v>
      </c>
      <c r="C279" s="13">
        <f t="shared" si="4"/>
        <v>0</v>
      </c>
    </row>
    <row r="280" spans="1:3" x14ac:dyDescent="0.25">
      <c r="A280" s="11">
        <v>0.27800000000000002</v>
      </c>
      <c r="B280" s="12">
        <f>(General_Model!$E$6/General_Model!$E$7)-1/(1+General_Model!$E$26/((1.2+0.2*(General_Model!$E$26/A280)+0.35*SQRT(9.80665*(General_Model!$E$4/1000))/A280)*A280))-(A280^2/(2*9.80665*General_Model!$E$7))*((4*(0.3164/((General_Model!$E$14*A280*(General_Model!$E$4/1000)/General_Model!$E$15)^0.25))*General_Model!$E$7/(General_Model!$E$4/1000)+1)+(4*(0.3164/((General_Model!$E$14*A280*(General_Model!$E$4/1000)/General_Model!$E$15)^0.25))*General_Model!$E$7/(General_Model!$E$4/1000)+2)*(General_Model!$E$26/A280))</f>
        <v>1.2138727927075273E-2</v>
      </c>
      <c r="C280" s="13">
        <f t="shared" si="4"/>
        <v>0</v>
      </c>
    </row>
    <row r="281" spans="1:3" x14ac:dyDescent="0.25">
      <c r="A281" s="11">
        <v>0.27900000000000003</v>
      </c>
      <c r="B281" s="12">
        <f>(General_Model!$E$6/General_Model!$E$7)-1/(1+General_Model!$E$26/((1.2+0.2*(General_Model!$E$26/A281)+0.35*SQRT(9.80665*(General_Model!$E$4/1000))/A281)*A281))-(A281^2/(2*9.80665*General_Model!$E$7))*((4*(0.3164/((General_Model!$E$14*A281*(General_Model!$E$4/1000)/General_Model!$E$15)^0.25))*General_Model!$E$7/(General_Model!$E$4/1000)+1)+(4*(0.3164/((General_Model!$E$14*A281*(General_Model!$E$4/1000)/General_Model!$E$15)^0.25))*General_Model!$E$7/(General_Model!$E$4/1000)+2)*(General_Model!$E$26/A281))</f>
        <v>1.1579588480726398E-2</v>
      </c>
      <c r="C281" s="13">
        <f t="shared" si="4"/>
        <v>0</v>
      </c>
    </row>
    <row r="282" spans="1:3" x14ac:dyDescent="0.25">
      <c r="A282" s="11">
        <v>0.28000000000000003</v>
      </c>
      <c r="B282" s="12">
        <f>(General_Model!$E$6/General_Model!$E$7)-1/(1+General_Model!$E$26/((1.2+0.2*(General_Model!$E$26/A282)+0.35*SQRT(9.80665*(General_Model!$E$4/1000))/A282)*A282))-(A282^2/(2*9.80665*General_Model!$E$7))*((4*(0.3164/((General_Model!$E$14*A282*(General_Model!$E$4/1000)/General_Model!$E$15)^0.25))*General_Model!$E$7/(General_Model!$E$4/1000)+1)+(4*(0.3164/((General_Model!$E$14*A282*(General_Model!$E$4/1000)/General_Model!$E$15)^0.25))*General_Model!$E$7/(General_Model!$E$4/1000)+2)*(General_Model!$E$26/A282))</f>
        <v>1.1020974974943018E-2</v>
      </c>
      <c r="C282" s="13">
        <f t="shared" si="4"/>
        <v>0</v>
      </c>
    </row>
    <row r="283" spans="1:3" x14ac:dyDescent="0.25">
      <c r="A283" s="11">
        <v>0.28100000000000003</v>
      </c>
      <c r="B283" s="12">
        <f>(General_Model!$E$6/General_Model!$E$7)-1/(1+General_Model!$E$26/((1.2+0.2*(General_Model!$E$26/A283)+0.35*SQRT(9.80665*(General_Model!$E$4/1000))/A283)*A283))-(A283^2/(2*9.80665*General_Model!$E$7))*((4*(0.3164/((General_Model!$E$14*A283*(General_Model!$E$4/1000)/General_Model!$E$15)^0.25))*General_Model!$E$7/(General_Model!$E$4/1000)+1)+(4*(0.3164/((General_Model!$E$14*A283*(General_Model!$E$4/1000)/General_Model!$E$15)^0.25))*General_Model!$E$7/(General_Model!$E$4/1000)+2)*(General_Model!$E$26/A283))</f>
        <v>1.0462885533822193E-2</v>
      </c>
      <c r="C283" s="13">
        <f t="shared" si="4"/>
        <v>0</v>
      </c>
    </row>
    <row r="284" spans="1:3" x14ac:dyDescent="0.25">
      <c r="A284" s="11">
        <v>0.28199999999999997</v>
      </c>
      <c r="B284" s="12">
        <f>(General_Model!$E$6/General_Model!$E$7)-1/(1+General_Model!$E$26/((1.2+0.2*(General_Model!$E$26/A284)+0.35*SQRT(9.80665*(General_Model!$E$4/1000))/A284)*A284))-(A284^2/(2*9.80665*General_Model!$E$7))*((4*(0.3164/((General_Model!$E$14*A284*(General_Model!$E$4/1000)/General_Model!$E$15)^0.25))*General_Model!$E$7/(General_Model!$E$4/1000)+1)+(4*(0.3164/((General_Model!$E$14*A284*(General_Model!$E$4/1000)/General_Model!$E$15)^0.25))*General_Model!$E$7/(General_Model!$E$4/1000)+2)*(General_Model!$E$26/A284))</f>
        <v>9.9053182885649252E-3</v>
      </c>
      <c r="C284" s="13">
        <f t="shared" si="4"/>
        <v>0</v>
      </c>
    </row>
    <row r="285" spans="1:3" x14ac:dyDescent="0.25">
      <c r="A285" s="11">
        <v>0.28299999999999997</v>
      </c>
      <c r="B285" s="12">
        <f>(General_Model!$E$6/General_Model!$E$7)-1/(1+General_Model!$E$26/((1.2+0.2*(General_Model!$E$26/A285)+0.35*SQRT(9.80665*(General_Model!$E$4/1000))/A285)*A285))-(A285^2/(2*9.80665*General_Model!$E$7))*((4*(0.3164/((General_Model!$E$14*A285*(General_Model!$E$4/1000)/General_Model!$E$15)^0.25))*General_Model!$E$7/(General_Model!$E$4/1000)+1)+(4*(0.3164/((General_Model!$E$14*A285*(General_Model!$E$4/1000)/General_Model!$E$15)^0.25))*General_Model!$E$7/(General_Model!$E$4/1000)+2)*(General_Model!$E$26/A285))</f>
        <v>9.3482713774373366E-3</v>
      </c>
      <c r="C285" s="13">
        <f t="shared" si="4"/>
        <v>0</v>
      </c>
    </row>
    <row r="286" spans="1:3" x14ac:dyDescent="0.25">
      <c r="A286" s="11">
        <v>0.28399999999999997</v>
      </c>
      <c r="B286" s="12">
        <f>(General_Model!$E$6/General_Model!$E$7)-1/(1+General_Model!$E$26/((1.2+0.2*(General_Model!$E$26/A286)+0.35*SQRT(9.80665*(General_Model!$E$4/1000))/A286)*A286))-(A286^2/(2*9.80665*General_Model!$E$7))*((4*(0.3164/((General_Model!$E$14*A286*(General_Model!$E$4/1000)/General_Model!$E$15)^0.25))*General_Model!$E$7/(General_Model!$E$4/1000)+1)+(4*(0.3164/((General_Model!$E$14*A286*(General_Model!$E$4/1000)/General_Model!$E$15)^0.25))*General_Model!$E$7/(General_Model!$E$4/1000)+2)*(General_Model!$E$26/A286))</f>
        <v>8.791742945734031E-3</v>
      </c>
      <c r="C286" s="13">
        <f t="shared" si="4"/>
        <v>0</v>
      </c>
    </row>
    <row r="287" spans="1:3" x14ac:dyDescent="0.25">
      <c r="A287" s="11">
        <v>0.28499999999999998</v>
      </c>
      <c r="B287" s="12">
        <f>(General_Model!$E$6/General_Model!$E$7)-1/(1+General_Model!$E$26/((1.2+0.2*(General_Model!$E$26/A287)+0.35*SQRT(9.80665*(General_Model!$E$4/1000))/A287)*A287))-(A287^2/(2*9.80665*General_Model!$E$7))*((4*(0.3164/((General_Model!$E$14*A287*(General_Model!$E$4/1000)/General_Model!$E$15)^0.25))*General_Model!$E$7/(General_Model!$E$4/1000)+1)+(4*(0.3164/((General_Model!$E$14*A287*(General_Model!$E$4/1000)/General_Model!$E$15)^0.25))*General_Model!$E$7/(General_Model!$E$4/1000)+2)*(General_Model!$E$26/A287))</f>
        <v>8.2357311457414359E-3</v>
      </c>
      <c r="C287" s="13">
        <f t="shared" si="4"/>
        <v>0</v>
      </c>
    </row>
    <row r="288" spans="1:3" x14ac:dyDescent="0.25">
      <c r="A288" s="11">
        <v>0.28599999999999998</v>
      </c>
      <c r="B288" s="12">
        <f>(General_Model!$E$6/General_Model!$E$7)-1/(1+General_Model!$E$26/((1.2+0.2*(General_Model!$E$26/A288)+0.35*SQRT(9.80665*(General_Model!$E$4/1000))/A288)*A288))-(A288^2/(2*9.80665*General_Model!$E$7))*((4*(0.3164/((General_Model!$E$14*A288*(General_Model!$E$4/1000)/General_Model!$E$15)^0.25))*General_Model!$E$7/(General_Model!$E$4/1000)+1)+(4*(0.3164/((General_Model!$E$14*A288*(General_Model!$E$4/1000)/General_Model!$E$15)^0.25))*General_Model!$E$7/(General_Model!$E$4/1000)+2)*(General_Model!$E$26/A288))</f>
        <v>7.6802341367004992E-3</v>
      </c>
      <c r="C288" s="13">
        <f t="shared" si="4"/>
        <v>0</v>
      </c>
    </row>
    <row r="289" spans="1:3" x14ac:dyDescent="0.25">
      <c r="A289" s="11">
        <v>0.28699999999999998</v>
      </c>
      <c r="B289" s="12">
        <f>(General_Model!$E$6/General_Model!$E$7)-1/(1+General_Model!$E$26/((1.2+0.2*(General_Model!$E$26/A289)+0.35*SQRT(9.80665*(General_Model!$E$4/1000))/A289)*A289))-(A289^2/(2*9.80665*General_Model!$E$7))*((4*(0.3164/((General_Model!$E$14*A289*(General_Model!$E$4/1000)/General_Model!$E$15)^0.25))*General_Model!$E$7/(General_Model!$E$4/1000)+1)+(4*(0.3164/((General_Model!$E$14*A289*(General_Model!$E$4/1000)/General_Model!$E$15)^0.25))*General_Model!$E$7/(General_Model!$E$4/1000)+2)*(General_Model!$E$26/A289))</f>
        <v>7.1252500847710717E-3</v>
      </c>
      <c r="C289" s="13">
        <f t="shared" si="4"/>
        <v>0</v>
      </c>
    </row>
    <row r="290" spans="1:3" x14ac:dyDescent="0.25">
      <c r="A290" s="11">
        <v>0.28799999999999998</v>
      </c>
      <c r="B290" s="12">
        <f>(General_Model!$E$6/General_Model!$E$7)-1/(1+General_Model!$E$26/((1.2+0.2*(General_Model!$E$26/A290)+0.35*SQRT(9.80665*(General_Model!$E$4/1000))/A290)*A290))-(A290^2/(2*9.80665*General_Model!$E$7))*((4*(0.3164/((General_Model!$E$14*A290*(General_Model!$E$4/1000)/General_Model!$E$15)^0.25))*General_Model!$E$7/(General_Model!$E$4/1000)+1)+(4*(0.3164/((General_Model!$E$14*A290*(General_Model!$E$4/1000)/General_Model!$E$15)^0.25))*General_Model!$E$7/(General_Model!$E$4/1000)+2)*(General_Model!$E$26/A290))</f>
        <v>6.5707771629948605E-3</v>
      </c>
      <c r="C290" s="13">
        <f t="shared" si="4"/>
        <v>0</v>
      </c>
    </row>
    <row r="291" spans="1:3" x14ac:dyDescent="0.25">
      <c r="A291" s="11">
        <v>0.28899999999999998</v>
      </c>
      <c r="B291" s="12">
        <f>(General_Model!$E$6/General_Model!$E$7)-1/(1+General_Model!$E$26/((1.2+0.2*(General_Model!$E$26/A291)+0.35*SQRT(9.80665*(General_Model!$E$4/1000))/A291)*A291))-(A291^2/(2*9.80665*General_Model!$E$7))*((4*(0.3164/((General_Model!$E$14*A291*(General_Model!$E$4/1000)/General_Model!$E$15)^0.25))*General_Model!$E$7/(General_Model!$E$4/1000)+1)+(4*(0.3164/((General_Model!$E$14*A291*(General_Model!$E$4/1000)/General_Model!$E$15)^0.25))*General_Model!$E$7/(General_Model!$E$4/1000)+2)*(General_Model!$E$26/A291))</f>
        <v>6.0168135512604845E-3</v>
      </c>
      <c r="C291" s="13">
        <f t="shared" si="4"/>
        <v>0</v>
      </c>
    </row>
    <row r="292" spans="1:3" x14ac:dyDescent="0.25">
      <c r="A292" s="11">
        <v>0.28999999999999998</v>
      </c>
      <c r="B292" s="12">
        <f>(General_Model!$E$6/General_Model!$E$7)-1/(1+General_Model!$E$26/((1.2+0.2*(General_Model!$E$26/A292)+0.35*SQRT(9.80665*(General_Model!$E$4/1000))/A292)*A292))-(A292^2/(2*9.80665*General_Model!$E$7))*((4*(0.3164/((General_Model!$E$14*A292*(General_Model!$E$4/1000)/General_Model!$E$15)^0.25))*General_Model!$E$7/(General_Model!$E$4/1000)+1)+(4*(0.3164/((General_Model!$E$14*A292*(General_Model!$E$4/1000)/General_Model!$E$15)^0.25))*General_Model!$E$7/(General_Model!$E$4/1000)+2)*(General_Model!$E$26/A292))</f>
        <v>5.4633574362678503E-3</v>
      </c>
      <c r="C292" s="13">
        <f t="shared" si="4"/>
        <v>0</v>
      </c>
    </row>
    <row r="293" spans="1:3" x14ac:dyDescent="0.25">
      <c r="A293" s="11">
        <v>0.29099999999999998</v>
      </c>
      <c r="B293" s="12">
        <f>(General_Model!$E$6/General_Model!$E$7)-1/(1+General_Model!$E$26/((1.2+0.2*(General_Model!$E$26/A293)+0.35*SQRT(9.80665*(General_Model!$E$4/1000))/A293)*A293))-(A293^2/(2*9.80665*General_Model!$E$7))*((4*(0.3164/((General_Model!$E$14*A293*(General_Model!$E$4/1000)/General_Model!$E$15)^0.25))*General_Model!$E$7/(General_Model!$E$4/1000)+1)+(4*(0.3164/((General_Model!$E$14*A293*(General_Model!$E$4/1000)/General_Model!$E$15)^0.25))*General_Model!$E$7/(General_Model!$E$4/1000)+2)*(General_Model!$E$26/A293))</f>
        <v>4.9104070114922016E-3</v>
      </c>
      <c r="C293" s="13">
        <f t="shared" si="4"/>
        <v>0</v>
      </c>
    </row>
    <row r="294" spans="1:3" x14ac:dyDescent="0.25">
      <c r="A294" s="11">
        <v>0.29199999999999998</v>
      </c>
      <c r="B294" s="12">
        <f>(General_Model!$E$6/General_Model!$E$7)-1/(1+General_Model!$E$26/((1.2+0.2*(General_Model!$E$26/A294)+0.35*SQRT(9.80665*(General_Model!$E$4/1000))/A294)*A294))-(A294^2/(2*9.80665*General_Model!$E$7))*((4*(0.3164/((General_Model!$E$14*A294*(General_Model!$E$4/1000)/General_Model!$E$15)^0.25))*General_Model!$E$7/(General_Model!$E$4/1000)+1)+(4*(0.3164/((General_Model!$E$14*A294*(General_Model!$E$4/1000)/General_Model!$E$15)^0.25))*General_Model!$E$7/(General_Model!$E$4/1000)+2)*(General_Model!$E$26/A294))</f>
        <v>4.3579604771499733E-3</v>
      </c>
      <c r="C294" s="13">
        <f t="shared" si="4"/>
        <v>0</v>
      </c>
    </row>
    <row r="295" spans="1:3" x14ac:dyDescent="0.25">
      <c r="A295" s="11">
        <v>0.29299999999999998</v>
      </c>
      <c r="B295" s="12">
        <f>(General_Model!$E$6/General_Model!$E$7)-1/(1+General_Model!$E$26/((1.2+0.2*(General_Model!$E$26/A295)+0.35*SQRT(9.80665*(General_Model!$E$4/1000))/A295)*A295))-(A295^2/(2*9.80665*General_Model!$E$7))*((4*(0.3164/((General_Model!$E$14*A295*(General_Model!$E$4/1000)/General_Model!$E$15)^0.25))*General_Model!$E$7/(General_Model!$E$4/1000)+1)+(4*(0.3164/((General_Model!$E$14*A295*(General_Model!$E$4/1000)/General_Model!$E$15)^0.25))*General_Model!$E$7/(General_Model!$E$4/1000)+2)*(General_Model!$E$26/A295))</f>
        <v>3.8060160401638884E-3</v>
      </c>
      <c r="C295" s="13">
        <f t="shared" si="4"/>
        <v>0</v>
      </c>
    </row>
    <row r="296" spans="1:3" x14ac:dyDescent="0.25">
      <c r="A296" s="11">
        <v>0.29399999999999998</v>
      </c>
      <c r="B296" s="12">
        <f>(General_Model!$E$6/General_Model!$E$7)-1/(1+General_Model!$E$26/((1.2+0.2*(General_Model!$E$26/A296)+0.35*SQRT(9.80665*(General_Model!$E$4/1000))/A296)*A296))-(A296^2/(2*9.80665*General_Model!$E$7))*((4*(0.3164/((General_Model!$E$14*A296*(General_Model!$E$4/1000)/General_Model!$E$15)^0.25))*General_Model!$E$7/(General_Model!$E$4/1000)+1)+(4*(0.3164/((General_Model!$E$14*A296*(General_Model!$E$4/1000)/General_Model!$E$15)^0.25))*General_Model!$E$7/(General_Model!$E$4/1000)+2)*(General_Model!$E$26/A296))</f>
        <v>3.2545719141279447E-3</v>
      </c>
      <c r="C296" s="13">
        <f t="shared" si="4"/>
        <v>0</v>
      </c>
    </row>
    <row r="297" spans="1:3" x14ac:dyDescent="0.25">
      <c r="A297" s="11">
        <v>0.29499999999999998</v>
      </c>
      <c r="B297" s="12">
        <f>(General_Model!$E$6/General_Model!$E$7)-1/(1+General_Model!$E$26/((1.2+0.2*(General_Model!$E$26/A297)+0.35*SQRT(9.80665*(General_Model!$E$4/1000))/A297)*A297))-(A297^2/(2*9.80665*General_Model!$E$7))*((4*(0.3164/((General_Model!$E$14*A297*(General_Model!$E$4/1000)/General_Model!$E$15)^0.25))*General_Model!$E$7/(General_Model!$E$4/1000)+1)+(4*(0.3164/((General_Model!$E$14*A297*(General_Model!$E$4/1000)/General_Model!$E$15)^0.25))*General_Model!$E$7/(General_Model!$E$4/1000)+2)*(General_Model!$E$26/A297))</f>
        <v>2.70362631927442E-3</v>
      </c>
      <c r="C297" s="13">
        <f t="shared" si="4"/>
        <v>0</v>
      </c>
    </row>
    <row r="298" spans="1:3" x14ac:dyDescent="0.25">
      <c r="A298" s="11">
        <v>0.29599999999999999</v>
      </c>
      <c r="B298" s="12">
        <f>(General_Model!$E$6/General_Model!$E$7)-1/(1+General_Model!$E$26/((1.2+0.2*(General_Model!$E$26/A298)+0.35*SQRT(9.80665*(General_Model!$E$4/1000))/A298)*A298))-(A298^2/(2*9.80665*General_Model!$E$7))*((4*(0.3164/((General_Model!$E$14*A298*(General_Model!$E$4/1000)/General_Model!$E$15)^0.25))*General_Model!$E$7/(General_Model!$E$4/1000)+1)+(4*(0.3164/((General_Model!$E$14*A298*(General_Model!$E$4/1000)/General_Model!$E$15)^0.25))*General_Model!$E$7/(General_Model!$E$4/1000)+2)*(General_Model!$E$26/A298))</f>
        <v>2.1531774824384217E-3</v>
      </c>
      <c r="C298" s="13">
        <f t="shared" si="4"/>
        <v>0</v>
      </c>
    </row>
    <row r="299" spans="1:3" x14ac:dyDescent="0.25">
      <c r="A299" s="11">
        <v>0.29699999999999999</v>
      </c>
      <c r="B299" s="12">
        <f>(General_Model!$E$6/General_Model!$E$7)-1/(1+General_Model!$E$26/((1.2+0.2*(General_Model!$E$26/A299)+0.35*SQRT(9.80665*(General_Model!$E$4/1000))/A299)*A299))-(A299^2/(2*9.80665*General_Model!$E$7))*((4*(0.3164/((General_Model!$E$14*A299*(General_Model!$E$4/1000)/General_Model!$E$15)^0.25))*General_Model!$E$7/(General_Model!$E$4/1000)+1)+(4*(0.3164/((General_Model!$E$14*A299*(General_Model!$E$4/1000)/General_Model!$E$15)^0.25))*General_Model!$E$7/(General_Model!$E$4/1000)+2)*(General_Model!$E$26/A299))</f>
        <v>1.6032236370258149E-3</v>
      </c>
      <c r="C299" s="13">
        <f t="shared" si="4"/>
        <v>0</v>
      </c>
    </row>
    <row r="300" spans="1:3" x14ac:dyDescent="0.25">
      <c r="A300" s="11">
        <v>0.29799999999999999</v>
      </c>
      <c r="B300" s="12">
        <f>(General_Model!$E$6/General_Model!$E$7)-1/(1+General_Model!$E$26/((1.2+0.2*(General_Model!$E$26/A300)+0.35*SQRT(9.80665*(General_Model!$E$4/1000))/A300)*A300))-(A300^2/(2*9.80665*General_Model!$E$7))*((4*(0.3164/((General_Model!$E$14*A300*(General_Model!$E$4/1000)/General_Model!$E$15)^0.25))*General_Model!$E$7/(General_Model!$E$4/1000)+1)+(4*(0.3164/((General_Model!$E$14*A300*(General_Model!$E$4/1000)/General_Model!$E$15)^0.25))*General_Model!$E$7/(General_Model!$E$4/1000)+2)*(General_Model!$E$26/A300))</f>
        <v>1.0537630229787778E-3</v>
      </c>
      <c r="C300" s="13">
        <f t="shared" si="4"/>
        <v>0</v>
      </c>
    </row>
    <row r="301" spans="1:3" x14ac:dyDescent="0.25">
      <c r="A301" s="11">
        <v>0.29899999999999999</v>
      </c>
      <c r="B301" s="12">
        <f>(General_Model!$E$6/General_Model!$E$7)-1/(1+General_Model!$E$26/((1.2+0.2*(General_Model!$E$26/A301)+0.35*SQRT(9.80665*(General_Model!$E$4/1000))/A301)*A301))-(A301^2/(2*9.80665*General_Model!$E$7))*((4*(0.3164/((General_Model!$E$14*A301*(General_Model!$E$4/1000)/General_Model!$E$15)^0.25))*General_Model!$E$7/(General_Model!$E$4/1000)+1)+(4*(0.3164/((General_Model!$E$14*A301*(General_Model!$E$4/1000)/General_Model!$E$15)^0.25))*General_Model!$E$7/(General_Model!$E$4/1000)+2)*(General_Model!$E$26/A301))</f>
        <v>5.0479388674267572E-4</v>
      </c>
      <c r="C301" s="13">
        <f t="shared" si="4"/>
        <v>1</v>
      </c>
    </row>
    <row r="302" spans="1:3" x14ac:dyDescent="0.25">
      <c r="A302" s="11">
        <v>0.3</v>
      </c>
      <c r="B302" s="12">
        <f>(General_Model!$E$6/General_Model!$E$7)-1/(1+General_Model!$E$26/((1.2+0.2*(General_Model!$E$26/A302)+0.35*SQRT(9.80665*(General_Model!$E$4/1000))/A302)*A302))-(A302^2/(2*9.80665*General_Model!$E$7))*((4*(0.3164/((General_Model!$E$14*A302*(General_Model!$E$4/1000)/General_Model!$E$15)^0.25))*General_Model!$E$7/(General_Model!$E$4/1000)+1)+(4*(0.3164/((General_Model!$E$14*A302*(General_Model!$E$4/1000)/General_Model!$E$15)^0.25))*General_Model!$E$7/(General_Model!$E$4/1000)+2)*(General_Model!$E$26/A302))</f>
        <v>-4.3685518766156672E-5</v>
      </c>
      <c r="C302" s="13">
        <f t="shared" si="4"/>
        <v>0</v>
      </c>
    </row>
    <row r="303" spans="1:3" x14ac:dyDescent="0.25">
      <c r="A303" s="11">
        <v>0.30099999999999999</v>
      </c>
      <c r="B303" s="12">
        <f>(General_Model!$E$6/General_Model!$E$7)-1/(1+General_Model!$E$26/((1.2+0.2*(General_Model!$E$26/A303)+0.35*SQRT(9.80665*(General_Model!$E$4/1000))/A303)*A303))-(A303^2/(2*9.80665*General_Model!$E$7))*((4*(0.3164/((General_Model!$E$14*A303*(General_Model!$E$4/1000)/General_Model!$E$15)^0.25))*General_Model!$E$7/(General_Model!$E$4/1000)+1)+(4*(0.3164/((General_Model!$E$14*A303*(General_Model!$E$4/1000)/General_Model!$E$15)^0.25))*General_Model!$E$7/(General_Model!$E$4/1000)+2)*(General_Model!$E$26/A303))</f>
        <v>-5.9167693419348577E-4</v>
      </c>
      <c r="C303" s="13">
        <f t="shared" si="4"/>
        <v>0</v>
      </c>
    </row>
    <row r="304" spans="1:3" x14ac:dyDescent="0.25">
      <c r="A304" s="11">
        <v>0.30199999999999999</v>
      </c>
      <c r="B304" s="12">
        <f>(General_Model!$E$6/General_Model!$E$7)-1/(1+General_Model!$E$26/((1.2+0.2*(General_Model!$E$26/A304)+0.35*SQRT(9.80665*(General_Model!$E$4/1000))/A304)*A304))-(A304^2/(2*9.80665*General_Model!$E$7))*((4*(0.3164/((General_Model!$E$14*A304*(General_Model!$E$4/1000)/General_Model!$E$15)^0.25))*General_Model!$E$7/(General_Model!$E$4/1000)+1)+(4*(0.3164/((General_Model!$E$14*A304*(General_Model!$E$4/1000)/General_Model!$E$15)^0.25))*General_Model!$E$7/(General_Model!$E$4/1000)+2)*(General_Model!$E$26/A304))</f>
        <v>-1.1391820937799516E-3</v>
      </c>
      <c r="C304" s="13">
        <f t="shared" si="4"/>
        <v>0</v>
      </c>
    </row>
    <row r="305" spans="1:3" x14ac:dyDescent="0.25">
      <c r="A305" s="11">
        <v>0.30299999999999999</v>
      </c>
      <c r="B305" s="12">
        <f>(General_Model!$E$6/General_Model!$E$7)-1/(1+General_Model!$E$26/((1.2+0.2*(General_Model!$E$26/A305)+0.35*SQRT(9.80665*(General_Model!$E$4/1000))/A305)*A305))-(A305^2/(2*9.80665*General_Model!$E$7))*((4*(0.3164/((General_Model!$E$14*A305*(General_Model!$E$4/1000)/General_Model!$E$15)^0.25))*General_Model!$E$7/(General_Model!$E$4/1000)+1)+(4*(0.3164/((General_Model!$E$14*A305*(General_Model!$E$4/1000)/General_Model!$E$15)^0.25))*General_Model!$E$7/(General_Model!$E$4/1000)+2)*(General_Model!$E$26/A305))</f>
        <v>-1.6862027253925146E-3</v>
      </c>
      <c r="C305" s="13">
        <f t="shared" si="4"/>
        <v>0</v>
      </c>
    </row>
    <row r="306" spans="1:3" x14ac:dyDescent="0.25">
      <c r="A306" s="11">
        <v>0.30399999999999999</v>
      </c>
      <c r="B306" s="12">
        <f>(General_Model!$E$6/General_Model!$E$7)-1/(1+General_Model!$E$26/((1.2+0.2*(General_Model!$E$26/A306)+0.35*SQRT(9.80665*(General_Model!$E$4/1000))/A306)*A306))-(A306^2/(2*9.80665*General_Model!$E$7))*((4*(0.3164/((General_Model!$E$14*A306*(General_Model!$E$4/1000)/General_Model!$E$15)^0.25))*General_Model!$E$7/(General_Model!$E$4/1000)+1)+(4*(0.3164/((General_Model!$E$14*A306*(General_Model!$E$4/1000)/General_Model!$E$15)^0.25))*General_Model!$E$7/(General_Model!$E$4/1000)+2)*(General_Model!$E$26/A306))</f>
        <v>-2.2327405505570899E-3</v>
      </c>
      <c r="C306" s="13">
        <f t="shared" si="4"/>
        <v>0</v>
      </c>
    </row>
    <row r="307" spans="1:3" x14ac:dyDescent="0.25">
      <c r="A307" s="11">
        <v>0.30499999999999999</v>
      </c>
      <c r="B307" s="12">
        <f>(General_Model!$E$6/General_Model!$E$7)-1/(1+General_Model!$E$26/((1.2+0.2*(General_Model!$E$26/A307)+0.35*SQRT(9.80665*(General_Model!$E$4/1000))/A307)*A307))-(A307^2/(2*9.80665*General_Model!$E$7))*((4*(0.3164/((General_Model!$E$14*A307*(General_Model!$E$4/1000)/General_Model!$E$15)^0.25))*General_Model!$E$7/(General_Model!$E$4/1000)+1)+(4*(0.3164/((General_Model!$E$14*A307*(General_Model!$E$4/1000)/General_Model!$E$15)^0.25))*General_Model!$E$7/(General_Model!$E$4/1000)+2)*(General_Model!$E$26/A307))</f>
        <v>-2.7787972844895495E-3</v>
      </c>
      <c r="C307" s="13">
        <f t="shared" si="4"/>
        <v>0</v>
      </c>
    </row>
    <row r="308" spans="1:3" x14ac:dyDescent="0.25">
      <c r="A308" s="11">
        <v>0.30599999999999999</v>
      </c>
      <c r="B308" s="12">
        <f>(General_Model!$E$6/General_Model!$E$7)-1/(1+General_Model!$E$26/((1.2+0.2*(General_Model!$E$26/A308)+0.35*SQRT(9.80665*(General_Model!$E$4/1000))/A308)*A308))-(A308^2/(2*9.80665*General_Model!$E$7))*((4*(0.3164/((General_Model!$E$14*A308*(General_Model!$E$4/1000)/General_Model!$E$15)^0.25))*General_Model!$E$7/(General_Model!$E$4/1000)+1)+(4*(0.3164/((General_Model!$E$14*A308*(General_Model!$E$4/1000)/General_Model!$E$15)^0.25))*General_Model!$E$7/(General_Model!$E$4/1000)+2)*(General_Model!$E$26/A308))</f>
        <v>-3.3243746361279261E-3</v>
      </c>
      <c r="C308" s="13">
        <f t="shared" si="4"/>
        <v>0</v>
      </c>
    </row>
    <row r="309" spans="1:3" x14ac:dyDescent="0.25">
      <c r="A309" s="11">
        <v>0.307</v>
      </c>
      <c r="B309" s="12">
        <f>(General_Model!$E$6/General_Model!$E$7)-1/(1+General_Model!$E$26/((1.2+0.2*(General_Model!$E$26/A309)+0.35*SQRT(9.80665*(General_Model!$E$4/1000))/A309)*A309))-(A309^2/(2*9.80665*General_Model!$E$7))*((4*(0.3164/((General_Model!$E$14*A309*(General_Model!$E$4/1000)/General_Model!$E$15)^0.25))*General_Model!$E$7/(General_Model!$E$4/1000)+1)+(4*(0.3164/((General_Model!$E$14*A309*(General_Model!$E$4/1000)/General_Model!$E$15)^0.25))*General_Model!$E$7/(General_Model!$E$4/1000)+2)*(General_Model!$E$26/A309))</f>
        <v>-3.8694743081629027E-3</v>
      </c>
      <c r="C309" s="13">
        <f t="shared" si="4"/>
        <v>0</v>
      </c>
    </row>
    <row r="310" spans="1:3" x14ac:dyDescent="0.25">
      <c r="A310" s="11">
        <v>0.308</v>
      </c>
      <c r="B310" s="12">
        <f>(General_Model!$E$6/General_Model!$E$7)-1/(1+General_Model!$E$26/((1.2+0.2*(General_Model!$E$26/A310)+0.35*SQRT(9.80665*(General_Model!$E$4/1000))/A310)*A310))-(A310^2/(2*9.80665*General_Model!$E$7))*((4*(0.3164/((General_Model!$E$14*A310*(General_Model!$E$4/1000)/General_Model!$E$15)^0.25))*General_Model!$E$7/(General_Model!$E$4/1000)+1)+(4*(0.3164/((General_Model!$E$14*A310*(General_Model!$E$4/1000)/General_Model!$E$15)^0.25))*General_Model!$E$7/(General_Model!$E$4/1000)+2)*(General_Model!$E$26/A310))</f>
        <v>-4.4140979970697519E-3</v>
      </c>
      <c r="C310" s="13">
        <f t="shared" si="4"/>
        <v>0</v>
      </c>
    </row>
    <row r="311" spans="1:3" x14ac:dyDescent="0.25">
      <c r="A311" s="11">
        <v>0.309</v>
      </c>
      <c r="B311" s="12">
        <f>(General_Model!$E$6/General_Model!$E$7)-1/(1+General_Model!$E$26/((1.2+0.2*(General_Model!$E$26/A311)+0.35*SQRT(9.80665*(General_Model!$E$4/1000))/A311)*A311))-(A311^2/(2*9.80665*General_Model!$E$7))*((4*(0.3164/((General_Model!$E$14*A311*(General_Model!$E$4/1000)/General_Model!$E$15)^0.25))*General_Model!$E$7/(General_Model!$E$4/1000)+1)+(4*(0.3164/((General_Model!$E$14*A311*(General_Model!$E$4/1000)/General_Model!$E$15)^0.25))*General_Model!$E$7/(General_Model!$E$4/1000)+2)*(General_Model!$E$26/A311))</f>
        <v>-4.9582473931382154E-3</v>
      </c>
      <c r="C311" s="13">
        <f t="shared" si="4"/>
        <v>0</v>
      </c>
    </row>
    <row r="312" spans="1:3" x14ac:dyDescent="0.25">
      <c r="A312" s="11">
        <v>0.31</v>
      </c>
      <c r="B312" s="12">
        <f>(General_Model!$E$6/General_Model!$E$7)-1/(1+General_Model!$E$26/((1.2+0.2*(General_Model!$E$26/A312)+0.35*SQRT(9.80665*(General_Model!$E$4/1000))/A312)*A312))-(A312^2/(2*9.80665*General_Model!$E$7))*((4*(0.3164/((General_Model!$E$14*A312*(General_Model!$E$4/1000)/General_Model!$E$15)^0.25))*General_Model!$E$7/(General_Model!$E$4/1000)+1)+(4*(0.3164/((General_Model!$E$14*A312*(General_Model!$E$4/1000)/General_Model!$E$15)^0.25))*General_Model!$E$7/(General_Model!$E$4/1000)+2)*(General_Model!$E$26/A312))</f>
        <v>-5.5019241805036451E-3</v>
      </c>
      <c r="C312" s="13">
        <f t="shared" si="4"/>
        <v>0</v>
      </c>
    </row>
    <row r="313" spans="1:3" x14ac:dyDescent="0.25">
      <c r="A313" s="11">
        <v>0.311</v>
      </c>
      <c r="B313" s="12">
        <f>(General_Model!$E$6/General_Model!$E$7)-1/(1+General_Model!$E$26/((1.2+0.2*(General_Model!$E$26/A313)+0.35*SQRT(9.80665*(General_Model!$E$4/1000))/A313)*A313))-(A313^2/(2*9.80665*General_Model!$E$7))*((4*(0.3164/((General_Model!$E$14*A313*(General_Model!$E$4/1000)/General_Model!$E$15)^0.25))*General_Model!$E$7/(General_Model!$E$4/1000)+1)+(4*(0.3164/((General_Model!$E$14*A313*(General_Model!$E$4/1000)/General_Model!$E$15)^0.25))*General_Model!$E$7/(General_Model!$E$4/1000)+2)*(General_Model!$E$26/A313))</f>
        <v>-6.0451300371770697E-3</v>
      </c>
      <c r="C313" s="13">
        <f t="shared" si="4"/>
        <v>0</v>
      </c>
    </row>
    <row r="314" spans="1:3" x14ac:dyDescent="0.25">
      <c r="A314" s="11">
        <v>0.312</v>
      </c>
      <c r="B314" s="12">
        <f>(General_Model!$E$6/General_Model!$E$7)-1/(1+General_Model!$E$26/((1.2+0.2*(General_Model!$E$26/A314)+0.35*SQRT(9.80665*(General_Model!$E$4/1000))/A314)*A314))-(A314^2/(2*9.80665*General_Model!$E$7))*((4*(0.3164/((General_Model!$E$14*A314*(General_Model!$E$4/1000)/General_Model!$E$15)^0.25))*General_Model!$E$7/(General_Model!$E$4/1000)+1)+(4*(0.3164/((General_Model!$E$14*A314*(General_Model!$E$4/1000)/General_Model!$E$15)^0.25))*General_Model!$E$7/(General_Model!$E$4/1000)+2)*(General_Model!$E$26/A314))</f>
        <v>-6.5878666350756634E-3</v>
      </c>
      <c r="C314" s="13">
        <f t="shared" si="4"/>
        <v>0</v>
      </c>
    </row>
    <row r="315" spans="1:3" x14ac:dyDescent="0.25">
      <c r="A315" s="11">
        <v>0.313</v>
      </c>
      <c r="B315" s="12">
        <f>(General_Model!$E$6/General_Model!$E$7)-1/(1+General_Model!$E$26/((1.2+0.2*(General_Model!$E$26/A315)+0.35*SQRT(9.80665*(General_Model!$E$4/1000))/A315)*A315))-(A315^2/(2*9.80665*General_Model!$E$7))*((4*(0.3164/((General_Model!$E$14*A315*(General_Model!$E$4/1000)/General_Model!$E$15)^0.25))*General_Model!$E$7/(General_Model!$E$4/1000)+1)+(4*(0.3164/((General_Model!$E$14*A315*(General_Model!$E$4/1000)/General_Model!$E$15)^0.25))*General_Model!$E$7/(General_Model!$E$4/1000)+2)*(General_Model!$E$26/A315))</f>
        <v>-7.1301356400525692E-3</v>
      </c>
      <c r="C315" s="13">
        <f t="shared" si="4"/>
        <v>0</v>
      </c>
    </row>
    <row r="316" spans="1:3" x14ac:dyDescent="0.25">
      <c r="A316" s="11">
        <v>0.314</v>
      </c>
      <c r="B316" s="12">
        <f>(General_Model!$E$6/General_Model!$E$7)-1/(1+General_Model!$E$26/((1.2+0.2*(General_Model!$E$26/A316)+0.35*SQRT(9.80665*(General_Model!$E$4/1000))/A316)*A316))-(A316^2/(2*9.80665*General_Model!$E$7))*((4*(0.3164/((General_Model!$E$14*A316*(General_Model!$E$4/1000)/General_Model!$E$15)^0.25))*General_Model!$E$7/(General_Model!$E$4/1000)+1)+(4*(0.3164/((General_Model!$E$14*A316*(General_Model!$E$4/1000)/General_Model!$E$15)^0.25))*General_Model!$E$7/(General_Model!$E$4/1000)+2)*(General_Model!$E$26/A316))</f>
        <v>-7.6719387119260768E-3</v>
      </c>
      <c r="C316" s="13">
        <f t="shared" si="4"/>
        <v>0</v>
      </c>
    </row>
    <row r="317" spans="1:3" x14ac:dyDescent="0.25">
      <c r="A317" s="11">
        <v>0.315</v>
      </c>
      <c r="B317" s="12">
        <f>(General_Model!$E$6/General_Model!$E$7)-1/(1+General_Model!$E$26/((1.2+0.2*(General_Model!$E$26/A317)+0.35*SQRT(9.80665*(General_Model!$E$4/1000))/A317)*A317))-(A317^2/(2*9.80665*General_Model!$E$7))*((4*(0.3164/((General_Model!$E$14*A317*(General_Model!$E$4/1000)/General_Model!$E$15)^0.25))*General_Model!$E$7/(General_Model!$E$4/1000)+1)+(4*(0.3164/((General_Model!$E$14*A317*(General_Model!$E$4/1000)/General_Model!$E$15)^0.25))*General_Model!$E$7/(General_Model!$E$4/1000)+2)*(General_Model!$E$26/A317))</f>
        <v>-8.2132775045097861E-3</v>
      </c>
      <c r="C317" s="13">
        <f t="shared" si="4"/>
        <v>0</v>
      </c>
    </row>
    <row r="318" spans="1:3" x14ac:dyDescent="0.25">
      <c r="A318" s="11">
        <v>0.316</v>
      </c>
      <c r="B318" s="12">
        <f>(General_Model!$E$6/General_Model!$E$7)-1/(1+General_Model!$E$26/((1.2+0.2*(General_Model!$E$26/A318)+0.35*SQRT(9.80665*(General_Model!$E$4/1000))/A318)*A318))-(A318^2/(2*9.80665*General_Model!$E$7))*((4*(0.3164/((General_Model!$E$14*A318*(General_Model!$E$4/1000)/General_Model!$E$15)^0.25))*General_Model!$E$7/(General_Model!$E$4/1000)+1)+(4*(0.3164/((General_Model!$E$14*A318*(General_Model!$E$4/1000)/General_Model!$E$15)^0.25))*General_Model!$E$7/(General_Model!$E$4/1000)+2)*(General_Model!$E$26/A318))</f>
        <v>-8.7541536656421393E-3</v>
      </c>
      <c r="C318" s="13">
        <f t="shared" si="4"/>
        <v>0</v>
      </c>
    </row>
    <row r="319" spans="1:3" x14ac:dyDescent="0.25">
      <c r="A319" s="11">
        <v>0.317</v>
      </c>
      <c r="B319" s="12">
        <f>(General_Model!$E$6/General_Model!$E$7)-1/(1+General_Model!$E$26/((1.2+0.2*(General_Model!$E$26/A319)+0.35*SQRT(9.80665*(General_Model!$E$4/1000))/A319)*A319))-(A319^2/(2*9.80665*General_Model!$E$7))*((4*(0.3164/((General_Model!$E$14*A319*(General_Model!$E$4/1000)/General_Model!$E$15)^0.25))*General_Model!$E$7/(General_Model!$E$4/1000)+1)+(4*(0.3164/((General_Model!$E$14*A319*(General_Model!$E$4/1000)/General_Model!$E$15)^0.25))*General_Model!$E$7/(General_Model!$E$4/1000)+2)*(General_Model!$E$26/A319))</f>
        <v>-9.2945688372145091E-3</v>
      </c>
      <c r="C319" s="13">
        <f t="shared" si="4"/>
        <v>0</v>
      </c>
    </row>
    <row r="320" spans="1:3" x14ac:dyDescent="0.25">
      <c r="A320" s="11">
        <v>0.318</v>
      </c>
      <c r="B320" s="12">
        <f>(General_Model!$E$6/General_Model!$E$7)-1/(1+General_Model!$E$26/((1.2+0.2*(General_Model!$E$26/A320)+0.35*SQRT(9.80665*(General_Model!$E$4/1000))/A320)*A320))-(A320^2/(2*9.80665*General_Model!$E$7))*((4*(0.3164/((General_Model!$E$14*A320*(General_Model!$E$4/1000)/General_Model!$E$15)^0.25))*General_Model!$E$7/(General_Model!$E$4/1000)+1)+(4*(0.3164/((General_Model!$E$14*A320*(General_Model!$E$4/1000)/General_Model!$E$15)^0.25))*General_Model!$E$7/(General_Model!$E$4/1000)+2)*(General_Model!$E$26/A320))</f>
        <v>-9.8345246552007798E-3</v>
      </c>
      <c r="C320" s="13">
        <f t="shared" si="4"/>
        <v>0</v>
      </c>
    </row>
    <row r="321" spans="1:3" x14ac:dyDescent="0.25">
      <c r="A321" s="11">
        <v>0.31900000000000001</v>
      </c>
      <c r="B321" s="12">
        <f>(General_Model!$E$6/General_Model!$E$7)-1/(1+General_Model!$E$26/((1.2+0.2*(General_Model!$E$26/A321)+0.35*SQRT(9.80665*(General_Model!$E$4/1000))/A321)*A321))-(A321^2/(2*9.80665*General_Model!$E$7))*((4*(0.3164/((General_Model!$E$14*A321*(General_Model!$E$4/1000)/General_Model!$E$15)^0.25))*General_Model!$E$7/(General_Model!$E$4/1000)+1)+(4*(0.3164/((General_Model!$E$14*A321*(General_Model!$E$4/1000)/General_Model!$E$15)^0.25))*General_Model!$E$7/(General_Model!$E$4/1000)+2)*(General_Model!$E$26/A321))</f>
        <v>-1.0374022749686428E-2</v>
      </c>
      <c r="C321" s="13">
        <f t="shared" si="4"/>
        <v>0</v>
      </c>
    </row>
    <row r="322" spans="1:3" x14ac:dyDescent="0.25">
      <c r="A322" s="11">
        <v>0.32</v>
      </c>
      <c r="B322" s="12">
        <f>(General_Model!$E$6/General_Model!$E$7)-1/(1+General_Model!$E$26/((1.2+0.2*(General_Model!$E$26/A322)+0.35*SQRT(9.80665*(General_Model!$E$4/1000))/A322)*A322))-(A322^2/(2*9.80665*General_Model!$E$7))*((4*(0.3164/((General_Model!$E$14*A322*(General_Model!$E$4/1000)/General_Model!$E$15)^0.25))*General_Model!$E$7/(General_Model!$E$4/1000)+1)+(4*(0.3164/((General_Model!$E$14*A322*(General_Model!$E$4/1000)/General_Model!$E$15)^0.25))*General_Model!$E$7/(General_Model!$E$4/1000)+2)*(General_Model!$E$26/A322))</f>
        <v>-1.0913064744895791E-2</v>
      </c>
      <c r="C322" s="13">
        <f t="shared" si="4"/>
        <v>0</v>
      </c>
    </row>
    <row r="323" spans="1:3" x14ac:dyDescent="0.25">
      <c r="A323" s="11">
        <v>0.32100000000000001</v>
      </c>
      <c r="B323" s="12">
        <f>(General_Model!$E$6/General_Model!$E$7)-1/(1+General_Model!$E$26/((1.2+0.2*(General_Model!$E$26/A323)+0.35*SQRT(9.80665*(General_Model!$E$4/1000))/A323)*A323))-(A323^2/(2*9.80665*General_Model!$E$7))*((4*(0.3164/((General_Model!$E$14*A323*(General_Model!$E$4/1000)/General_Model!$E$15)^0.25))*General_Model!$E$7/(General_Model!$E$4/1000)+1)+(4*(0.3164/((General_Model!$E$14*A323*(General_Model!$E$4/1000)/General_Model!$E$15)^0.25))*General_Model!$E$7/(General_Model!$E$4/1000)+2)*(General_Model!$E$26/A323))</f>
        <v>-1.1451652259221665E-2</v>
      </c>
      <c r="C323" s="13">
        <f t="shared" ref="C323:C386" si="5">IF(B323*B324&lt;=0,1,0)</f>
        <v>0</v>
      </c>
    </row>
    <row r="324" spans="1:3" x14ac:dyDescent="0.25">
      <c r="A324" s="11">
        <v>0.32200000000000001</v>
      </c>
      <c r="B324" s="12">
        <f>(General_Model!$E$6/General_Model!$E$7)-1/(1+General_Model!$E$26/((1.2+0.2*(General_Model!$E$26/A324)+0.35*SQRT(9.80665*(General_Model!$E$4/1000))/A324)*A324))-(A324^2/(2*9.80665*General_Model!$E$7))*((4*(0.3164/((General_Model!$E$14*A324*(General_Model!$E$4/1000)/General_Model!$E$15)^0.25))*General_Model!$E$7/(General_Model!$E$4/1000)+1)+(4*(0.3164/((General_Model!$E$14*A324*(General_Model!$E$4/1000)/General_Model!$E$15)^0.25))*General_Model!$E$7/(General_Model!$E$4/1000)+2)*(General_Model!$E$26/A324))</f>
        <v>-1.1989786905252577E-2</v>
      </c>
      <c r="C324" s="13">
        <f t="shared" si="5"/>
        <v>0</v>
      </c>
    </row>
    <row r="325" spans="1:3" x14ac:dyDescent="0.25">
      <c r="A325" s="11">
        <v>0.32300000000000001</v>
      </c>
      <c r="B325" s="12">
        <f>(General_Model!$E$6/General_Model!$E$7)-1/(1+General_Model!$E$26/((1.2+0.2*(General_Model!$E$26/A325)+0.35*SQRT(9.80665*(General_Model!$E$4/1000))/A325)*A325))-(A325^2/(2*9.80665*General_Model!$E$7))*((4*(0.3164/((General_Model!$E$14*A325*(General_Model!$E$4/1000)/General_Model!$E$15)^0.25))*General_Model!$E$7/(General_Model!$E$4/1000)+1)+(4*(0.3164/((General_Model!$E$14*A325*(General_Model!$E$4/1000)/General_Model!$E$15)^0.25))*General_Model!$E$7/(General_Model!$E$4/1000)+2)*(General_Model!$E$26/A325))</f>
        <v>-1.2527470289801126E-2</v>
      </c>
      <c r="C325" s="13">
        <f t="shared" si="5"/>
        <v>0</v>
      </c>
    </row>
    <row r="326" spans="1:3" x14ac:dyDescent="0.25">
      <c r="A326" s="11">
        <v>0.32400000000000001</v>
      </c>
      <c r="B326" s="12">
        <f>(General_Model!$E$6/General_Model!$E$7)-1/(1+General_Model!$E$26/((1.2+0.2*(General_Model!$E$26/A326)+0.35*SQRT(9.80665*(General_Model!$E$4/1000))/A326)*A326))-(A326^2/(2*9.80665*General_Model!$E$7))*((4*(0.3164/((General_Model!$E$14*A326*(General_Model!$E$4/1000)/General_Model!$E$15)^0.25))*General_Model!$E$7/(General_Model!$E$4/1000)+1)+(4*(0.3164/((General_Model!$E$14*A326*(General_Model!$E$4/1000)/General_Model!$E$15)^0.25))*General_Model!$E$7/(General_Model!$E$4/1000)+2)*(General_Model!$E$26/A326))</f>
        <v>-1.3064704013931477E-2</v>
      </c>
      <c r="C326" s="13">
        <f t="shared" si="5"/>
        <v>0</v>
      </c>
    </row>
    <row r="327" spans="1:3" x14ac:dyDescent="0.25">
      <c r="A327" s="11">
        <v>0.32500000000000001</v>
      </c>
      <c r="B327" s="12">
        <f>(General_Model!$E$6/General_Model!$E$7)-1/(1+General_Model!$E$26/((1.2+0.2*(General_Model!$E$26/A327)+0.35*SQRT(9.80665*(General_Model!$E$4/1000))/A327)*A327))-(A327^2/(2*9.80665*General_Model!$E$7))*((4*(0.3164/((General_Model!$E$14*A327*(General_Model!$E$4/1000)/General_Model!$E$15)^0.25))*General_Model!$E$7/(General_Model!$E$4/1000)+1)+(4*(0.3164/((General_Model!$E$14*A327*(General_Model!$E$4/1000)/General_Model!$E$15)^0.25))*General_Model!$E$7/(General_Model!$E$4/1000)+2)*(General_Model!$E$26/A327))</f>
        <v>-1.3601489672987056E-2</v>
      </c>
      <c r="C327" s="13">
        <f t="shared" si="5"/>
        <v>0</v>
      </c>
    </row>
    <row r="328" spans="1:3" x14ac:dyDescent="0.25">
      <c r="A328" s="11">
        <v>0.32600000000000001</v>
      </c>
      <c r="B328" s="12">
        <f>(General_Model!$E$6/General_Model!$E$7)-1/(1+General_Model!$E$26/((1.2+0.2*(General_Model!$E$26/A328)+0.35*SQRT(9.80665*(General_Model!$E$4/1000))/A328)*A328))-(A328^2/(2*9.80665*General_Model!$E$7))*((4*(0.3164/((General_Model!$E$14*A328*(General_Model!$E$4/1000)/General_Model!$E$15)^0.25))*General_Model!$E$7/(General_Model!$E$4/1000)+1)+(4*(0.3164/((General_Model!$E$14*A328*(General_Model!$E$4/1000)/General_Model!$E$15)^0.25))*General_Model!$E$7/(General_Model!$E$4/1000)+2)*(General_Model!$E$26/A328))</f>
        <v>-1.41378288566179E-2</v>
      </c>
      <c r="C328" s="13">
        <f t="shared" si="5"/>
        <v>0</v>
      </c>
    </row>
    <row r="329" spans="1:3" x14ac:dyDescent="0.25">
      <c r="A329" s="11">
        <v>0.32700000000000001</v>
      </c>
      <c r="B329" s="12">
        <f>(General_Model!$E$6/General_Model!$E$7)-1/(1+General_Model!$E$26/((1.2+0.2*(General_Model!$E$26/A329)+0.35*SQRT(9.80665*(General_Model!$E$4/1000))/A329)*A329))-(A329^2/(2*9.80665*General_Model!$E$7))*((4*(0.3164/((General_Model!$E$14*A329*(General_Model!$E$4/1000)/General_Model!$E$15)^0.25))*General_Model!$E$7/(General_Model!$E$4/1000)+1)+(4*(0.3164/((General_Model!$E$14*A329*(General_Model!$E$4/1000)/General_Model!$E$15)^0.25))*General_Model!$E$7/(General_Model!$E$4/1000)+2)*(General_Model!$E$26/A329))</f>
        <v>-1.4673723148807438E-2</v>
      </c>
      <c r="C329" s="13">
        <f t="shared" si="5"/>
        <v>0</v>
      </c>
    </row>
    <row r="330" spans="1:3" x14ac:dyDescent="0.25">
      <c r="A330" s="11">
        <v>0.32800000000000001</v>
      </c>
      <c r="B330" s="12">
        <f>(General_Model!$E$6/General_Model!$E$7)-1/(1+General_Model!$E$26/((1.2+0.2*(General_Model!$E$26/A330)+0.35*SQRT(9.80665*(General_Model!$E$4/1000))/A330)*A330))-(A330^2/(2*9.80665*General_Model!$E$7))*((4*(0.3164/((General_Model!$E$14*A330*(General_Model!$E$4/1000)/General_Model!$E$15)^0.25))*General_Model!$E$7/(General_Model!$E$4/1000)+1)+(4*(0.3164/((General_Model!$E$14*A330*(General_Model!$E$4/1000)/General_Model!$E$15)^0.25))*General_Model!$E$7/(General_Model!$E$4/1000)+2)*(General_Model!$E$26/A330))</f>
        <v>-1.5209174127900307E-2</v>
      </c>
      <c r="C330" s="13">
        <f t="shared" si="5"/>
        <v>0</v>
      </c>
    </row>
    <row r="331" spans="1:3" x14ac:dyDescent="0.25">
      <c r="A331" s="11">
        <v>0.32900000000000001</v>
      </c>
      <c r="B331" s="12">
        <f>(General_Model!$E$6/General_Model!$E$7)-1/(1+General_Model!$E$26/((1.2+0.2*(General_Model!$E$26/A331)+0.35*SQRT(9.80665*(General_Model!$E$4/1000))/A331)*A331))-(A331^2/(2*9.80665*General_Model!$E$7))*((4*(0.3164/((General_Model!$E$14*A331*(General_Model!$E$4/1000)/General_Model!$E$15)^0.25))*General_Model!$E$7/(General_Model!$E$4/1000)+1)+(4*(0.3164/((General_Model!$E$14*A331*(General_Model!$E$4/1000)/General_Model!$E$15)^0.25))*General_Model!$E$7/(General_Model!$E$4/1000)+2)*(General_Model!$E$26/A331))</f>
        <v>-1.5744183366628008E-2</v>
      </c>
      <c r="C331" s="13">
        <f t="shared" si="5"/>
        <v>0</v>
      </c>
    </row>
    <row r="332" spans="1:3" x14ac:dyDescent="0.25">
      <c r="A332" s="11">
        <v>0.33</v>
      </c>
      <c r="B332" s="12">
        <f>(General_Model!$E$6/General_Model!$E$7)-1/(1+General_Model!$E$26/((1.2+0.2*(General_Model!$E$26/A332)+0.35*SQRT(9.80665*(General_Model!$E$4/1000))/A332)*A332))-(A332^2/(2*9.80665*General_Model!$E$7))*((4*(0.3164/((General_Model!$E$14*A332*(General_Model!$E$4/1000)/General_Model!$E$15)^0.25))*General_Model!$E$7/(General_Model!$E$4/1000)+1)+(4*(0.3164/((General_Model!$E$14*A332*(General_Model!$E$4/1000)/General_Model!$E$15)^0.25))*General_Model!$E$7/(General_Model!$E$4/1000)+2)*(General_Model!$E$26/A332))</f>
        <v>-1.6278752432136875E-2</v>
      </c>
      <c r="C332" s="13">
        <f t="shared" si="5"/>
        <v>0</v>
      </c>
    </row>
    <row r="333" spans="1:3" x14ac:dyDescent="0.25">
      <c r="A333" s="11">
        <v>0.33100000000000002</v>
      </c>
      <c r="B333" s="12">
        <f>(General_Model!$E$6/General_Model!$E$7)-1/(1+General_Model!$E$26/((1.2+0.2*(General_Model!$E$26/A333)+0.35*SQRT(9.80665*(General_Model!$E$4/1000))/A333)*A333))-(A333^2/(2*9.80665*General_Model!$E$7))*((4*(0.3164/((General_Model!$E$14*A333*(General_Model!$E$4/1000)/General_Model!$E$15)^0.25))*General_Model!$E$7/(General_Model!$E$4/1000)+1)+(4*(0.3164/((General_Model!$E$14*A333*(General_Model!$E$4/1000)/General_Model!$E$15)^0.25))*General_Model!$E$7/(General_Model!$E$4/1000)+2)*(General_Model!$E$26/A333))</f>
        <v>-1.6812882886013313E-2</v>
      </c>
      <c r="C333" s="13">
        <f t="shared" si="5"/>
        <v>0</v>
      </c>
    </row>
    <row r="334" spans="1:3" x14ac:dyDescent="0.25">
      <c r="A334" s="11">
        <v>0.33200000000000002</v>
      </c>
      <c r="B334" s="12">
        <f>(General_Model!$E$6/General_Model!$E$7)-1/(1+General_Model!$E$26/((1.2+0.2*(General_Model!$E$26/A334)+0.35*SQRT(9.80665*(General_Model!$E$4/1000))/A334)*A334))-(A334^2/(2*9.80665*General_Model!$E$7))*((4*(0.3164/((General_Model!$E$14*A334*(General_Model!$E$4/1000)/General_Model!$E$15)^0.25))*General_Model!$E$7/(General_Model!$E$4/1000)+1)+(4*(0.3164/((General_Model!$E$14*A334*(General_Model!$E$4/1000)/General_Model!$E$15)^0.25))*General_Model!$E$7/(General_Model!$E$4/1000)+2)*(General_Model!$E$26/A334))</f>
        <v>-1.7346576284310918E-2</v>
      </c>
      <c r="C334" s="13">
        <f t="shared" si="5"/>
        <v>0</v>
      </c>
    </row>
    <row r="335" spans="1:3" x14ac:dyDescent="0.25">
      <c r="A335" s="11">
        <v>0.33300000000000002</v>
      </c>
      <c r="B335" s="12">
        <f>(General_Model!$E$6/General_Model!$E$7)-1/(1+General_Model!$E$26/((1.2+0.2*(General_Model!$E$26/A335)+0.35*SQRT(9.80665*(General_Model!$E$4/1000))/A335)*A335))-(A335^2/(2*9.80665*General_Model!$E$7))*((4*(0.3164/((General_Model!$E$14*A335*(General_Model!$E$4/1000)/General_Model!$E$15)^0.25))*General_Model!$E$7/(General_Model!$E$4/1000)+1)+(4*(0.3164/((General_Model!$E$14*A335*(General_Model!$E$4/1000)/General_Model!$E$15)^0.25))*General_Model!$E$7/(General_Model!$E$4/1000)+2)*(General_Model!$E$26/A335))</f>
        <v>-1.7879834177576132E-2</v>
      </c>
      <c r="C335" s="13">
        <f t="shared" si="5"/>
        <v>0</v>
      </c>
    </row>
    <row r="336" spans="1:3" x14ac:dyDescent="0.25">
      <c r="A336" s="11">
        <v>0.33400000000000002</v>
      </c>
      <c r="B336" s="12">
        <f>(General_Model!$E$6/General_Model!$E$7)-1/(1+General_Model!$E$26/((1.2+0.2*(General_Model!$E$26/A336)+0.35*SQRT(9.80665*(General_Model!$E$4/1000))/A336)*A336))-(A336^2/(2*9.80665*General_Model!$E$7))*((4*(0.3164/((General_Model!$E$14*A336*(General_Model!$E$4/1000)/General_Model!$E$15)^0.25))*General_Model!$E$7/(General_Model!$E$4/1000)+1)+(4*(0.3164/((General_Model!$E$14*A336*(General_Model!$E$4/1000)/General_Model!$E$15)^0.25))*General_Model!$E$7/(General_Model!$E$4/1000)+2)*(General_Model!$E$26/A336))</f>
        <v>-1.8412658110874079E-2</v>
      </c>
      <c r="C336" s="13">
        <f t="shared" si="5"/>
        <v>0</v>
      </c>
    </row>
    <row r="337" spans="1:3" x14ac:dyDescent="0.25">
      <c r="A337" s="11">
        <v>0.33500000000000002</v>
      </c>
      <c r="B337" s="12">
        <f>(General_Model!$E$6/General_Model!$E$7)-1/(1+General_Model!$E$26/((1.2+0.2*(General_Model!$E$26/A337)+0.35*SQRT(9.80665*(General_Model!$E$4/1000))/A337)*A337))-(A337^2/(2*9.80665*General_Model!$E$7))*((4*(0.3164/((General_Model!$E$14*A337*(General_Model!$E$4/1000)/General_Model!$E$15)^0.25))*General_Model!$E$7/(General_Model!$E$4/1000)+1)+(4*(0.3164/((General_Model!$E$14*A337*(General_Model!$E$4/1000)/General_Model!$E$15)^0.25))*General_Model!$E$7/(General_Model!$E$4/1000)+2)*(General_Model!$E$26/A337))</f>
        <v>-1.8945049623814873E-2</v>
      </c>
      <c r="C337" s="13">
        <f t="shared" si="5"/>
        <v>0</v>
      </c>
    </row>
    <row r="338" spans="1:3" x14ac:dyDescent="0.25">
      <c r="A338" s="11">
        <v>0.33600000000000002</v>
      </c>
      <c r="B338" s="12">
        <f>(General_Model!$E$6/General_Model!$E$7)-1/(1+General_Model!$E$26/((1.2+0.2*(General_Model!$E$26/A338)+0.35*SQRT(9.80665*(General_Model!$E$4/1000))/A338)*A338))-(A338^2/(2*9.80665*General_Model!$E$7))*((4*(0.3164/((General_Model!$E$14*A338*(General_Model!$E$4/1000)/General_Model!$E$15)^0.25))*General_Model!$E$7/(General_Model!$E$4/1000)+1)+(4*(0.3164/((General_Model!$E$14*A338*(General_Model!$E$4/1000)/General_Model!$E$15)^0.25))*General_Model!$E$7/(General_Model!$E$4/1000)+2)*(General_Model!$E$26/A338))</f>
        <v>-1.9477010250578748E-2</v>
      </c>
      <c r="C338" s="13">
        <f t="shared" si="5"/>
        <v>0</v>
      </c>
    </row>
    <row r="339" spans="1:3" x14ac:dyDescent="0.25">
      <c r="A339" s="11">
        <v>0.33700000000000002</v>
      </c>
      <c r="B339" s="12">
        <f>(General_Model!$E$6/General_Model!$E$7)-1/(1+General_Model!$E$26/((1.2+0.2*(General_Model!$E$26/A339)+0.35*SQRT(9.80665*(General_Model!$E$4/1000))/A339)*A339))-(A339^2/(2*9.80665*General_Model!$E$7))*((4*(0.3164/((General_Model!$E$14*A339*(General_Model!$E$4/1000)/General_Model!$E$15)^0.25))*General_Model!$E$7/(General_Model!$E$4/1000)+1)+(4*(0.3164/((General_Model!$E$14*A339*(General_Model!$E$4/1000)/General_Model!$E$15)^0.25))*General_Model!$E$7/(General_Model!$E$4/1000)+2)*(General_Model!$E$26/A339))</f>
        <v>-2.0008541519941539E-2</v>
      </c>
      <c r="C339" s="13">
        <f t="shared" si="5"/>
        <v>0</v>
      </c>
    </row>
    <row r="340" spans="1:3" x14ac:dyDescent="0.25">
      <c r="A340" s="11">
        <v>0.33800000000000002</v>
      </c>
      <c r="B340" s="12">
        <f>(General_Model!$E$6/General_Model!$E$7)-1/(1+General_Model!$E$26/((1.2+0.2*(General_Model!$E$26/A340)+0.35*SQRT(9.80665*(General_Model!$E$4/1000))/A340)*A340))-(A340^2/(2*9.80665*General_Model!$E$7))*((4*(0.3164/((General_Model!$E$14*A340*(General_Model!$E$4/1000)/General_Model!$E$15)^0.25))*General_Model!$E$7/(General_Model!$E$4/1000)+1)+(4*(0.3164/((General_Model!$E$14*A340*(General_Model!$E$4/1000)/General_Model!$E$15)^0.25))*General_Model!$E$7/(General_Model!$E$4/1000)+2)*(General_Model!$E$26/A340))</f>
        <v>-2.0539644955300265E-2</v>
      </c>
      <c r="C340" s="13">
        <f t="shared" si="5"/>
        <v>0</v>
      </c>
    </row>
    <row r="341" spans="1:3" x14ac:dyDescent="0.25">
      <c r="A341" s="11">
        <v>0.33900000000000002</v>
      </c>
      <c r="B341" s="12">
        <f>(General_Model!$E$6/General_Model!$E$7)-1/(1+General_Model!$E$26/((1.2+0.2*(General_Model!$E$26/A341)+0.35*SQRT(9.80665*(General_Model!$E$4/1000))/A341)*A341))-(A341^2/(2*9.80665*General_Model!$E$7))*((4*(0.3164/((General_Model!$E$14*A341*(General_Model!$E$4/1000)/General_Model!$E$15)^0.25))*General_Model!$E$7/(General_Model!$E$4/1000)+1)+(4*(0.3164/((General_Model!$E$14*A341*(General_Model!$E$4/1000)/General_Model!$E$15)^0.25))*General_Model!$E$7/(General_Model!$E$4/1000)+2)*(General_Model!$E$26/A341))</f>
        <v>-2.1070322074697834E-2</v>
      </c>
      <c r="C341" s="13">
        <f t="shared" si="5"/>
        <v>0</v>
      </c>
    </row>
    <row r="342" spans="1:3" x14ac:dyDescent="0.25">
      <c r="A342" s="11">
        <v>0.34</v>
      </c>
      <c r="B342" s="12">
        <f>(General_Model!$E$6/General_Model!$E$7)-1/(1+General_Model!$E$26/((1.2+0.2*(General_Model!$E$26/A342)+0.35*SQRT(9.80665*(General_Model!$E$4/1000))/A342)*A342))-(A342^2/(2*9.80665*General_Model!$E$7))*((4*(0.3164/((General_Model!$E$14*A342*(General_Model!$E$4/1000)/General_Model!$E$15)^0.25))*General_Model!$E$7/(General_Model!$E$4/1000)+1)+(4*(0.3164/((General_Model!$E$14*A342*(General_Model!$E$4/1000)/General_Model!$E$15)^0.25))*General_Model!$E$7/(General_Model!$E$4/1000)+2)*(General_Model!$E$26/A342))</f>
        <v>-2.1600574390847949E-2</v>
      </c>
      <c r="C342" s="13">
        <f t="shared" si="5"/>
        <v>0</v>
      </c>
    </row>
    <row r="343" spans="1:3" x14ac:dyDescent="0.25">
      <c r="A343" s="11">
        <v>0.34100000000000003</v>
      </c>
      <c r="B343" s="12">
        <f>(General_Model!$E$6/General_Model!$E$7)-1/(1+General_Model!$E$26/((1.2+0.2*(General_Model!$E$26/A343)+0.35*SQRT(9.80665*(General_Model!$E$4/1000))/A343)*A343))-(A343^2/(2*9.80665*General_Model!$E$7))*((4*(0.3164/((General_Model!$E$14*A343*(General_Model!$E$4/1000)/General_Model!$E$15)^0.25))*General_Model!$E$7/(General_Model!$E$4/1000)+1)+(4*(0.3164/((General_Model!$E$14*A343*(General_Model!$E$4/1000)/General_Model!$E$15)^0.25))*General_Model!$E$7/(General_Model!$E$4/1000)+2)*(General_Model!$E$26/A343))</f>
        <v>-2.2130403411160272E-2</v>
      </c>
      <c r="C343" s="13">
        <f t="shared" si="5"/>
        <v>0</v>
      </c>
    </row>
    <row r="344" spans="1:3" x14ac:dyDescent="0.25">
      <c r="A344" s="11">
        <v>0.34200000000000003</v>
      </c>
      <c r="B344" s="12">
        <f>(General_Model!$E$6/General_Model!$E$7)-1/(1+General_Model!$E$26/((1.2+0.2*(General_Model!$E$26/A344)+0.35*SQRT(9.80665*(General_Model!$E$4/1000))/A344)*A344))-(A344^2/(2*9.80665*General_Model!$E$7))*((4*(0.3164/((General_Model!$E$14*A344*(General_Model!$E$4/1000)/General_Model!$E$15)^0.25))*General_Model!$E$7/(General_Model!$E$4/1000)+1)+(4*(0.3164/((General_Model!$E$14*A344*(General_Model!$E$4/1000)/General_Model!$E$15)^0.25))*General_Model!$E$7/(General_Model!$E$4/1000)+2)*(General_Model!$E$26/A344))</f>
        <v>-2.2659810637764718E-2</v>
      </c>
      <c r="C344" s="13">
        <f t="shared" si="5"/>
        <v>0</v>
      </c>
    </row>
    <row r="345" spans="1:3" x14ac:dyDescent="0.25">
      <c r="A345" s="11">
        <v>0.34300000000000003</v>
      </c>
      <c r="B345" s="12">
        <f>(General_Model!$E$6/General_Model!$E$7)-1/(1+General_Model!$E$26/((1.2+0.2*(General_Model!$E$26/A345)+0.35*SQRT(9.80665*(General_Model!$E$4/1000))/A345)*A345))-(A345^2/(2*9.80665*General_Model!$E$7))*((4*(0.3164/((General_Model!$E$14*A345*(General_Model!$E$4/1000)/General_Model!$E$15)^0.25))*General_Model!$E$7/(General_Model!$E$4/1000)+1)+(4*(0.3164/((General_Model!$E$14*A345*(General_Model!$E$4/1000)/General_Model!$E$15)^0.25))*General_Model!$E$7/(General_Model!$E$4/1000)+2)*(General_Model!$E$26/A345))</f>
        <v>-2.318879756753639E-2</v>
      </c>
      <c r="C345" s="13">
        <f t="shared" si="5"/>
        <v>0</v>
      </c>
    </row>
    <row r="346" spans="1:3" x14ac:dyDescent="0.25">
      <c r="A346" s="11">
        <v>0.34399999999999997</v>
      </c>
      <c r="B346" s="12">
        <f>(General_Model!$E$6/General_Model!$E$7)-1/(1+General_Model!$E$26/((1.2+0.2*(General_Model!$E$26/A346)+0.35*SQRT(9.80665*(General_Model!$E$4/1000))/A346)*A346))-(A346^2/(2*9.80665*General_Model!$E$7))*((4*(0.3164/((General_Model!$E$14*A346*(General_Model!$E$4/1000)/General_Model!$E$15)^0.25))*General_Model!$E$7/(General_Model!$E$4/1000)+1)+(4*(0.3164/((General_Model!$E$14*A346*(General_Model!$E$4/1000)/General_Model!$E$15)^0.25))*General_Model!$E$7/(General_Model!$E$4/1000)+2)*(General_Model!$E$26/A346))</f>
        <v>-2.3717365692119026E-2</v>
      </c>
      <c r="C346" s="13">
        <f t="shared" si="5"/>
        <v>0</v>
      </c>
    </row>
    <row r="347" spans="1:3" x14ac:dyDescent="0.25">
      <c r="A347" s="11">
        <v>0.34499999999999997</v>
      </c>
      <c r="B347" s="12">
        <f>(General_Model!$E$6/General_Model!$E$7)-1/(1+General_Model!$E$26/((1.2+0.2*(General_Model!$E$26/A347)+0.35*SQRT(9.80665*(General_Model!$E$4/1000))/A347)*A347))-(A347^2/(2*9.80665*General_Model!$E$7))*((4*(0.3164/((General_Model!$E$14*A347*(General_Model!$E$4/1000)/General_Model!$E$15)^0.25))*General_Model!$E$7/(General_Model!$E$4/1000)+1)+(4*(0.3164/((General_Model!$E$14*A347*(General_Model!$E$4/1000)/General_Model!$E$15)^0.25))*General_Model!$E$7/(General_Model!$E$4/1000)+2)*(General_Model!$E$26/A347))</f>
        <v>-2.4245516497949961E-2</v>
      </c>
      <c r="C347" s="13">
        <f t="shared" si="5"/>
        <v>0</v>
      </c>
    </row>
    <row r="348" spans="1:3" x14ac:dyDescent="0.25">
      <c r="A348" s="11">
        <v>0.34599999999999997</v>
      </c>
      <c r="B348" s="12">
        <f>(General_Model!$E$6/General_Model!$E$7)-1/(1+General_Model!$E$26/((1.2+0.2*(General_Model!$E$26/A348)+0.35*SQRT(9.80665*(General_Model!$E$4/1000))/A348)*A348))-(A348^2/(2*9.80665*General_Model!$E$7))*((4*(0.3164/((General_Model!$E$14*A348*(General_Model!$E$4/1000)/General_Model!$E$15)^0.25))*General_Model!$E$7/(General_Model!$E$4/1000)+1)+(4*(0.3164/((General_Model!$E$14*A348*(General_Model!$E$4/1000)/General_Model!$E$15)^0.25))*General_Model!$E$7/(General_Model!$E$4/1000)+2)*(General_Model!$E$26/A348))</f>
        <v>-2.4773251466283806E-2</v>
      </c>
      <c r="C348" s="13">
        <f t="shared" si="5"/>
        <v>0</v>
      </c>
    </row>
    <row r="349" spans="1:3" x14ac:dyDescent="0.25">
      <c r="A349" s="11">
        <v>0.34699999999999998</v>
      </c>
      <c r="B349" s="12">
        <f>(General_Model!$E$6/General_Model!$E$7)-1/(1+General_Model!$E$26/((1.2+0.2*(General_Model!$E$26/A349)+0.35*SQRT(9.80665*(General_Model!$E$4/1000))/A349)*A349))-(A349^2/(2*9.80665*General_Model!$E$7))*((4*(0.3164/((General_Model!$E$14*A349*(General_Model!$E$4/1000)/General_Model!$E$15)^0.25))*General_Model!$E$7/(General_Model!$E$4/1000)+1)+(4*(0.3164/((General_Model!$E$14*A349*(General_Model!$E$4/1000)/General_Model!$E$15)^0.25))*General_Model!$E$7/(General_Model!$E$4/1000)+2)*(General_Model!$E$26/A349))</f>
        <v>-2.530057207321583E-2</v>
      </c>
      <c r="C349" s="13">
        <f t="shared" si="5"/>
        <v>0</v>
      </c>
    </row>
    <row r="350" spans="1:3" x14ac:dyDescent="0.25">
      <c r="A350" s="11">
        <v>0.34799999999999998</v>
      </c>
      <c r="B350" s="12">
        <f>(General_Model!$E$6/General_Model!$E$7)-1/(1+General_Model!$E$26/((1.2+0.2*(General_Model!$E$26/A350)+0.35*SQRT(9.80665*(General_Model!$E$4/1000))/A350)*A350))-(A350^2/(2*9.80665*General_Model!$E$7))*((4*(0.3164/((General_Model!$E$14*A350*(General_Model!$E$4/1000)/General_Model!$E$15)^0.25))*General_Model!$E$7/(General_Model!$E$4/1000)+1)+(4*(0.3164/((General_Model!$E$14*A350*(General_Model!$E$4/1000)/General_Model!$E$15)^0.25))*General_Model!$E$7/(General_Model!$E$4/1000)+2)*(General_Model!$E$26/A350))</f>
        <v>-2.5827479789707106E-2</v>
      </c>
      <c r="C350" s="13">
        <f t="shared" si="5"/>
        <v>0</v>
      </c>
    </row>
    <row r="351" spans="1:3" x14ac:dyDescent="0.25">
      <c r="A351" s="11">
        <v>0.34899999999999998</v>
      </c>
      <c r="B351" s="12">
        <f>(General_Model!$E$6/General_Model!$E$7)-1/(1+General_Model!$E$26/((1.2+0.2*(General_Model!$E$26/A351)+0.35*SQRT(9.80665*(General_Model!$E$4/1000))/A351)*A351))-(A351^2/(2*9.80665*General_Model!$E$7))*((4*(0.3164/((General_Model!$E$14*A351*(General_Model!$E$4/1000)/General_Model!$E$15)^0.25))*General_Model!$E$7/(General_Model!$E$4/1000)+1)+(4*(0.3164/((General_Model!$E$14*A351*(General_Model!$E$4/1000)/General_Model!$E$15)^0.25))*General_Model!$E$7/(General_Model!$E$4/1000)+2)*(General_Model!$E$26/A351))</f>
        <v>-2.6353976081605952E-2</v>
      </c>
      <c r="C351" s="13">
        <f t="shared" si="5"/>
        <v>0</v>
      </c>
    </row>
    <row r="352" spans="1:3" x14ac:dyDescent="0.25">
      <c r="A352" s="11">
        <v>0.35</v>
      </c>
      <c r="B352" s="12">
        <f>(General_Model!$E$6/General_Model!$E$7)-1/(1+General_Model!$E$26/((1.2+0.2*(General_Model!$E$26/A352)+0.35*SQRT(9.80665*(General_Model!$E$4/1000))/A352)*A352))-(A352^2/(2*9.80665*General_Model!$E$7))*((4*(0.3164/((General_Model!$E$14*A352*(General_Model!$E$4/1000)/General_Model!$E$15)^0.25))*General_Model!$E$7/(General_Model!$E$4/1000)+1)+(4*(0.3164/((General_Model!$E$14*A352*(General_Model!$E$4/1000)/General_Model!$E$15)^0.25))*General_Model!$E$7/(General_Model!$E$4/1000)+2)*(General_Model!$E$26/A352))</f>
        <v>-2.6880062409673319E-2</v>
      </c>
      <c r="C352" s="13">
        <f t="shared" si="5"/>
        <v>0</v>
      </c>
    </row>
    <row r="353" spans="1:3" x14ac:dyDescent="0.25">
      <c r="A353" s="11">
        <v>0.35099999999999998</v>
      </c>
      <c r="B353" s="12">
        <f>(General_Model!$E$6/General_Model!$E$7)-1/(1+General_Model!$E$26/((1.2+0.2*(General_Model!$E$26/A353)+0.35*SQRT(9.80665*(General_Model!$E$4/1000))/A353)*A353))-(A353^2/(2*9.80665*General_Model!$E$7))*((4*(0.3164/((General_Model!$E$14*A353*(General_Model!$E$4/1000)/General_Model!$E$15)^0.25))*General_Model!$E$7/(General_Model!$E$4/1000)+1)+(4*(0.3164/((General_Model!$E$14*A353*(General_Model!$E$4/1000)/General_Model!$E$15)^0.25))*General_Model!$E$7/(General_Model!$E$4/1000)+2)*(General_Model!$E$26/A353))</f>
        <v>-2.7405740229604666E-2</v>
      </c>
      <c r="C353" s="13">
        <f t="shared" si="5"/>
        <v>0</v>
      </c>
    </row>
    <row r="354" spans="1:3" x14ac:dyDescent="0.25">
      <c r="A354" s="11">
        <v>0.35199999999999998</v>
      </c>
      <c r="B354" s="12">
        <f>(General_Model!$E$6/General_Model!$E$7)-1/(1+General_Model!$E$26/((1.2+0.2*(General_Model!$E$26/A354)+0.35*SQRT(9.80665*(General_Model!$E$4/1000))/A354)*A354))-(A354^2/(2*9.80665*General_Model!$E$7))*((4*(0.3164/((General_Model!$E$14*A354*(General_Model!$E$4/1000)/General_Model!$E$15)^0.25))*General_Model!$E$7/(General_Model!$E$4/1000)+1)+(4*(0.3164/((General_Model!$E$14*A354*(General_Model!$E$4/1000)/General_Model!$E$15)^0.25))*General_Model!$E$7/(General_Model!$E$4/1000)+2)*(General_Model!$E$26/A354))</f>
        <v>-2.7931010992053813E-2</v>
      </c>
      <c r="C354" s="13">
        <f t="shared" si="5"/>
        <v>0</v>
      </c>
    </row>
    <row r="355" spans="1:3" x14ac:dyDescent="0.25">
      <c r="A355" s="11">
        <v>0.35299999999999998</v>
      </c>
      <c r="B355" s="12">
        <f>(General_Model!$E$6/General_Model!$E$7)-1/(1+General_Model!$E$26/((1.2+0.2*(General_Model!$E$26/A355)+0.35*SQRT(9.80665*(General_Model!$E$4/1000))/A355)*A355))-(A355^2/(2*9.80665*General_Model!$E$7))*((4*(0.3164/((General_Model!$E$14*A355*(General_Model!$E$4/1000)/General_Model!$E$15)^0.25))*General_Model!$E$7/(General_Model!$E$4/1000)+1)+(4*(0.3164/((General_Model!$E$14*A355*(General_Model!$E$4/1000)/General_Model!$E$15)^0.25))*General_Model!$E$7/(General_Model!$E$4/1000)+2)*(General_Model!$E$26/A355))</f>
        <v>-2.8455876142655524E-2</v>
      </c>
      <c r="C355" s="13">
        <f t="shared" si="5"/>
        <v>0</v>
      </c>
    </row>
    <row r="356" spans="1:3" x14ac:dyDescent="0.25">
      <c r="A356" s="11">
        <v>0.35399999999999998</v>
      </c>
      <c r="B356" s="12">
        <f>(General_Model!$E$6/General_Model!$E$7)-1/(1+General_Model!$E$26/((1.2+0.2*(General_Model!$E$26/A356)+0.35*SQRT(9.80665*(General_Model!$E$4/1000))/A356)*A356))-(A356^2/(2*9.80665*General_Model!$E$7))*((4*(0.3164/((General_Model!$E$14*A356*(General_Model!$E$4/1000)/General_Model!$E$15)^0.25))*General_Model!$E$7/(General_Model!$E$4/1000)+1)+(4*(0.3164/((General_Model!$E$14*A356*(General_Model!$E$4/1000)/General_Model!$E$15)^0.25))*General_Model!$E$7/(General_Model!$E$4/1000)+2)*(General_Model!$E$26/A356))</f>
        <v>-2.8980337122048866E-2</v>
      </c>
      <c r="C356" s="13">
        <f t="shared" si="5"/>
        <v>0</v>
      </c>
    </row>
    <row r="357" spans="1:3" x14ac:dyDescent="0.25">
      <c r="A357" s="11">
        <v>0.35499999999999998</v>
      </c>
      <c r="B357" s="12">
        <f>(General_Model!$E$6/General_Model!$E$7)-1/(1+General_Model!$E$26/((1.2+0.2*(General_Model!$E$26/A357)+0.35*SQRT(9.80665*(General_Model!$E$4/1000))/A357)*A357))-(A357^2/(2*9.80665*General_Model!$E$7))*((4*(0.3164/((General_Model!$E$14*A357*(General_Model!$E$4/1000)/General_Model!$E$15)^0.25))*General_Model!$E$7/(General_Model!$E$4/1000)+1)+(4*(0.3164/((General_Model!$E$14*A357*(General_Model!$E$4/1000)/General_Model!$E$15)^0.25))*General_Model!$E$7/(General_Model!$E$4/1000)+2)*(General_Model!$E$26/A357))</f>
        <v>-2.9504395365898842E-2</v>
      </c>
      <c r="C357" s="13">
        <f t="shared" si="5"/>
        <v>0</v>
      </c>
    </row>
    <row r="358" spans="1:3" x14ac:dyDescent="0.25">
      <c r="A358" s="11">
        <v>0.35599999999999998</v>
      </c>
      <c r="B358" s="12">
        <f>(General_Model!$E$6/General_Model!$E$7)-1/(1+General_Model!$E$26/((1.2+0.2*(General_Model!$E$26/A358)+0.35*SQRT(9.80665*(General_Model!$E$4/1000))/A358)*A358))-(A358^2/(2*9.80665*General_Model!$E$7))*((4*(0.3164/((General_Model!$E$14*A358*(General_Model!$E$4/1000)/General_Model!$E$15)^0.25))*General_Model!$E$7/(General_Model!$E$4/1000)+1)+(4*(0.3164/((General_Model!$E$14*A358*(General_Model!$E$4/1000)/General_Model!$E$15)^0.25))*General_Model!$E$7/(General_Model!$E$4/1000)+2)*(General_Model!$E$26/A358))</f>
        <v>-3.0028052304920443E-2</v>
      </c>
      <c r="C358" s="13">
        <f t="shared" si="5"/>
        <v>0</v>
      </c>
    </row>
    <row r="359" spans="1:3" x14ac:dyDescent="0.25">
      <c r="A359" s="11">
        <v>0.35699999999999998</v>
      </c>
      <c r="B359" s="12">
        <f>(General_Model!$E$6/General_Model!$E$7)-1/(1+General_Model!$E$26/((1.2+0.2*(General_Model!$E$26/A359)+0.35*SQRT(9.80665*(General_Model!$E$4/1000))/A359)*A359))-(A359^2/(2*9.80665*General_Model!$E$7))*((4*(0.3164/((General_Model!$E$14*A359*(General_Model!$E$4/1000)/General_Model!$E$15)^0.25))*General_Model!$E$7/(General_Model!$E$4/1000)+1)+(4*(0.3164/((General_Model!$E$14*A359*(General_Model!$E$4/1000)/General_Model!$E$15)^0.25))*General_Model!$E$7/(General_Model!$E$4/1000)+2)*(General_Model!$E$26/A359))</f>
        <v>-3.055130936489938E-2</v>
      </c>
      <c r="C359" s="13">
        <f t="shared" si="5"/>
        <v>0</v>
      </c>
    </row>
    <row r="360" spans="1:3" x14ac:dyDescent="0.25">
      <c r="A360" s="11">
        <v>0.35799999999999998</v>
      </c>
      <c r="B360" s="12">
        <f>(General_Model!$E$6/General_Model!$E$7)-1/(1+General_Model!$E$26/((1.2+0.2*(General_Model!$E$26/A360)+0.35*SQRT(9.80665*(General_Model!$E$4/1000))/A360)*A360))-(A360^2/(2*9.80665*General_Model!$E$7))*((4*(0.3164/((General_Model!$E$14*A360*(General_Model!$E$4/1000)/General_Model!$E$15)^0.25))*General_Model!$E$7/(General_Model!$E$4/1000)+1)+(4*(0.3164/((General_Model!$E$14*A360*(General_Model!$E$4/1000)/General_Model!$E$15)^0.25))*General_Model!$E$7/(General_Model!$E$4/1000)+2)*(General_Model!$E$26/A360))</f>
        <v>-3.10741679667157E-2</v>
      </c>
      <c r="C360" s="13">
        <f t="shared" si="5"/>
        <v>0</v>
      </c>
    </row>
    <row r="361" spans="1:3" x14ac:dyDescent="0.25">
      <c r="A361" s="11">
        <v>0.35899999999999999</v>
      </c>
      <c r="B361" s="12">
        <f>(General_Model!$E$6/General_Model!$E$7)-1/(1+General_Model!$E$26/((1.2+0.2*(General_Model!$E$26/A361)+0.35*SQRT(9.80665*(General_Model!$E$4/1000))/A361)*A361))-(A361^2/(2*9.80665*General_Model!$E$7))*((4*(0.3164/((General_Model!$E$14*A361*(General_Model!$E$4/1000)/General_Model!$E$15)^0.25))*General_Model!$E$7/(General_Model!$E$4/1000)+1)+(4*(0.3164/((General_Model!$E$14*A361*(General_Model!$E$4/1000)/General_Model!$E$15)^0.25))*General_Model!$E$7/(General_Model!$E$4/1000)+2)*(General_Model!$E$26/A361))</f>
        <v>-3.1596629526365314E-2</v>
      </c>
      <c r="C361" s="13">
        <f t="shared" si="5"/>
        <v>0</v>
      </c>
    </row>
    <row r="362" spans="1:3" x14ac:dyDescent="0.25">
      <c r="A362" s="11">
        <v>0.36</v>
      </c>
      <c r="B362" s="12">
        <f>(General_Model!$E$6/General_Model!$E$7)-1/(1+General_Model!$E$26/((1.2+0.2*(General_Model!$E$26/A362)+0.35*SQRT(9.80665*(General_Model!$E$4/1000))/A362)*A362))-(A362^2/(2*9.80665*General_Model!$E$7))*((4*(0.3164/((General_Model!$E$14*A362*(General_Model!$E$4/1000)/General_Model!$E$15)^0.25))*General_Model!$E$7/(General_Model!$E$4/1000)+1)+(4*(0.3164/((General_Model!$E$14*A362*(General_Model!$E$4/1000)/General_Model!$E$15)^0.25))*General_Model!$E$7/(General_Model!$E$4/1000)+2)*(General_Model!$E$26/A362))</f>
        <v>-3.211869545498186E-2</v>
      </c>
      <c r="C362" s="13">
        <f t="shared" si="5"/>
        <v>0</v>
      </c>
    </row>
    <row r="363" spans="1:3" x14ac:dyDescent="0.25">
      <c r="A363" s="11">
        <v>0.36099999999999999</v>
      </c>
      <c r="B363" s="12">
        <f>(General_Model!$E$6/General_Model!$E$7)-1/(1+General_Model!$E$26/((1.2+0.2*(General_Model!$E$26/A363)+0.35*SQRT(9.80665*(General_Model!$E$4/1000))/A363)*A363))-(A363^2/(2*9.80665*General_Model!$E$7))*((4*(0.3164/((General_Model!$E$14*A363*(General_Model!$E$4/1000)/General_Model!$E$15)^0.25))*General_Model!$E$7/(General_Model!$E$4/1000)+1)+(4*(0.3164/((General_Model!$E$14*A363*(General_Model!$E$4/1000)/General_Model!$E$15)^0.25))*General_Model!$E$7/(General_Model!$E$4/1000)+2)*(General_Model!$E$26/A363))</f>
        <v>-3.2640367158859006E-2</v>
      </c>
      <c r="C363" s="13">
        <f t="shared" si="5"/>
        <v>0</v>
      </c>
    </row>
    <row r="364" spans="1:3" x14ac:dyDescent="0.25">
      <c r="A364" s="11">
        <v>0.36199999999999999</v>
      </c>
      <c r="B364" s="12">
        <f>(General_Model!$E$6/General_Model!$E$7)-1/(1+General_Model!$E$26/((1.2+0.2*(General_Model!$E$26/A364)+0.35*SQRT(9.80665*(General_Model!$E$4/1000))/A364)*A364))-(A364^2/(2*9.80665*General_Model!$E$7))*((4*(0.3164/((General_Model!$E$14*A364*(General_Model!$E$4/1000)/General_Model!$E$15)^0.25))*General_Model!$E$7/(General_Model!$E$4/1000)+1)+(4*(0.3164/((General_Model!$E$14*A364*(General_Model!$E$4/1000)/General_Model!$E$15)^0.25))*General_Model!$E$7/(General_Model!$E$4/1000)+2)*(General_Model!$E$26/A364))</f>
        <v>-3.3161646039472054E-2</v>
      </c>
      <c r="C364" s="13">
        <f t="shared" si="5"/>
        <v>0</v>
      </c>
    </row>
    <row r="365" spans="1:3" x14ac:dyDescent="0.25">
      <c r="A365" s="11">
        <v>0.36299999999999999</v>
      </c>
      <c r="B365" s="12">
        <f>(General_Model!$E$6/General_Model!$E$7)-1/(1+General_Model!$E$26/((1.2+0.2*(General_Model!$E$26/A365)+0.35*SQRT(9.80665*(General_Model!$E$4/1000))/A365)*A365))-(A365^2/(2*9.80665*General_Model!$E$7))*((4*(0.3164/((General_Model!$E$14*A365*(General_Model!$E$4/1000)/General_Model!$E$15)^0.25))*General_Model!$E$7/(General_Model!$E$4/1000)+1)+(4*(0.3164/((General_Model!$E$14*A365*(General_Model!$E$4/1000)/General_Model!$E$15)^0.25))*General_Model!$E$7/(General_Model!$E$4/1000)+2)*(General_Model!$E$26/A365))</f>
        <v>-3.3682533493499152E-2</v>
      </c>
      <c r="C365" s="13">
        <f t="shared" si="5"/>
        <v>0</v>
      </c>
    </row>
    <row r="366" spans="1:3" x14ac:dyDescent="0.25">
      <c r="A366" s="11">
        <v>0.36399999999999999</v>
      </c>
      <c r="B366" s="12">
        <f>(General_Model!$E$6/General_Model!$E$7)-1/(1+General_Model!$E$26/((1.2+0.2*(General_Model!$E$26/A366)+0.35*SQRT(9.80665*(General_Model!$E$4/1000))/A366)*A366))-(A366^2/(2*9.80665*General_Model!$E$7))*((4*(0.3164/((General_Model!$E$14*A366*(General_Model!$E$4/1000)/General_Model!$E$15)^0.25))*General_Model!$E$7/(General_Model!$E$4/1000)+1)+(4*(0.3164/((General_Model!$E$14*A366*(General_Model!$E$4/1000)/General_Model!$E$15)^0.25))*General_Model!$E$7/(General_Model!$E$4/1000)+2)*(General_Model!$E$26/A366))</f>
        <v>-3.4203030912843303E-2</v>
      </c>
      <c r="C366" s="13">
        <f t="shared" si="5"/>
        <v>0</v>
      </c>
    </row>
    <row r="367" spans="1:3" x14ac:dyDescent="0.25">
      <c r="A367" s="11">
        <v>0.36499999999999999</v>
      </c>
      <c r="B367" s="12">
        <f>(General_Model!$E$6/General_Model!$E$7)-1/(1+General_Model!$E$26/((1.2+0.2*(General_Model!$E$26/A367)+0.35*SQRT(9.80665*(General_Model!$E$4/1000))/A367)*A367))-(A367^2/(2*9.80665*General_Model!$E$7))*((4*(0.3164/((General_Model!$E$14*A367*(General_Model!$E$4/1000)/General_Model!$E$15)^0.25))*General_Model!$E$7/(General_Model!$E$4/1000)+1)+(4*(0.3164/((General_Model!$E$14*A367*(General_Model!$E$4/1000)/General_Model!$E$15)^0.25))*General_Model!$E$7/(General_Model!$E$4/1000)+2)*(General_Model!$E$26/A367))</f>
        <v>-3.472313968465314E-2</v>
      </c>
      <c r="C367" s="13">
        <f t="shared" si="5"/>
        <v>0</v>
      </c>
    </row>
    <row r="368" spans="1:3" x14ac:dyDescent="0.25">
      <c r="A368" s="11">
        <v>0.36599999999999999</v>
      </c>
      <c r="B368" s="12">
        <f>(General_Model!$E$6/General_Model!$E$7)-1/(1+General_Model!$E$26/((1.2+0.2*(General_Model!$E$26/A368)+0.35*SQRT(9.80665*(General_Model!$E$4/1000))/A368)*A368))-(A368^2/(2*9.80665*General_Model!$E$7))*((4*(0.3164/((General_Model!$E$14*A368*(General_Model!$E$4/1000)/General_Model!$E$15)^0.25))*General_Model!$E$7/(General_Model!$E$4/1000)+1)+(4*(0.3164/((General_Model!$E$14*A368*(General_Model!$E$4/1000)/General_Model!$E$15)^0.25))*General_Model!$E$7/(General_Model!$E$4/1000)+2)*(General_Model!$E$26/A368))</f>
        <v>-3.5242861191344885E-2</v>
      </c>
      <c r="C368" s="13">
        <f t="shared" si="5"/>
        <v>0</v>
      </c>
    </row>
    <row r="369" spans="1:3" x14ac:dyDescent="0.25">
      <c r="A369" s="11">
        <v>0.36699999999999999</v>
      </c>
      <c r="B369" s="12">
        <f>(General_Model!$E$6/General_Model!$E$7)-1/(1+General_Model!$E$26/((1.2+0.2*(General_Model!$E$26/A369)+0.35*SQRT(9.80665*(General_Model!$E$4/1000))/A369)*A369))-(A369^2/(2*9.80665*General_Model!$E$7))*((4*(0.3164/((General_Model!$E$14*A369*(General_Model!$E$4/1000)/General_Model!$E$15)^0.25))*General_Model!$E$7/(General_Model!$E$4/1000)+1)+(4*(0.3164/((General_Model!$E$14*A369*(General_Model!$E$4/1000)/General_Model!$E$15)^0.25))*General_Model!$E$7/(General_Model!$E$4/1000)+2)*(General_Model!$E$26/A369))</f>
        <v>-3.5762196810622898E-2</v>
      </c>
      <c r="C369" s="13">
        <f t="shared" si="5"/>
        <v>0</v>
      </c>
    </row>
    <row r="370" spans="1:3" x14ac:dyDescent="0.25">
      <c r="A370" s="11">
        <v>0.36799999999999999</v>
      </c>
      <c r="B370" s="12">
        <f>(General_Model!$E$6/General_Model!$E$7)-1/(1+General_Model!$E$26/((1.2+0.2*(General_Model!$E$26/A370)+0.35*SQRT(9.80665*(General_Model!$E$4/1000))/A370)*A370))-(A370^2/(2*9.80665*General_Model!$E$7))*((4*(0.3164/((General_Model!$E$14*A370*(General_Model!$E$4/1000)/General_Model!$E$15)^0.25))*General_Model!$E$7/(General_Model!$E$4/1000)+1)+(4*(0.3164/((General_Model!$E$14*A370*(General_Model!$E$4/1000)/General_Model!$E$15)^0.25))*General_Model!$E$7/(General_Model!$E$4/1000)+2)*(General_Model!$E$26/A370))</f>
        <v>-3.6281147915500384E-2</v>
      </c>
      <c r="C370" s="13">
        <f t="shared" si="5"/>
        <v>0</v>
      </c>
    </row>
    <row r="371" spans="1:3" x14ac:dyDescent="0.25">
      <c r="A371" s="11">
        <v>0.36899999999999999</v>
      </c>
      <c r="B371" s="12">
        <f>(General_Model!$E$6/General_Model!$E$7)-1/(1+General_Model!$E$26/((1.2+0.2*(General_Model!$E$26/A371)+0.35*SQRT(9.80665*(General_Model!$E$4/1000))/A371)*A371))-(A371^2/(2*9.80665*General_Model!$E$7))*((4*(0.3164/((General_Model!$E$14*A371*(General_Model!$E$4/1000)/General_Model!$E$15)^0.25))*General_Model!$E$7/(General_Model!$E$4/1000)+1)+(4*(0.3164/((General_Model!$E$14*A371*(General_Model!$E$4/1000)/General_Model!$E$15)^0.25))*General_Model!$E$7/(General_Model!$E$4/1000)+2)*(General_Model!$E$26/A371))</f>
        <v>-3.679971587432096E-2</v>
      </c>
      <c r="C371" s="13">
        <f t="shared" si="5"/>
        <v>0</v>
      </c>
    </row>
    <row r="372" spans="1:3" x14ac:dyDescent="0.25">
      <c r="A372" s="11">
        <v>0.37</v>
      </c>
      <c r="B372" s="12">
        <f>(General_Model!$E$6/General_Model!$E$7)-1/(1+General_Model!$E$26/((1.2+0.2*(General_Model!$E$26/A372)+0.35*SQRT(9.80665*(General_Model!$E$4/1000))/A372)*A372))-(A372^2/(2*9.80665*General_Model!$E$7))*((4*(0.3164/((General_Model!$E$14*A372*(General_Model!$E$4/1000)/General_Model!$E$15)^0.25))*General_Model!$E$7/(General_Model!$E$4/1000)+1)+(4*(0.3164/((General_Model!$E$14*A372*(General_Model!$E$4/1000)/General_Model!$E$15)^0.25))*General_Model!$E$7/(General_Model!$E$4/1000)+2)*(General_Model!$E$26/A372))</f>
        <v>-3.7317902050779166E-2</v>
      </c>
      <c r="C372" s="13">
        <f t="shared" si="5"/>
        <v>0</v>
      </c>
    </row>
    <row r="373" spans="1:3" x14ac:dyDescent="0.25">
      <c r="A373" s="11">
        <v>0.371</v>
      </c>
      <c r="B373" s="12">
        <f>(General_Model!$E$6/General_Model!$E$7)-1/(1+General_Model!$E$26/((1.2+0.2*(General_Model!$E$26/A373)+0.35*SQRT(9.80665*(General_Model!$E$4/1000))/A373)*A373))-(A373^2/(2*9.80665*General_Model!$E$7))*((4*(0.3164/((General_Model!$E$14*A373*(General_Model!$E$4/1000)/General_Model!$E$15)^0.25))*General_Model!$E$7/(General_Model!$E$4/1000)+1)+(4*(0.3164/((General_Model!$E$14*A373*(General_Model!$E$4/1000)/General_Model!$E$15)^0.25))*General_Model!$E$7/(General_Model!$E$4/1000)+2)*(General_Model!$E$26/A373))</f>
        <v>-3.7835707803940251E-2</v>
      </c>
      <c r="C373" s="13">
        <f t="shared" si="5"/>
        <v>0</v>
      </c>
    </row>
    <row r="374" spans="1:3" x14ac:dyDescent="0.25">
      <c r="A374" s="11">
        <v>0.372</v>
      </c>
      <c r="B374" s="12">
        <f>(General_Model!$E$6/General_Model!$E$7)-1/(1+General_Model!$E$26/((1.2+0.2*(General_Model!$E$26/A374)+0.35*SQRT(9.80665*(General_Model!$E$4/1000))/A374)*A374))-(A374^2/(2*9.80665*General_Model!$E$7))*((4*(0.3164/((General_Model!$E$14*A374*(General_Model!$E$4/1000)/General_Model!$E$15)^0.25))*General_Model!$E$7/(General_Model!$E$4/1000)+1)+(4*(0.3164/((General_Model!$E$14*A374*(General_Model!$E$4/1000)/General_Model!$E$15)^0.25))*General_Model!$E$7/(General_Model!$E$4/1000)+2)*(General_Model!$E$26/A374))</f>
        <v>-3.8353134488262101E-2</v>
      </c>
      <c r="C374" s="13">
        <f t="shared" si="5"/>
        <v>0</v>
      </c>
    </row>
    <row r="375" spans="1:3" x14ac:dyDescent="0.25">
      <c r="A375" s="11">
        <v>0.373</v>
      </c>
      <c r="B375" s="12">
        <f>(General_Model!$E$6/General_Model!$E$7)-1/(1+General_Model!$E$26/((1.2+0.2*(General_Model!$E$26/A375)+0.35*SQRT(9.80665*(General_Model!$E$4/1000))/A375)*A375))-(A375^2/(2*9.80665*General_Model!$E$7))*((4*(0.3164/((General_Model!$E$14*A375*(General_Model!$E$4/1000)/General_Model!$E$15)^0.25))*General_Model!$E$7/(General_Model!$E$4/1000)+1)+(4*(0.3164/((General_Model!$E$14*A375*(General_Model!$E$4/1000)/General_Model!$E$15)^0.25))*General_Model!$E$7/(General_Model!$E$4/1000)+2)*(General_Model!$E$26/A375))</f>
        <v>-3.8870183453613857E-2</v>
      </c>
      <c r="C375" s="13">
        <f t="shared" si="5"/>
        <v>0</v>
      </c>
    </row>
    <row r="376" spans="1:3" x14ac:dyDescent="0.25">
      <c r="A376" s="11">
        <v>0.374</v>
      </c>
      <c r="B376" s="12">
        <f>(General_Model!$E$6/General_Model!$E$7)-1/(1+General_Model!$E$26/((1.2+0.2*(General_Model!$E$26/A376)+0.35*SQRT(9.80665*(General_Model!$E$4/1000))/A376)*A376))-(A376^2/(2*9.80665*General_Model!$E$7))*((4*(0.3164/((General_Model!$E$14*A376*(General_Model!$E$4/1000)/General_Model!$E$15)^0.25))*General_Model!$E$7/(General_Model!$E$4/1000)+1)+(4*(0.3164/((General_Model!$E$14*A376*(General_Model!$E$4/1000)/General_Model!$E$15)^0.25))*General_Model!$E$7/(General_Model!$E$4/1000)+2)*(General_Model!$E$26/A376))</f>
        <v>-3.9386856045297979E-2</v>
      </c>
      <c r="C376" s="13">
        <f t="shared" si="5"/>
        <v>0</v>
      </c>
    </row>
    <row r="377" spans="1:3" x14ac:dyDescent="0.25">
      <c r="A377" s="11">
        <v>0.375</v>
      </c>
      <c r="B377" s="12">
        <f>(General_Model!$E$6/General_Model!$E$7)-1/(1+General_Model!$E$26/((1.2+0.2*(General_Model!$E$26/A377)+0.35*SQRT(9.80665*(General_Model!$E$4/1000))/A377)*A377))-(A377^2/(2*9.80665*General_Model!$E$7))*((4*(0.3164/((General_Model!$E$14*A377*(General_Model!$E$4/1000)/General_Model!$E$15)^0.25))*General_Model!$E$7/(General_Model!$E$4/1000)+1)+(4*(0.3164/((General_Model!$E$14*A377*(General_Model!$E$4/1000)/General_Model!$E$15)^0.25))*General_Model!$E$7/(General_Model!$E$4/1000)+2)*(General_Model!$E$26/A377))</f>
        <v>-3.9903153604068625E-2</v>
      </c>
      <c r="C377" s="13">
        <f t="shared" si="5"/>
        <v>0</v>
      </c>
    </row>
    <row r="378" spans="1:3" x14ac:dyDescent="0.25">
      <c r="A378" s="11">
        <v>0.376</v>
      </c>
      <c r="B378" s="12">
        <f>(General_Model!$E$6/General_Model!$E$7)-1/(1+General_Model!$E$26/((1.2+0.2*(General_Model!$E$26/A378)+0.35*SQRT(9.80665*(General_Model!$E$4/1000))/A378)*A378))-(A378^2/(2*9.80665*General_Model!$E$7))*((4*(0.3164/((General_Model!$E$14*A378*(General_Model!$E$4/1000)/General_Model!$E$15)^0.25))*General_Model!$E$7/(General_Model!$E$4/1000)+1)+(4*(0.3164/((General_Model!$E$14*A378*(General_Model!$E$4/1000)/General_Model!$E$15)^0.25))*General_Model!$E$7/(General_Model!$E$4/1000)+2)*(General_Model!$E$26/A378))</f>
        <v>-4.0419077466153031E-2</v>
      </c>
      <c r="C378" s="13">
        <f t="shared" si="5"/>
        <v>0</v>
      </c>
    </row>
    <row r="379" spans="1:3" x14ac:dyDescent="0.25">
      <c r="A379" s="11">
        <v>0.377</v>
      </c>
      <c r="B379" s="12">
        <f>(General_Model!$E$6/General_Model!$E$7)-1/(1+General_Model!$E$26/((1.2+0.2*(General_Model!$E$26/A379)+0.35*SQRT(9.80665*(General_Model!$E$4/1000))/A379)*A379))-(A379^2/(2*9.80665*General_Model!$E$7))*((4*(0.3164/((General_Model!$E$14*A379*(General_Model!$E$4/1000)/General_Model!$E$15)^0.25))*General_Model!$E$7/(General_Model!$E$4/1000)+1)+(4*(0.3164/((General_Model!$E$14*A379*(General_Model!$E$4/1000)/General_Model!$E$15)^0.25))*General_Model!$E$7/(General_Model!$E$4/1000)+2)*(General_Model!$E$26/A379))</f>
        <v>-4.0934628963270464E-2</v>
      </c>
      <c r="C379" s="13">
        <f t="shared" si="5"/>
        <v>0</v>
      </c>
    </row>
    <row r="380" spans="1:3" x14ac:dyDescent="0.25">
      <c r="A380" s="11">
        <v>0.378</v>
      </c>
      <c r="B380" s="12">
        <f>(General_Model!$E$6/General_Model!$E$7)-1/(1+General_Model!$E$26/((1.2+0.2*(General_Model!$E$26/A380)+0.35*SQRT(9.80665*(General_Model!$E$4/1000))/A380)*A380))-(A380^2/(2*9.80665*General_Model!$E$7))*((4*(0.3164/((General_Model!$E$14*A380*(General_Model!$E$4/1000)/General_Model!$E$15)^0.25))*General_Model!$E$7/(General_Model!$E$4/1000)+1)+(4*(0.3164/((General_Model!$E$14*A380*(General_Model!$E$4/1000)/General_Model!$E$15)^0.25))*General_Model!$E$7/(General_Model!$E$4/1000)+2)*(General_Model!$E$26/A380))</f>
        <v>-4.1449809422652466E-2</v>
      </c>
      <c r="C380" s="13">
        <f t="shared" si="5"/>
        <v>0</v>
      </c>
    </row>
    <row r="381" spans="1:3" x14ac:dyDescent="0.25">
      <c r="A381" s="11">
        <v>0.379</v>
      </c>
      <c r="B381" s="12">
        <f>(General_Model!$E$6/General_Model!$E$7)-1/(1+General_Model!$E$26/((1.2+0.2*(General_Model!$E$26/A381)+0.35*SQRT(9.80665*(General_Model!$E$4/1000))/A381)*A381))-(A381^2/(2*9.80665*General_Model!$E$7))*((4*(0.3164/((General_Model!$E$14*A381*(General_Model!$E$4/1000)/General_Model!$E$15)^0.25))*General_Model!$E$7/(General_Model!$E$4/1000)+1)+(4*(0.3164/((General_Model!$E$14*A381*(General_Model!$E$4/1000)/General_Model!$E$15)^0.25))*General_Model!$E$7/(General_Model!$E$4/1000)+2)*(General_Model!$E$26/A381))</f>
        <v>-4.1964620167062247E-2</v>
      </c>
      <c r="C381" s="13">
        <f t="shared" si="5"/>
        <v>0</v>
      </c>
    </row>
    <row r="382" spans="1:3" x14ac:dyDescent="0.25">
      <c r="A382" s="11">
        <v>0.38</v>
      </c>
      <c r="B382" s="12">
        <f>(General_Model!$E$6/General_Model!$E$7)-1/(1+General_Model!$E$26/((1.2+0.2*(General_Model!$E$26/A382)+0.35*SQRT(9.80665*(General_Model!$E$4/1000))/A382)*A382))-(A382^2/(2*9.80665*General_Model!$E$7))*((4*(0.3164/((General_Model!$E$14*A382*(General_Model!$E$4/1000)/General_Model!$E$15)^0.25))*General_Model!$E$7/(General_Model!$E$4/1000)+1)+(4*(0.3164/((General_Model!$E$14*A382*(General_Model!$E$4/1000)/General_Model!$E$15)^0.25))*General_Model!$E$7/(General_Model!$E$4/1000)+2)*(General_Model!$E$26/A382))</f>
        <v>-4.2479062514814571E-2</v>
      </c>
      <c r="C382" s="13">
        <f t="shared" si="5"/>
        <v>0</v>
      </c>
    </row>
    <row r="383" spans="1:3" x14ac:dyDescent="0.25">
      <c r="A383" s="11">
        <v>0.38100000000000001</v>
      </c>
      <c r="B383" s="12">
        <f>(General_Model!$E$6/General_Model!$E$7)-1/(1+General_Model!$E$26/((1.2+0.2*(General_Model!$E$26/A383)+0.35*SQRT(9.80665*(General_Model!$E$4/1000))/A383)*A383))-(A383^2/(2*9.80665*General_Model!$E$7))*((4*(0.3164/((General_Model!$E$14*A383*(General_Model!$E$4/1000)/General_Model!$E$15)^0.25))*General_Model!$E$7/(General_Model!$E$4/1000)+1)+(4*(0.3164/((General_Model!$E$14*A383*(General_Model!$E$4/1000)/General_Model!$E$15)^0.25))*General_Model!$E$7/(General_Model!$E$4/1000)+2)*(General_Model!$E$26/A383))</f>
        <v>-4.299313777979466E-2</v>
      </c>
      <c r="C383" s="13">
        <f t="shared" si="5"/>
        <v>0</v>
      </c>
    </row>
    <row r="384" spans="1:3" x14ac:dyDescent="0.25">
      <c r="A384" s="11">
        <v>0.38200000000000001</v>
      </c>
      <c r="B384" s="12">
        <f>(General_Model!$E$6/General_Model!$E$7)-1/(1+General_Model!$E$26/((1.2+0.2*(General_Model!$E$26/A384)+0.35*SQRT(9.80665*(General_Model!$E$4/1000))/A384)*A384))-(A384^2/(2*9.80665*General_Model!$E$7))*((4*(0.3164/((General_Model!$E$14*A384*(General_Model!$E$4/1000)/General_Model!$E$15)^0.25))*General_Model!$E$7/(General_Model!$E$4/1000)+1)+(4*(0.3164/((General_Model!$E$14*A384*(General_Model!$E$4/1000)/General_Model!$E$15)^0.25))*General_Model!$E$7/(General_Model!$E$4/1000)+2)*(General_Model!$E$26/A384))</f>
        <v>-4.3506847271477724E-2</v>
      </c>
      <c r="C384" s="13">
        <f t="shared" si="5"/>
        <v>0</v>
      </c>
    </row>
    <row r="385" spans="1:3" x14ac:dyDescent="0.25">
      <c r="A385" s="11">
        <v>0.38300000000000001</v>
      </c>
      <c r="B385" s="12">
        <f>(General_Model!$E$6/General_Model!$E$7)-1/(1+General_Model!$E$26/((1.2+0.2*(General_Model!$E$26/A385)+0.35*SQRT(9.80665*(General_Model!$E$4/1000))/A385)*A385))-(A385^2/(2*9.80665*General_Model!$E$7))*((4*(0.3164/((General_Model!$E$14*A385*(General_Model!$E$4/1000)/General_Model!$E$15)^0.25))*General_Model!$E$7/(General_Model!$E$4/1000)+1)+(4*(0.3164/((General_Model!$E$14*A385*(General_Model!$E$4/1000)/General_Model!$E$15)^0.25))*General_Model!$E$7/(General_Model!$E$4/1000)+2)*(General_Model!$E$26/A385))</f>
        <v>-4.4020192294948537E-2</v>
      </c>
      <c r="C385" s="13">
        <f t="shared" si="5"/>
        <v>0</v>
      </c>
    </row>
    <row r="386" spans="1:3" x14ac:dyDescent="0.25">
      <c r="A386" s="11">
        <v>0.38400000000000001</v>
      </c>
      <c r="B386" s="12">
        <f>(General_Model!$E$6/General_Model!$E$7)-1/(1+General_Model!$E$26/((1.2+0.2*(General_Model!$E$26/A386)+0.35*SQRT(9.80665*(General_Model!$E$4/1000))/A386)*A386))-(A386^2/(2*9.80665*General_Model!$E$7))*((4*(0.3164/((General_Model!$E$14*A386*(General_Model!$E$4/1000)/General_Model!$E$15)^0.25))*General_Model!$E$7/(General_Model!$E$4/1000)+1)+(4*(0.3164/((General_Model!$E$14*A386*(General_Model!$E$4/1000)/General_Model!$E$15)^0.25))*General_Model!$E$7/(General_Model!$E$4/1000)+2)*(General_Model!$E$26/A386))</f>
        <v>-4.4533174150919924E-2</v>
      </c>
      <c r="C386" s="13">
        <f t="shared" si="5"/>
        <v>0</v>
      </c>
    </row>
    <row r="387" spans="1:3" x14ac:dyDescent="0.25">
      <c r="A387" s="11">
        <v>0.38500000000000001</v>
      </c>
      <c r="B387" s="12">
        <f>(General_Model!$E$6/General_Model!$E$7)-1/(1+General_Model!$E$26/((1.2+0.2*(General_Model!$E$26/A387)+0.35*SQRT(9.80665*(General_Model!$E$4/1000))/A387)*A387))-(A387^2/(2*9.80665*General_Model!$E$7))*((4*(0.3164/((General_Model!$E$14*A387*(General_Model!$E$4/1000)/General_Model!$E$15)^0.25))*General_Model!$E$7/(General_Model!$E$4/1000)+1)+(4*(0.3164/((General_Model!$E$14*A387*(General_Model!$E$4/1000)/General_Model!$E$15)^0.25))*General_Model!$E$7/(General_Model!$E$4/1000)+2)*(General_Model!$E$26/A387))</f>
        <v>-4.504579413575191E-2</v>
      </c>
      <c r="C387" s="13">
        <f t="shared" ref="C387:C450" si="6">IF(B387*B388&lt;=0,1,0)</f>
        <v>0</v>
      </c>
    </row>
    <row r="388" spans="1:3" x14ac:dyDescent="0.25">
      <c r="A388" s="11">
        <v>0.38600000000000001</v>
      </c>
      <c r="B388" s="12">
        <f>(General_Model!$E$6/General_Model!$E$7)-1/(1+General_Model!$E$26/((1.2+0.2*(General_Model!$E$26/A388)+0.35*SQRT(9.80665*(General_Model!$E$4/1000))/A388)*A388))-(A388^2/(2*9.80665*General_Model!$E$7))*((4*(0.3164/((General_Model!$E$14*A388*(General_Model!$E$4/1000)/General_Model!$E$15)^0.25))*General_Model!$E$7/(General_Model!$E$4/1000)+1)+(4*(0.3164/((General_Model!$E$14*A388*(General_Model!$E$4/1000)/General_Model!$E$15)^0.25))*General_Model!$E$7/(General_Model!$E$4/1000)+2)*(General_Model!$E$26/A388))</f>
        <v>-4.5558053541471057E-2</v>
      </c>
      <c r="C388" s="13">
        <f t="shared" si="6"/>
        <v>0</v>
      </c>
    </row>
    <row r="389" spans="1:3" x14ac:dyDescent="0.25">
      <c r="A389" s="11">
        <v>0.38700000000000001</v>
      </c>
      <c r="B389" s="12">
        <f>(General_Model!$E$6/General_Model!$E$7)-1/(1+General_Model!$E$26/((1.2+0.2*(General_Model!$E$26/A389)+0.35*SQRT(9.80665*(General_Model!$E$4/1000))/A389)*A389))-(A389^2/(2*9.80665*General_Model!$E$7))*((4*(0.3164/((General_Model!$E$14*A389*(General_Model!$E$4/1000)/General_Model!$E$15)^0.25))*General_Model!$E$7/(General_Model!$E$4/1000)+1)+(4*(0.3164/((General_Model!$E$14*A389*(General_Model!$E$4/1000)/General_Model!$E$15)^0.25))*General_Model!$E$7/(General_Model!$E$4/1000)+2)*(General_Model!$E$26/A389))</f>
        <v>-4.606995365578833E-2</v>
      </c>
      <c r="C389" s="13">
        <f t="shared" si="6"/>
        <v>0</v>
      </c>
    </row>
    <row r="390" spans="1:3" x14ac:dyDescent="0.25">
      <c r="A390" s="11">
        <v>0.38800000000000001</v>
      </c>
      <c r="B390" s="12">
        <f>(General_Model!$E$6/General_Model!$E$7)-1/(1+General_Model!$E$26/((1.2+0.2*(General_Model!$E$26/A390)+0.35*SQRT(9.80665*(General_Model!$E$4/1000))/A390)*A390))-(A390^2/(2*9.80665*General_Model!$E$7))*((4*(0.3164/((General_Model!$E$14*A390*(General_Model!$E$4/1000)/General_Model!$E$15)^0.25))*General_Model!$E$7/(General_Model!$E$4/1000)+1)+(4*(0.3164/((General_Model!$E$14*A390*(General_Model!$E$4/1000)/General_Model!$E$15)^0.25))*General_Model!$E$7/(General_Model!$E$4/1000)+2)*(General_Model!$E$26/A390))</f>
        <v>-4.6581495762118778E-2</v>
      </c>
      <c r="C390" s="13">
        <f t="shared" si="6"/>
        <v>0</v>
      </c>
    </row>
    <row r="391" spans="1:3" x14ac:dyDescent="0.25">
      <c r="A391" s="11">
        <v>0.38900000000000001</v>
      </c>
      <c r="B391" s="12">
        <f>(General_Model!$E$6/General_Model!$E$7)-1/(1+General_Model!$E$26/((1.2+0.2*(General_Model!$E$26/A391)+0.35*SQRT(9.80665*(General_Model!$E$4/1000))/A391)*A391))-(A391^2/(2*9.80665*General_Model!$E$7))*((4*(0.3164/((General_Model!$E$14*A391*(General_Model!$E$4/1000)/General_Model!$E$15)^0.25))*General_Model!$E$7/(General_Model!$E$4/1000)+1)+(4*(0.3164/((General_Model!$E$14*A391*(General_Model!$E$4/1000)/General_Model!$E$15)^0.25))*General_Model!$E$7/(General_Model!$E$4/1000)+2)*(General_Model!$E$26/A391))</f>
        <v>-4.709268113959917E-2</v>
      </c>
      <c r="C391" s="13">
        <f t="shared" si="6"/>
        <v>0</v>
      </c>
    </row>
    <row r="392" spans="1:3" x14ac:dyDescent="0.25">
      <c r="A392" s="11">
        <v>0.39</v>
      </c>
      <c r="B392" s="12">
        <f>(General_Model!$E$6/General_Model!$E$7)-1/(1+General_Model!$E$26/((1.2+0.2*(General_Model!$E$26/A392)+0.35*SQRT(9.80665*(General_Model!$E$4/1000))/A392)*A392))-(A392^2/(2*9.80665*General_Model!$E$7))*((4*(0.3164/((General_Model!$E$14*A392*(General_Model!$E$4/1000)/General_Model!$E$15)^0.25))*General_Model!$E$7/(General_Model!$E$4/1000)+1)+(4*(0.3164/((General_Model!$E$14*A392*(General_Model!$E$4/1000)/General_Model!$E$15)^0.25))*General_Model!$E$7/(General_Model!$E$4/1000)+2)*(General_Model!$E$26/A392))</f>
        <v>-4.7603511063107007E-2</v>
      </c>
      <c r="C392" s="13">
        <f t="shared" si="6"/>
        <v>0</v>
      </c>
    </row>
    <row r="393" spans="1:3" x14ac:dyDescent="0.25">
      <c r="A393" s="11">
        <v>0.39100000000000001</v>
      </c>
      <c r="B393" s="12">
        <f>(General_Model!$E$6/General_Model!$E$7)-1/(1+General_Model!$E$26/((1.2+0.2*(General_Model!$E$26/A393)+0.35*SQRT(9.80665*(General_Model!$E$4/1000))/A393)*A393))-(A393^2/(2*9.80665*General_Model!$E$7))*((4*(0.3164/((General_Model!$E$14*A393*(General_Model!$E$4/1000)/General_Model!$E$15)^0.25))*General_Model!$E$7/(General_Model!$E$4/1000)+1)+(4*(0.3164/((General_Model!$E$14*A393*(General_Model!$E$4/1000)/General_Model!$E$15)^0.25))*General_Model!$E$7/(General_Model!$E$4/1000)+2)*(General_Model!$E$26/A393))</f>
        <v>-4.8113986803278691E-2</v>
      </c>
      <c r="C393" s="13">
        <f t="shared" si="6"/>
        <v>0</v>
      </c>
    </row>
    <row r="394" spans="1:3" x14ac:dyDescent="0.25">
      <c r="A394" s="11">
        <v>0.39200000000000002</v>
      </c>
      <c r="B394" s="12">
        <f>(General_Model!$E$6/General_Model!$E$7)-1/(1+General_Model!$E$26/((1.2+0.2*(General_Model!$E$26/A394)+0.35*SQRT(9.80665*(General_Model!$E$4/1000))/A394)*A394))-(A394^2/(2*9.80665*General_Model!$E$7))*((4*(0.3164/((General_Model!$E$14*A394*(General_Model!$E$4/1000)/General_Model!$E$15)^0.25))*General_Model!$E$7/(General_Model!$E$4/1000)+1)+(4*(0.3164/((General_Model!$E$14*A394*(General_Model!$E$4/1000)/General_Model!$E$15)^0.25))*General_Model!$E$7/(General_Model!$E$4/1000)+2)*(General_Model!$E$26/A394))</f>
        <v>-4.8624109626527766E-2</v>
      </c>
      <c r="C394" s="13">
        <f t="shared" si="6"/>
        <v>0</v>
      </c>
    </row>
    <row r="395" spans="1:3" x14ac:dyDescent="0.25">
      <c r="A395" s="11">
        <v>0.39300000000000002</v>
      </c>
      <c r="B395" s="12">
        <f>(General_Model!$E$6/General_Model!$E$7)-1/(1+General_Model!$E$26/((1.2+0.2*(General_Model!$E$26/A395)+0.35*SQRT(9.80665*(General_Model!$E$4/1000))/A395)*A395))-(A395^2/(2*9.80665*General_Model!$E$7))*((4*(0.3164/((General_Model!$E$14*A395*(General_Model!$E$4/1000)/General_Model!$E$15)^0.25))*General_Model!$E$7/(General_Model!$E$4/1000)+1)+(4*(0.3164/((General_Model!$E$14*A395*(General_Model!$E$4/1000)/General_Model!$E$15)^0.25))*General_Model!$E$7/(General_Model!$E$4/1000)+2)*(General_Model!$E$26/A395))</f>
        <v>-4.913388079506302E-2</v>
      </c>
      <c r="C395" s="13">
        <f t="shared" si="6"/>
        <v>0</v>
      </c>
    </row>
    <row r="396" spans="1:3" x14ac:dyDescent="0.25">
      <c r="A396" s="11">
        <v>0.39400000000000002</v>
      </c>
      <c r="B396" s="12">
        <f>(General_Model!$E$6/General_Model!$E$7)-1/(1+General_Model!$E$26/((1.2+0.2*(General_Model!$E$26/A396)+0.35*SQRT(9.80665*(General_Model!$E$4/1000))/A396)*A396))-(A396^2/(2*9.80665*General_Model!$E$7))*((4*(0.3164/((General_Model!$E$14*A396*(General_Model!$E$4/1000)/General_Model!$E$15)^0.25))*General_Model!$E$7/(General_Model!$E$4/1000)+1)+(4*(0.3164/((General_Model!$E$14*A396*(General_Model!$E$4/1000)/General_Model!$E$15)^0.25))*General_Model!$E$7/(General_Model!$E$4/1000)+2)*(General_Model!$E$26/A396))</f>
        <v>-4.9643301566906252E-2</v>
      </c>
      <c r="C396" s="13">
        <f t="shared" si="6"/>
        <v>0</v>
      </c>
    </row>
    <row r="397" spans="1:3" x14ac:dyDescent="0.25">
      <c r="A397" s="11">
        <v>0.39500000000000002</v>
      </c>
      <c r="B397" s="12">
        <f>(General_Model!$E$6/General_Model!$E$7)-1/(1+General_Model!$E$26/((1.2+0.2*(General_Model!$E$26/A397)+0.35*SQRT(9.80665*(General_Model!$E$4/1000))/A397)*A397))-(A397^2/(2*9.80665*General_Model!$E$7))*((4*(0.3164/((General_Model!$E$14*A397*(General_Model!$E$4/1000)/General_Model!$E$15)^0.25))*General_Model!$E$7/(General_Model!$E$4/1000)+1)+(4*(0.3164/((General_Model!$E$14*A397*(General_Model!$E$4/1000)/General_Model!$E$15)^0.25))*General_Model!$E$7/(General_Model!$E$4/1000)+2)*(General_Model!$E$26/A397))</f>
        <v>-5.0152373195911072E-2</v>
      </c>
      <c r="C397" s="13">
        <f t="shared" si="6"/>
        <v>0</v>
      </c>
    </row>
    <row r="398" spans="1:3" x14ac:dyDescent="0.25">
      <c r="A398" s="11">
        <v>0.39600000000000002</v>
      </c>
      <c r="B398" s="12">
        <f>(General_Model!$E$6/General_Model!$E$7)-1/(1+General_Model!$E$26/((1.2+0.2*(General_Model!$E$26/A398)+0.35*SQRT(9.80665*(General_Model!$E$4/1000))/A398)*A398))-(A398^2/(2*9.80665*General_Model!$E$7))*((4*(0.3164/((General_Model!$E$14*A398*(General_Model!$E$4/1000)/General_Model!$E$15)^0.25))*General_Model!$E$7/(General_Model!$E$4/1000)+1)+(4*(0.3164/((General_Model!$E$14*A398*(General_Model!$E$4/1000)/General_Model!$E$15)^0.25))*General_Model!$E$7/(General_Model!$E$4/1000)+2)*(General_Model!$E$26/A398))</f>
        <v>-5.0661096931779663E-2</v>
      </c>
      <c r="C398" s="13">
        <f t="shared" si="6"/>
        <v>0</v>
      </c>
    </row>
    <row r="399" spans="1:3" x14ac:dyDescent="0.25">
      <c r="A399" s="11">
        <v>0.39700000000000002</v>
      </c>
      <c r="B399" s="12">
        <f>(General_Model!$E$6/General_Model!$E$7)-1/(1+General_Model!$E$26/((1.2+0.2*(General_Model!$E$26/A399)+0.35*SQRT(9.80665*(General_Model!$E$4/1000))/A399)*A399))-(A399^2/(2*9.80665*General_Model!$E$7))*((4*(0.3164/((General_Model!$E$14*A399*(General_Model!$E$4/1000)/General_Model!$E$15)^0.25))*General_Model!$E$7/(General_Model!$E$4/1000)+1)+(4*(0.3164/((General_Model!$E$14*A399*(General_Model!$E$4/1000)/General_Model!$E$15)^0.25))*General_Model!$E$7/(General_Model!$E$4/1000)+2)*(General_Model!$E$26/A399))</f>
        <v>-5.1169474020081054E-2</v>
      </c>
      <c r="C399" s="13">
        <f t="shared" si="6"/>
        <v>0</v>
      </c>
    </row>
    <row r="400" spans="1:3" x14ac:dyDescent="0.25">
      <c r="A400" s="11">
        <v>0.39800000000000002</v>
      </c>
      <c r="B400" s="12">
        <f>(General_Model!$E$6/General_Model!$E$7)-1/(1+General_Model!$E$26/((1.2+0.2*(General_Model!$E$26/A400)+0.35*SQRT(9.80665*(General_Model!$E$4/1000))/A400)*A400))-(A400^2/(2*9.80665*General_Model!$E$7))*((4*(0.3164/((General_Model!$E$14*A400*(General_Model!$E$4/1000)/General_Model!$E$15)^0.25))*General_Model!$E$7/(General_Model!$E$4/1000)+1)+(4*(0.3164/((General_Model!$E$14*A400*(General_Model!$E$4/1000)/General_Model!$E$15)^0.25))*General_Model!$E$7/(General_Model!$E$4/1000)+2)*(General_Model!$E$26/A400))</f>
        <v>-5.1677505702268957E-2</v>
      </c>
      <c r="C400" s="13">
        <f t="shared" si="6"/>
        <v>0</v>
      </c>
    </row>
    <row r="401" spans="1:3" x14ac:dyDescent="0.25">
      <c r="A401" s="11">
        <v>0.39900000000000002</v>
      </c>
      <c r="B401" s="12">
        <f>(General_Model!$E$6/General_Model!$E$7)-1/(1+General_Model!$E$26/((1.2+0.2*(General_Model!$E$26/A401)+0.35*SQRT(9.80665*(General_Model!$E$4/1000))/A401)*A401))-(A401^2/(2*9.80665*General_Model!$E$7))*((4*(0.3164/((General_Model!$E$14*A401*(General_Model!$E$4/1000)/General_Model!$E$15)^0.25))*General_Model!$E$7/(General_Model!$E$4/1000)+1)+(4*(0.3164/((General_Model!$E$14*A401*(General_Model!$E$4/1000)/General_Model!$E$15)^0.25))*General_Model!$E$7/(General_Model!$E$4/1000)+2)*(General_Model!$E$26/A401))</f>
        <v>-5.2185193215698769E-2</v>
      </c>
      <c r="C401" s="13">
        <f t="shared" si="6"/>
        <v>0</v>
      </c>
    </row>
    <row r="402" spans="1:3" x14ac:dyDescent="0.25">
      <c r="A402" s="11">
        <v>0.4</v>
      </c>
      <c r="B402" s="12">
        <f>(General_Model!$E$6/General_Model!$E$7)-1/(1+General_Model!$E$26/((1.2+0.2*(General_Model!$E$26/A402)+0.35*SQRT(9.80665*(General_Model!$E$4/1000))/A402)*A402))-(A402^2/(2*9.80665*General_Model!$E$7))*((4*(0.3164/((General_Model!$E$14*A402*(General_Model!$E$4/1000)/General_Model!$E$15)^0.25))*General_Model!$E$7/(General_Model!$E$4/1000)+1)+(4*(0.3164/((General_Model!$E$14*A402*(General_Model!$E$4/1000)/General_Model!$E$15)^0.25))*General_Model!$E$7/(General_Model!$E$4/1000)+2)*(General_Model!$E$26/A402))</f>
        <v>-5.2692537793645272E-2</v>
      </c>
      <c r="C402" s="13">
        <f t="shared" si="6"/>
        <v>0</v>
      </c>
    </row>
    <row r="403" spans="1:3" x14ac:dyDescent="0.25">
      <c r="A403" s="11">
        <v>0.40100000000000002</v>
      </c>
      <c r="B403" s="12">
        <f>(General_Model!$E$6/General_Model!$E$7)-1/(1+General_Model!$E$26/((1.2+0.2*(General_Model!$E$26/A403)+0.35*SQRT(9.80665*(General_Model!$E$4/1000))/A403)*A403))-(A403^2/(2*9.80665*General_Model!$E$7))*((4*(0.3164/((General_Model!$E$14*A403*(General_Model!$E$4/1000)/General_Model!$E$15)^0.25))*General_Model!$E$7/(General_Model!$E$4/1000)+1)+(4*(0.3164/((General_Model!$E$14*A403*(General_Model!$E$4/1000)/General_Model!$E$15)^0.25))*General_Model!$E$7/(General_Model!$E$4/1000)+2)*(General_Model!$E$26/A403))</f>
        <v>-5.319954066532008E-2</v>
      </c>
      <c r="C403" s="13">
        <f t="shared" si="6"/>
        <v>0</v>
      </c>
    </row>
    <row r="404" spans="1:3" x14ac:dyDescent="0.25">
      <c r="A404" s="11">
        <v>0.40200000000000002</v>
      </c>
      <c r="B404" s="12">
        <f>(General_Model!$E$6/General_Model!$E$7)-1/(1+General_Model!$E$26/((1.2+0.2*(General_Model!$E$26/A404)+0.35*SQRT(9.80665*(General_Model!$E$4/1000))/A404)*A404))-(A404^2/(2*9.80665*General_Model!$E$7))*((4*(0.3164/((General_Model!$E$14*A404*(General_Model!$E$4/1000)/General_Model!$E$15)^0.25))*General_Model!$E$7/(General_Model!$E$4/1000)+1)+(4*(0.3164/((General_Model!$E$14*A404*(General_Model!$E$4/1000)/General_Model!$E$15)^0.25))*General_Model!$E$7/(General_Model!$E$4/1000)+2)*(General_Model!$E$26/A404))</f>
        <v>-5.3706203055888739E-2</v>
      </c>
      <c r="C404" s="13">
        <f t="shared" si="6"/>
        <v>0</v>
      </c>
    </row>
    <row r="405" spans="1:3" x14ac:dyDescent="0.25">
      <c r="A405" s="11">
        <v>0.40300000000000002</v>
      </c>
      <c r="B405" s="12">
        <f>(General_Model!$E$6/General_Model!$E$7)-1/(1+General_Model!$E$26/((1.2+0.2*(General_Model!$E$26/A405)+0.35*SQRT(9.80665*(General_Model!$E$4/1000))/A405)*A405))-(A405^2/(2*9.80665*General_Model!$E$7))*((4*(0.3164/((General_Model!$E$14*A405*(General_Model!$E$4/1000)/General_Model!$E$15)^0.25))*General_Model!$E$7/(General_Model!$E$4/1000)+1)+(4*(0.3164/((General_Model!$E$14*A405*(General_Model!$E$4/1000)/General_Model!$E$15)^0.25))*General_Model!$E$7/(General_Model!$E$4/1000)+2)*(General_Model!$E$26/A405))</f>
        <v>-5.4212526186487794E-2</v>
      </c>
      <c r="C405" s="13">
        <f t="shared" si="6"/>
        <v>0</v>
      </c>
    </row>
    <row r="406" spans="1:3" x14ac:dyDescent="0.25">
      <c r="A406" s="11">
        <v>0.40400000000000003</v>
      </c>
      <c r="B406" s="12">
        <f>(General_Model!$E$6/General_Model!$E$7)-1/(1+General_Model!$E$26/((1.2+0.2*(General_Model!$E$26/A406)+0.35*SQRT(9.80665*(General_Model!$E$4/1000))/A406)*A406))-(A406^2/(2*9.80665*General_Model!$E$7))*((4*(0.3164/((General_Model!$E$14*A406*(General_Model!$E$4/1000)/General_Model!$E$15)^0.25))*General_Model!$E$7/(General_Model!$E$4/1000)+1)+(4*(0.3164/((General_Model!$E$14*A406*(General_Model!$E$4/1000)/General_Model!$E$15)^0.25))*General_Model!$E$7/(General_Model!$E$4/1000)+2)*(General_Model!$E$26/A406))</f>
        <v>-5.4718511274242126E-2</v>
      </c>
      <c r="C406" s="13">
        <f t="shared" si="6"/>
        <v>0</v>
      </c>
    </row>
    <row r="407" spans="1:3" x14ac:dyDescent="0.25">
      <c r="A407" s="11">
        <v>0.40500000000000003</v>
      </c>
      <c r="B407" s="12">
        <f>(General_Model!$E$6/General_Model!$E$7)-1/(1+General_Model!$E$26/((1.2+0.2*(General_Model!$E$26/A407)+0.35*SQRT(9.80665*(General_Model!$E$4/1000))/A407)*A407))-(A407^2/(2*9.80665*General_Model!$E$7))*((4*(0.3164/((General_Model!$E$14*A407*(General_Model!$E$4/1000)/General_Model!$E$15)^0.25))*General_Model!$E$7/(General_Model!$E$4/1000)+1)+(4*(0.3164/((General_Model!$E$14*A407*(General_Model!$E$4/1000)/General_Model!$E$15)^0.25))*General_Model!$E$7/(General_Model!$E$4/1000)+2)*(General_Model!$E$26/A407))</f>
        <v>-5.5224159532281762E-2</v>
      </c>
      <c r="C407" s="13">
        <f t="shared" si="6"/>
        <v>0</v>
      </c>
    </row>
    <row r="408" spans="1:3" x14ac:dyDescent="0.25">
      <c r="A408" s="11">
        <v>0.40600000000000003</v>
      </c>
      <c r="B408" s="12">
        <f>(General_Model!$E$6/General_Model!$E$7)-1/(1+General_Model!$E$26/((1.2+0.2*(General_Model!$E$26/A408)+0.35*SQRT(9.80665*(General_Model!$E$4/1000))/A408)*A408))-(A408^2/(2*9.80665*General_Model!$E$7))*((4*(0.3164/((General_Model!$E$14*A408*(General_Model!$E$4/1000)/General_Model!$E$15)^0.25))*General_Model!$E$7/(General_Model!$E$4/1000)+1)+(4*(0.3164/((General_Model!$E$14*A408*(General_Model!$E$4/1000)/General_Model!$E$15)^0.25))*General_Model!$E$7/(General_Model!$E$4/1000)+2)*(General_Model!$E$26/A408))</f>
        <v>-5.572947216975848E-2</v>
      </c>
      <c r="C408" s="13">
        <f t="shared" si="6"/>
        <v>0</v>
      </c>
    </row>
    <row r="409" spans="1:3" x14ac:dyDescent="0.25">
      <c r="A409" s="11">
        <v>0.40699999999999997</v>
      </c>
      <c r="B409" s="12">
        <f>(General_Model!$E$6/General_Model!$E$7)-1/(1+General_Model!$E$26/((1.2+0.2*(General_Model!$E$26/A409)+0.35*SQRT(9.80665*(General_Model!$E$4/1000))/A409)*A409))-(A409^2/(2*9.80665*General_Model!$E$7))*((4*(0.3164/((General_Model!$E$14*A409*(General_Model!$E$4/1000)/General_Model!$E$15)^0.25))*General_Model!$E$7/(General_Model!$E$4/1000)+1)+(4*(0.3164/((General_Model!$E$14*A409*(General_Model!$E$4/1000)/General_Model!$E$15)^0.25))*General_Model!$E$7/(General_Model!$E$4/1000)+2)*(General_Model!$E$26/A409))</f>
        <v>-5.6234450391862874E-2</v>
      </c>
      <c r="C409" s="13">
        <f t="shared" si="6"/>
        <v>0</v>
      </c>
    </row>
    <row r="410" spans="1:3" x14ac:dyDescent="0.25">
      <c r="A410" s="11">
        <v>0.40799999999999997</v>
      </c>
      <c r="B410" s="12">
        <f>(General_Model!$E$6/General_Model!$E$7)-1/(1+General_Model!$E$26/((1.2+0.2*(General_Model!$E$26/A410)+0.35*SQRT(9.80665*(General_Model!$E$4/1000))/A410)*A410))-(A410^2/(2*9.80665*General_Model!$E$7))*((4*(0.3164/((General_Model!$E$14*A410*(General_Model!$E$4/1000)/General_Model!$E$15)^0.25))*General_Model!$E$7/(General_Model!$E$4/1000)+1)+(4*(0.3164/((General_Model!$E$14*A410*(General_Model!$E$4/1000)/General_Model!$E$15)^0.25))*General_Model!$E$7/(General_Model!$E$4/1000)+2)*(General_Model!$E$26/A410))</f>
        <v>-5.673909539984133E-2</v>
      </c>
      <c r="C410" s="13">
        <f t="shared" si="6"/>
        <v>0</v>
      </c>
    </row>
    <row r="411" spans="1:3" x14ac:dyDescent="0.25">
      <c r="A411" s="11">
        <v>0.40899999999999997</v>
      </c>
      <c r="B411" s="12">
        <f>(General_Model!$E$6/General_Model!$E$7)-1/(1+General_Model!$E$26/((1.2+0.2*(General_Model!$E$26/A411)+0.35*SQRT(9.80665*(General_Model!$E$4/1000))/A411)*A411))-(A411^2/(2*9.80665*General_Model!$E$7))*((4*(0.3164/((General_Model!$E$14*A411*(General_Model!$E$4/1000)/General_Model!$E$15)^0.25))*General_Model!$E$7/(General_Model!$E$4/1000)+1)+(4*(0.3164/((General_Model!$E$14*A411*(General_Model!$E$4/1000)/General_Model!$E$15)^0.25))*General_Model!$E$7/(General_Model!$E$4/1000)+2)*(General_Model!$E$26/A411))</f>
        <v>-5.724340839101183E-2</v>
      </c>
      <c r="C411" s="13">
        <f t="shared" si="6"/>
        <v>0</v>
      </c>
    </row>
    <row r="412" spans="1:3" x14ac:dyDescent="0.25">
      <c r="A412" s="11">
        <v>0.41</v>
      </c>
      <c r="B412" s="12">
        <f>(General_Model!$E$6/General_Model!$E$7)-1/(1+General_Model!$E$26/((1.2+0.2*(General_Model!$E$26/A412)+0.35*SQRT(9.80665*(General_Model!$E$4/1000))/A412)*A412))-(A412^2/(2*9.80665*General_Model!$E$7))*((4*(0.3164/((General_Model!$E$14*A412*(General_Model!$E$4/1000)/General_Model!$E$15)^0.25))*General_Model!$E$7/(General_Model!$E$4/1000)+1)+(4*(0.3164/((General_Model!$E$14*A412*(General_Model!$E$4/1000)/General_Model!$E$15)^0.25))*General_Model!$E$7/(General_Model!$E$4/1000)+2)*(General_Model!$E$26/A412))</f>
        <v>-5.7747390558781309E-2</v>
      </c>
      <c r="C412" s="13">
        <f t="shared" si="6"/>
        <v>0</v>
      </c>
    </row>
    <row r="413" spans="1:3" x14ac:dyDescent="0.25">
      <c r="A413" s="11">
        <v>0.41099999999999998</v>
      </c>
      <c r="B413" s="12">
        <f>(General_Model!$E$6/General_Model!$E$7)-1/(1+General_Model!$E$26/((1.2+0.2*(General_Model!$E$26/A413)+0.35*SQRT(9.80665*(General_Model!$E$4/1000))/A413)*A413))-(A413^2/(2*9.80665*General_Model!$E$7))*((4*(0.3164/((General_Model!$E$14*A413*(General_Model!$E$4/1000)/General_Model!$E$15)^0.25))*General_Model!$E$7/(General_Model!$E$4/1000)+1)+(4*(0.3164/((General_Model!$E$14*A413*(General_Model!$E$4/1000)/General_Model!$E$15)^0.25))*General_Model!$E$7/(General_Model!$E$4/1000)+2)*(General_Model!$E$26/A413))</f>
        <v>-5.8251043092661131E-2</v>
      </c>
      <c r="C413" s="13">
        <f t="shared" si="6"/>
        <v>0</v>
      </c>
    </row>
    <row r="414" spans="1:3" x14ac:dyDescent="0.25">
      <c r="A414" s="11">
        <v>0.41199999999999998</v>
      </c>
      <c r="B414" s="12">
        <f>(General_Model!$E$6/General_Model!$E$7)-1/(1+General_Model!$E$26/((1.2+0.2*(General_Model!$E$26/A414)+0.35*SQRT(9.80665*(General_Model!$E$4/1000))/A414)*A414))-(A414^2/(2*9.80665*General_Model!$E$7))*((4*(0.3164/((General_Model!$E$14*A414*(General_Model!$E$4/1000)/General_Model!$E$15)^0.25))*General_Model!$E$7/(General_Model!$E$4/1000)+1)+(4*(0.3164/((General_Model!$E$14*A414*(General_Model!$E$4/1000)/General_Model!$E$15)^0.25))*General_Model!$E$7/(General_Model!$E$4/1000)+2)*(General_Model!$E$26/A414))</f>
        <v>-5.8754367178284375E-2</v>
      </c>
      <c r="C414" s="13">
        <f t="shared" si="6"/>
        <v>0</v>
      </c>
    </row>
    <row r="415" spans="1:3" x14ac:dyDescent="0.25">
      <c r="A415" s="11">
        <v>0.41299999999999998</v>
      </c>
      <c r="B415" s="12">
        <f>(General_Model!$E$6/General_Model!$E$7)-1/(1+General_Model!$E$26/((1.2+0.2*(General_Model!$E$26/A415)+0.35*SQRT(9.80665*(General_Model!$E$4/1000))/A415)*A415))-(A415^2/(2*9.80665*General_Model!$E$7))*((4*(0.3164/((General_Model!$E$14*A415*(General_Model!$E$4/1000)/General_Model!$E$15)^0.25))*General_Model!$E$7/(General_Model!$E$4/1000)+1)+(4*(0.3164/((General_Model!$E$14*A415*(General_Model!$E$4/1000)/General_Model!$E$15)^0.25))*General_Model!$E$7/(General_Model!$E$4/1000)+2)*(General_Model!$E$26/A415))</f>
        <v>-5.9257363997421611E-2</v>
      </c>
      <c r="C415" s="13">
        <f t="shared" si="6"/>
        <v>0</v>
      </c>
    </row>
    <row r="416" spans="1:3" x14ac:dyDescent="0.25">
      <c r="A416" s="11">
        <v>0.41399999999999998</v>
      </c>
      <c r="B416" s="12">
        <f>(General_Model!$E$6/General_Model!$E$7)-1/(1+General_Model!$E$26/((1.2+0.2*(General_Model!$E$26/A416)+0.35*SQRT(9.80665*(General_Model!$E$4/1000))/A416)*A416))-(A416^2/(2*9.80665*General_Model!$E$7))*((4*(0.3164/((General_Model!$E$14*A416*(General_Model!$E$4/1000)/General_Model!$E$15)^0.25))*General_Model!$E$7/(General_Model!$E$4/1000)+1)+(4*(0.3164/((General_Model!$E$14*A416*(General_Model!$E$4/1000)/General_Model!$E$15)^0.25))*General_Model!$E$7/(General_Model!$E$4/1000)+2)*(General_Model!$E$26/A416))</f>
        <v>-5.9760034727996819E-2</v>
      </c>
      <c r="C416" s="13">
        <f t="shared" si="6"/>
        <v>0</v>
      </c>
    </row>
    <row r="417" spans="1:3" x14ac:dyDescent="0.25">
      <c r="A417" s="11">
        <v>0.41499999999999998</v>
      </c>
      <c r="B417" s="12">
        <f>(General_Model!$E$6/General_Model!$E$7)-1/(1+General_Model!$E$26/((1.2+0.2*(General_Model!$E$26/A417)+0.35*SQRT(9.80665*(General_Model!$E$4/1000))/A417)*A417))-(A417^2/(2*9.80665*General_Model!$E$7))*((4*(0.3164/((General_Model!$E$14*A417*(General_Model!$E$4/1000)/General_Model!$E$15)^0.25))*General_Model!$E$7/(General_Model!$E$4/1000)+1)+(4*(0.3164/((General_Model!$E$14*A417*(General_Model!$E$4/1000)/General_Model!$E$15)^0.25))*General_Model!$E$7/(General_Model!$E$4/1000)+2)*(General_Model!$E$26/A417))</f>
        <v>-6.0262380544103961E-2</v>
      </c>
      <c r="C417" s="13">
        <f t="shared" si="6"/>
        <v>0</v>
      </c>
    </row>
    <row r="418" spans="1:3" x14ac:dyDescent="0.25">
      <c r="A418" s="11">
        <v>0.41599999999999998</v>
      </c>
      <c r="B418" s="12">
        <f>(General_Model!$E$6/General_Model!$E$7)-1/(1+General_Model!$E$26/((1.2+0.2*(General_Model!$E$26/A418)+0.35*SQRT(9.80665*(General_Model!$E$4/1000))/A418)*A418))-(A418^2/(2*9.80665*General_Model!$E$7))*((4*(0.3164/((General_Model!$E$14*A418*(General_Model!$E$4/1000)/General_Model!$E$15)^0.25))*General_Model!$E$7/(General_Model!$E$4/1000)+1)+(4*(0.3164/((General_Model!$E$14*A418*(General_Model!$E$4/1000)/General_Model!$E$15)^0.25))*General_Model!$E$7/(General_Model!$E$4/1000)+2)*(General_Model!$E$26/A418))</f>
        <v>-6.0764402616022575E-2</v>
      </c>
      <c r="C418" s="13">
        <f t="shared" si="6"/>
        <v>0</v>
      </c>
    </row>
    <row r="419" spans="1:3" x14ac:dyDescent="0.25">
      <c r="A419" s="11">
        <v>0.41699999999999998</v>
      </c>
      <c r="B419" s="12">
        <f>(General_Model!$E$6/General_Model!$E$7)-1/(1+General_Model!$E$26/((1.2+0.2*(General_Model!$E$26/A419)+0.35*SQRT(9.80665*(General_Model!$E$4/1000))/A419)*A419))-(A419^2/(2*9.80665*General_Model!$E$7))*((4*(0.3164/((General_Model!$E$14*A419*(General_Model!$E$4/1000)/General_Model!$E$15)^0.25))*General_Model!$E$7/(General_Model!$E$4/1000)+1)+(4*(0.3164/((General_Model!$E$14*A419*(General_Model!$E$4/1000)/General_Model!$E$15)^0.25))*General_Model!$E$7/(General_Model!$E$4/1000)+2)*(General_Model!$E$26/A419))</f>
        <v>-6.126610211023388E-2</v>
      </c>
      <c r="C419" s="13">
        <f t="shared" si="6"/>
        <v>0</v>
      </c>
    </row>
    <row r="420" spans="1:3" x14ac:dyDescent="0.25">
      <c r="A420" s="11">
        <v>0.41799999999999998</v>
      </c>
      <c r="B420" s="12">
        <f>(General_Model!$E$6/General_Model!$E$7)-1/(1+General_Model!$E$26/((1.2+0.2*(General_Model!$E$26/A420)+0.35*SQRT(9.80665*(General_Model!$E$4/1000))/A420)*A420))-(A420^2/(2*9.80665*General_Model!$E$7))*((4*(0.3164/((General_Model!$E$14*A420*(General_Model!$E$4/1000)/General_Model!$E$15)^0.25))*General_Model!$E$7/(General_Model!$E$4/1000)+1)+(4*(0.3164/((General_Model!$E$14*A420*(General_Model!$E$4/1000)/General_Model!$E$15)^0.25))*General_Model!$E$7/(General_Model!$E$4/1000)+2)*(General_Model!$E$26/A420))</f>
        <v>-6.1767480189436133E-2</v>
      </c>
      <c r="C420" s="13">
        <f t="shared" si="6"/>
        <v>0</v>
      </c>
    </row>
    <row r="421" spans="1:3" x14ac:dyDescent="0.25">
      <c r="A421" s="11">
        <v>0.41899999999999998</v>
      </c>
      <c r="B421" s="12">
        <f>(General_Model!$E$6/General_Model!$E$7)-1/(1+General_Model!$E$26/((1.2+0.2*(General_Model!$E$26/A421)+0.35*SQRT(9.80665*(General_Model!$E$4/1000))/A421)*A421))-(A421^2/(2*9.80665*General_Model!$E$7))*((4*(0.3164/((General_Model!$E$14*A421*(General_Model!$E$4/1000)/General_Model!$E$15)^0.25))*General_Model!$E$7/(General_Model!$E$4/1000)+1)+(4*(0.3164/((General_Model!$E$14*A421*(General_Model!$E$4/1000)/General_Model!$E$15)^0.25))*General_Model!$E$7/(General_Model!$E$4/1000)+2)*(General_Model!$E$26/A421))</f>
        <v>-6.2268538012561228E-2</v>
      </c>
      <c r="C421" s="13">
        <f t="shared" si="6"/>
        <v>0</v>
      </c>
    </row>
    <row r="422" spans="1:3" x14ac:dyDescent="0.25">
      <c r="A422" s="11">
        <v>0.42</v>
      </c>
      <c r="B422" s="12">
        <f>(General_Model!$E$6/General_Model!$E$7)-1/(1+General_Model!$E$26/((1.2+0.2*(General_Model!$E$26/A422)+0.35*SQRT(9.80665*(General_Model!$E$4/1000))/A422)*A422))-(A422^2/(2*9.80665*General_Model!$E$7))*((4*(0.3164/((General_Model!$E$14*A422*(General_Model!$E$4/1000)/General_Model!$E$15)^0.25))*General_Model!$E$7/(General_Model!$E$4/1000)+1)+(4*(0.3164/((General_Model!$E$14*A422*(General_Model!$E$4/1000)/General_Model!$E$15)^0.25))*General_Model!$E$7/(General_Model!$E$4/1000)+2)*(General_Model!$E$26/A422))</f>
        <v>-6.2769276734789409E-2</v>
      </c>
      <c r="C422" s="13">
        <f t="shared" si="6"/>
        <v>0</v>
      </c>
    </row>
    <row r="423" spans="1:3" x14ac:dyDescent="0.25">
      <c r="A423" s="11">
        <v>0.42099999999999999</v>
      </c>
      <c r="B423" s="12">
        <f>(General_Model!$E$6/General_Model!$E$7)-1/(1+General_Model!$E$26/((1.2+0.2*(General_Model!$E$26/A423)+0.35*SQRT(9.80665*(General_Model!$E$4/1000))/A423)*A423))-(A423^2/(2*9.80665*General_Model!$E$7))*((4*(0.3164/((General_Model!$E$14*A423*(General_Model!$E$4/1000)/General_Model!$E$15)^0.25))*General_Model!$E$7/(General_Model!$E$4/1000)+1)+(4*(0.3164/((General_Model!$E$14*A423*(General_Model!$E$4/1000)/General_Model!$E$15)^0.25))*General_Model!$E$7/(General_Model!$E$4/1000)+2)*(General_Model!$E$26/A423))</f>
        <v>-6.3269697507565323E-2</v>
      </c>
      <c r="C423" s="13">
        <f t="shared" si="6"/>
        <v>0</v>
      </c>
    </row>
    <row r="424" spans="1:3" x14ac:dyDescent="0.25">
      <c r="A424" s="11">
        <v>0.42199999999999999</v>
      </c>
      <c r="B424" s="12">
        <f>(General_Model!$E$6/General_Model!$E$7)-1/(1+General_Model!$E$26/((1.2+0.2*(General_Model!$E$26/A424)+0.35*SQRT(9.80665*(General_Model!$E$4/1000))/A424)*A424))-(A424^2/(2*9.80665*General_Model!$E$7))*((4*(0.3164/((General_Model!$E$14*A424*(General_Model!$E$4/1000)/General_Model!$E$15)^0.25))*General_Model!$E$7/(General_Model!$E$4/1000)+1)+(4*(0.3164/((General_Model!$E$14*A424*(General_Model!$E$4/1000)/General_Model!$E$15)^0.25))*General_Model!$E$7/(General_Model!$E$4/1000)+2)*(General_Model!$E$26/A424))</f>
        <v>-6.3769801478613622E-2</v>
      </c>
      <c r="C424" s="13">
        <f t="shared" si="6"/>
        <v>0</v>
      </c>
    </row>
    <row r="425" spans="1:3" x14ac:dyDescent="0.25">
      <c r="A425" s="11">
        <v>0.42299999999999999</v>
      </c>
      <c r="B425" s="12">
        <f>(General_Model!$E$6/General_Model!$E$7)-1/(1+General_Model!$E$26/((1.2+0.2*(General_Model!$E$26/A425)+0.35*SQRT(9.80665*(General_Model!$E$4/1000))/A425)*A425))-(A425^2/(2*9.80665*General_Model!$E$7))*((4*(0.3164/((General_Model!$E$14*A425*(General_Model!$E$4/1000)/General_Model!$E$15)^0.25))*General_Model!$E$7/(General_Model!$E$4/1000)+1)+(4*(0.3164/((General_Model!$E$14*A425*(General_Model!$E$4/1000)/General_Model!$E$15)^0.25))*General_Model!$E$7/(General_Model!$E$4/1000)+2)*(General_Model!$E$26/A425))</f>
        <v>-6.4269589791953685E-2</v>
      </c>
      <c r="C425" s="13">
        <f t="shared" si="6"/>
        <v>0</v>
      </c>
    </row>
    <row r="426" spans="1:3" x14ac:dyDescent="0.25">
      <c r="A426" s="11">
        <v>0.42399999999999999</v>
      </c>
      <c r="B426" s="12">
        <f>(General_Model!$E$6/General_Model!$E$7)-1/(1+General_Model!$E$26/((1.2+0.2*(General_Model!$E$26/A426)+0.35*SQRT(9.80665*(General_Model!$E$4/1000))/A426)*A426))-(A426^2/(2*9.80665*General_Model!$E$7))*((4*(0.3164/((General_Model!$E$14*A426*(General_Model!$E$4/1000)/General_Model!$E$15)^0.25))*General_Model!$E$7/(General_Model!$E$4/1000)+1)+(4*(0.3164/((General_Model!$E$14*A426*(General_Model!$E$4/1000)/General_Model!$E$15)^0.25))*General_Model!$E$7/(General_Model!$E$4/1000)+2)*(General_Model!$E$26/A426))</f>
        <v>-6.4769063587915454E-2</v>
      </c>
      <c r="C426" s="13">
        <f t="shared" si="6"/>
        <v>0</v>
      </c>
    </row>
    <row r="427" spans="1:3" x14ac:dyDescent="0.25">
      <c r="A427" s="11">
        <v>0.42499999999999999</v>
      </c>
      <c r="B427" s="12">
        <f>(General_Model!$E$6/General_Model!$E$7)-1/(1+General_Model!$E$26/((1.2+0.2*(General_Model!$E$26/A427)+0.35*SQRT(9.80665*(General_Model!$E$4/1000))/A427)*A427))-(A427^2/(2*9.80665*General_Model!$E$7))*((4*(0.3164/((General_Model!$E$14*A427*(General_Model!$E$4/1000)/General_Model!$E$15)^0.25))*General_Model!$E$7/(General_Model!$E$4/1000)+1)+(4*(0.3164/((General_Model!$E$14*A427*(General_Model!$E$4/1000)/General_Model!$E$15)^0.25))*General_Model!$E$7/(General_Model!$E$4/1000)+2)*(General_Model!$E$26/A427))</f>
        <v>-6.5268224003155059E-2</v>
      </c>
      <c r="C427" s="13">
        <f t="shared" si="6"/>
        <v>0</v>
      </c>
    </row>
    <row r="428" spans="1:3" x14ac:dyDescent="0.25">
      <c r="A428" s="11">
        <v>0.42599999999999999</v>
      </c>
      <c r="B428" s="12">
        <f>(General_Model!$E$6/General_Model!$E$7)-1/(1+General_Model!$E$26/((1.2+0.2*(General_Model!$E$26/A428)+0.35*SQRT(9.80665*(General_Model!$E$4/1000))/A428)*A428))-(A428^2/(2*9.80665*General_Model!$E$7))*((4*(0.3164/((General_Model!$E$14*A428*(General_Model!$E$4/1000)/General_Model!$E$15)^0.25))*General_Model!$E$7/(General_Model!$E$4/1000)+1)+(4*(0.3164/((General_Model!$E$14*A428*(General_Model!$E$4/1000)/General_Model!$E$15)^0.25))*General_Model!$E$7/(General_Model!$E$4/1000)+2)*(General_Model!$E$26/A428))</f>
        <v>-6.5767072170668725E-2</v>
      </c>
      <c r="C428" s="13">
        <f t="shared" si="6"/>
        <v>0</v>
      </c>
    </row>
    <row r="429" spans="1:3" x14ac:dyDescent="0.25">
      <c r="A429" s="11">
        <v>0.42699999999999999</v>
      </c>
      <c r="B429" s="12">
        <f>(General_Model!$E$6/General_Model!$E$7)-1/(1+General_Model!$E$26/((1.2+0.2*(General_Model!$E$26/A429)+0.35*SQRT(9.80665*(General_Model!$E$4/1000))/A429)*A429))-(A429^2/(2*9.80665*General_Model!$E$7))*((4*(0.3164/((General_Model!$E$14*A429*(General_Model!$E$4/1000)/General_Model!$E$15)^0.25))*General_Model!$E$7/(General_Model!$E$4/1000)+1)+(4*(0.3164/((General_Model!$E$14*A429*(General_Model!$E$4/1000)/General_Model!$E$15)^0.25))*General_Model!$E$7/(General_Model!$E$4/1000)+2)*(General_Model!$E$26/A429))</f>
        <v>-6.6265609219809007E-2</v>
      </c>
      <c r="C429" s="13">
        <f t="shared" si="6"/>
        <v>0</v>
      </c>
    </row>
    <row r="430" spans="1:3" x14ac:dyDescent="0.25">
      <c r="A430" s="11">
        <v>0.42799999999999999</v>
      </c>
      <c r="B430" s="12">
        <f>(General_Model!$E$6/General_Model!$E$7)-1/(1+General_Model!$E$26/((1.2+0.2*(General_Model!$E$26/A430)+0.35*SQRT(9.80665*(General_Model!$E$4/1000))/A430)*A430))-(A430^2/(2*9.80665*General_Model!$E$7))*((4*(0.3164/((General_Model!$E$14*A430*(General_Model!$E$4/1000)/General_Model!$E$15)^0.25))*General_Model!$E$7/(General_Model!$E$4/1000)+1)+(4*(0.3164/((General_Model!$E$14*A430*(General_Model!$E$4/1000)/General_Model!$E$15)^0.25))*General_Model!$E$7/(General_Model!$E$4/1000)+2)*(General_Model!$E$26/A430))</f>
        <v>-6.676383627629906E-2</v>
      </c>
      <c r="C430" s="13">
        <f t="shared" si="6"/>
        <v>0</v>
      </c>
    </row>
    <row r="431" spans="1:3" x14ac:dyDescent="0.25">
      <c r="A431" s="11">
        <v>0.42899999999999999</v>
      </c>
      <c r="B431" s="12">
        <f>(General_Model!$E$6/General_Model!$E$7)-1/(1+General_Model!$E$26/((1.2+0.2*(General_Model!$E$26/A431)+0.35*SQRT(9.80665*(General_Model!$E$4/1000))/A431)*A431))-(A431^2/(2*9.80665*General_Model!$E$7))*((4*(0.3164/((General_Model!$E$14*A431*(General_Model!$E$4/1000)/General_Model!$E$15)^0.25))*General_Model!$E$7/(General_Model!$E$4/1000)+1)+(4*(0.3164/((General_Model!$E$14*A431*(General_Model!$E$4/1000)/General_Model!$E$15)^0.25))*General_Model!$E$7/(General_Model!$E$4/1000)+2)*(General_Model!$E$26/A431))</f>
        <v>-6.726175446224808E-2</v>
      </c>
      <c r="C431" s="13">
        <f t="shared" si="6"/>
        <v>0</v>
      </c>
    </row>
    <row r="432" spans="1:3" x14ac:dyDescent="0.25">
      <c r="A432" s="11">
        <v>0.43</v>
      </c>
      <c r="B432" s="12">
        <f>(General_Model!$E$6/General_Model!$E$7)-1/(1+General_Model!$E$26/((1.2+0.2*(General_Model!$E$26/A432)+0.35*SQRT(9.80665*(General_Model!$E$4/1000))/A432)*A432))-(A432^2/(2*9.80665*General_Model!$E$7))*((4*(0.3164/((General_Model!$E$14*A432*(General_Model!$E$4/1000)/General_Model!$E$15)^0.25))*General_Model!$E$7/(General_Model!$E$4/1000)+1)+(4*(0.3164/((General_Model!$E$14*A432*(General_Model!$E$4/1000)/General_Model!$E$15)^0.25))*General_Model!$E$7/(General_Model!$E$4/1000)+2)*(General_Model!$E$26/A432))</f>
        <v>-6.7759364896165769E-2</v>
      </c>
      <c r="C432" s="13">
        <f t="shared" si="6"/>
        <v>0</v>
      </c>
    </row>
    <row r="433" spans="1:3" x14ac:dyDescent="0.25">
      <c r="A433" s="11">
        <v>0.43099999999999999</v>
      </c>
      <c r="B433" s="12">
        <f>(General_Model!$E$6/General_Model!$E$7)-1/(1+General_Model!$E$26/((1.2+0.2*(General_Model!$E$26/A433)+0.35*SQRT(9.80665*(General_Model!$E$4/1000))/A433)*A433))-(A433^2/(2*9.80665*General_Model!$E$7))*((4*(0.3164/((General_Model!$E$14*A433*(General_Model!$E$4/1000)/General_Model!$E$15)^0.25))*General_Model!$E$7/(General_Model!$E$4/1000)+1)+(4*(0.3164/((General_Model!$E$14*A433*(General_Model!$E$4/1000)/General_Model!$E$15)^0.25))*General_Model!$E$7/(General_Model!$E$4/1000)+2)*(General_Model!$E$26/A433))</f>
        <v>-6.8256668692977071E-2</v>
      </c>
      <c r="C433" s="13">
        <f t="shared" si="6"/>
        <v>0</v>
      </c>
    </row>
    <row r="434" spans="1:3" x14ac:dyDescent="0.25">
      <c r="A434" s="11">
        <v>0.432</v>
      </c>
      <c r="B434" s="12">
        <f>(General_Model!$E$6/General_Model!$E$7)-1/(1+General_Model!$E$26/((1.2+0.2*(General_Model!$E$26/A434)+0.35*SQRT(9.80665*(General_Model!$E$4/1000))/A434)*A434))-(A434^2/(2*9.80665*General_Model!$E$7))*((4*(0.3164/((General_Model!$E$14*A434*(General_Model!$E$4/1000)/General_Model!$E$15)^0.25))*General_Model!$E$7/(General_Model!$E$4/1000)+1)+(4*(0.3164/((General_Model!$E$14*A434*(General_Model!$E$4/1000)/General_Model!$E$15)^0.25))*General_Model!$E$7/(General_Model!$E$4/1000)+2)*(General_Model!$E$26/A434))</f>
        <v>-6.8753666964037202E-2</v>
      </c>
      <c r="C434" s="13">
        <f t="shared" si="6"/>
        <v>0</v>
      </c>
    </row>
    <row r="435" spans="1:3" x14ac:dyDescent="0.25">
      <c r="A435" s="11">
        <v>0.433</v>
      </c>
      <c r="B435" s="12">
        <f>(General_Model!$E$6/General_Model!$E$7)-1/(1+General_Model!$E$26/((1.2+0.2*(General_Model!$E$26/A435)+0.35*SQRT(9.80665*(General_Model!$E$4/1000))/A435)*A435))-(A435^2/(2*9.80665*General_Model!$E$7))*((4*(0.3164/((General_Model!$E$14*A435*(General_Model!$E$4/1000)/General_Model!$E$15)^0.25))*General_Model!$E$7/(General_Model!$E$4/1000)+1)+(4*(0.3164/((General_Model!$E$14*A435*(General_Model!$E$4/1000)/General_Model!$E$15)^0.25))*General_Model!$E$7/(General_Model!$E$4/1000)+2)*(General_Model!$E$26/A435))</f>
        <v>-6.9250360817145751E-2</v>
      </c>
      <c r="C435" s="13">
        <f t="shared" si="6"/>
        <v>0</v>
      </c>
    </row>
    <row r="436" spans="1:3" x14ac:dyDescent="0.25">
      <c r="A436" s="11">
        <v>0.434</v>
      </c>
      <c r="B436" s="12">
        <f>(General_Model!$E$6/General_Model!$E$7)-1/(1+General_Model!$E$26/((1.2+0.2*(General_Model!$E$26/A436)+0.35*SQRT(9.80665*(General_Model!$E$4/1000))/A436)*A436))-(A436^2/(2*9.80665*General_Model!$E$7))*((4*(0.3164/((General_Model!$E$14*A436*(General_Model!$E$4/1000)/General_Model!$E$15)^0.25))*General_Model!$E$7/(General_Model!$E$4/1000)+1)+(4*(0.3164/((General_Model!$E$14*A436*(General_Model!$E$4/1000)/General_Model!$E$15)^0.25))*General_Model!$E$7/(General_Model!$E$4/1000)+2)*(General_Model!$E$26/A436))</f>
        <v>-6.9746751356561554E-2</v>
      </c>
      <c r="C436" s="13">
        <f t="shared" si="6"/>
        <v>0</v>
      </c>
    </row>
    <row r="437" spans="1:3" x14ac:dyDescent="0.25">
      <c r="A437" s="11">
        <v>0.435</v>
      </c>
      <c r="B437" s="12">
        <f>(General_Model!$E$6/General_Model!$E$7)-1/(1+General_Model!$E$26/((1.2+0.2*(General_Model!$E$26/A437)+0.35*SQRT(9.80665*(General_Model!$E$4/1000))/A437)*A437))-(A437^2/(2*9.80665*General_Model!$E$7))*((4*(0.3164/((General_Model!$E$14*A437*(General_Model!$E$4/1000)/General_Model!$E$15)^0.25))*General_Model!$E$7/(General_Model!$E$4/1000)+1)+(4*(0.3164/((General_Model!$E$14*A437*(General_Model!$E$4/1000)/General_Model!$E$15)^0.25))*General_Model!$E$7/(General_Model!$E$4/1000)+2)*(General_Model!$E$26/A437))</f>
        <v>-7.0242839683016936E-2</v>
      </c>
      <c r="C437" s="13">
        <f t="shared" si="6"/>
        <v>0</v>
      </c>
    </row>
    <row r="438" spans="1:3" x14ac:dyDescent="0.25">
      <c r="A438" s="11">
        <v>0.436</v>
      </c>
      <c r="B438" s="12">
        <f>(General_Model!$E$6/General_Model!$E$7)-1/(1+General_Model!$E$26/((1.2+0.2*(General_Model!$E$26/A438)+0.35*SQRT(9.80665*(General_Model!$E$4/1000))/A438)*A438))-(A438^2/(2*9.80665*General_Model!$E$7))*((4*(0.3164/((General_Model!$E$14*A438*(General_Model!$E$4/1000)/General_Model!$E$15)^0.25))*General_Model!$E$7/(General_Model!$E$4/1000)+1)+(4*(0.3164/((General_Model!$E$14*A438*(General_Model!$E$4/1000)/General_Model!$E$15)^0.25))*General_Model!$E$7/(General_Model!$E$4/1000)+2)*(General_Model!$E$26/A438))</f>
        <v>-7.0738626893732337E-2</v>
      </c>
      <c r="C438" s="13">
        <f t="shared" si="6"/>
        <v>0</v>
      </c>
    </row>
    <row r="439" spans="1:3" x14ac:dyDescent="0.25">
      <c r="A439" s="11">
        <v>0.437</v>
      </c>
      <c r="B439" s="12">
        <f>(General_Model!$E$6/General_Model!$E$7)-1/(1+General_Model!$E$26/((1.2+0.2*(General_Model!$E$26/A439)+0.35*SQRT(9.80665*(General_Model!$E$4/1000))/A439)*A439))-(A439^2/(2*9.80665*General_Model!$E$7))*((4*(0.3164/((General_Model!$E$14*A439*(General_Model!$E$4/1000)/General_Model!$E$15)^0.25))*General_Model!$E$7/(General_Model!$E$4/1000)+1)+(4*(0.3164/((General_Model!$E$14*A439*(General_Model!$E$4/1000)/General_Model!$E$15)^0.25))*General_Model!$E$7/(General_Model!$E$4/1000)+2)*(General_Model!$E$26/A439))</f>
        <v>-7.1234114082430383E-2</v>
      </c>
      <c r="C439" s="13">
        <f t="shared" si="6"/>
        <v>0</v>
      </c>
    </row>
    <row r="440" spans="1:3" x14ac:dyDescent="0.25">
      <c r="A440" s="11">
        <v>0.438</v>
      </c>
      <c r="B440" s="12">
        <f>(General_Model!$E$6/General_Model!$E$7)-1/(1+General_Model!$E$26/((1.2+0.2*(General_Model!$E$26/A440)+0.35*SQRT(9.80665*(General_Model!$E$4/1000))/A440)*A440))-(A440^2/(2*9.80665*General_Model!$E$7))*((4*(0.3164/((General_Model!$E$14*A440*(General_Model!$E$4/1000)/General_Model!$E$15)^0.25))*General_Model!$E$7/(General_Model!$E$4/1000)+1)+(4*(0.3164/((General_Model!$E$14*A440*(General_Model!$E$4/1000)/General_Model!$E$15)^0.25))*General_Model!$E$7/(General_Model!$E$4/1000)+2)*(General_Model!$E$26/A440))</f>
        <v>-7.1729302339350265E-2</v>
      </c>
      <c r="C440" s="13">
        <f t="shared" si="6"/>
        <v>0</v>
      </c>
    </row>
    <row r="441" spans="1:3" x14ac:dyDescent="0.25">
      <c r="A441" s="11">
        <v>0.439</v>
      </c>
      <c r="B441" s="12">
        <f>(General_Model!$E$6/General_Model!$E$7)-1/(1+General_Model!$E$26/((1.2+0.2*(General_Model!$E$26/A441)+0.35*SQRT(9.80665*(General_Model!$E$4/1000))/A441)*A441))-(A441^2/(2*9.80665*General_Model!$E$7))*((4*(0.3164/((General_Model!$E$14*A441*(General_Model!$E$4/1000)/General_Model!$E$15)^0.25))*General_Model!$E$7/(General_Model!$E$4/1000)+1)+(4*(0.3164/((General_Model!$E$14*A441*(General_Model!$E$4/1000)/General_Model!$E$15)^0.25))*General_Model!$E$7/(General_Model!$E$4/1000)+2)*(General_Model!$E$26/A441))</f>
        <v>-7.2224192751261435E-2</v>
      </c>
      <c r="C441" s="13">
        <f t="shared" si="6"/>
        <v>0</v>
      </c>
    </row>
    <row r="442" spans="1:3" x14ac:dyDescent="0.25">
      <c r="A442" s="11">
        <v>0.44</v>
      </c>
      <c r="B442" s="12">
        <f>(General_Model!$E$6/General_Model!$E$7)-1/(1+General_Model!$E$26/((1.2+0.2*(General_Model!$E$26/A442)+0.35*SQRT(9.80665*(General_Model!$E$4/1000))/A442)*A442))-(A442^2/(2*9.80665*General_Model!$E$7))*((4*(0.3164/((General_Model!$E$14*A442*(General_Model!$E$4/1000)/General_Model!$E$15)^0.25))*General_Model!$E$7/(General_Model!$E$4/1000)+1)+(4*(0.3164/((General_Model!$E$14*A442*(General_Model!$E$4/1000)/General_Model!$E$15)^0.25))*General_Model!$E$7/(General_Model!$E$4/1000)+2)*(General_Model!$E$26/A442))</f>
        <v>-7.2718786401478622E-2</v>
      </c>
      <c r="C442" s="13">
        <f t="shared" si="6"/>
        <v>0</v>
      </c>
    </row>
    <row r="443" spans="1:3" x14ac:dyDescent="0.25">
      <c r="A443" s="11">
        <v>0.441</v>
      </c>
      <c r="B443" s="12">
        <f>(General_Model!$E$6/General_Model!$E$7)-1/(1+General_Model!$E$26/((1.2+0.2*(General_Model!$E$26/A443)+0.35*SQRT(9.80665*(General_Model!$E$4/1000))/A443)*A443))-(A443^2/(2*9.80665*General_Model!$E$7))*((4*(0.3164/((General_Model!$E$14*A443*(General_Model!$E$4/1000)/General_Model!$E$15)^0.25))*General_Model!$E$7/(General_Model!$E$4/1000)+1)+(4*(0.3164/((General_Model!$E$14*A443*(General_Model!$E$4/1000)/General_Model!$E$15)^0.25))*General_Model!$E$7/(General_Model!$E$4/1000)+2)*(General_Model!$E$26/A443))</f>
        <v>-7.3213084369874781E-2</v>
      </c>
      <c r="C443" s="13">
        <f t="shared" si="6"/>
        <v>0</v>
      </c>
    </row>
    <row r="444" spans="1:3" x14ac:dyDescent="0.25">
      <c r="A444" s="11">
        <v>0.442</v>
      </c>
      <c r="B444" s="12">
        <f>(General_Model!$E$6/General_Model!$E$7)-1/(1+General_Model!$E$26/((1.2+0.2*(General_Model!$E$26/A444)+0.35*SQRT(9.80665*(General_Model!$E$4/1000))/A444)*A444))-(A444^2/(2*9.80665*General_Model!$E$7))*((4*(0.3164/((General_Model!$E$14*A444*(General_Model!$E$4/1000)/General_Model!$E$15)^0.25))*General_Model!$E$7/(General_Model!$E$4/1000)+1)+(4*(0.3164/((General_Model!$E$14*A444*(General_Model!$E$4/1000)/General_Model!$E$15)^0.25))*General_Model!$E$7/(General_Model!$E$4/1000)+2)*(General_Model!$E$26/A444))</f>
        <v>-7.3707087732895485E-2</v>
      </c>
      <c r="C444" s="13">
        <f t="shared" si="6"/>
        <v>0</v>
      </c>
    </row>
    <row r="445" spans="1:3" x14ac:dyDescent="0.25">
      <c r="A445" s="11">
        <v>0.443</v>
      </c>
      <c r="B445" s="12">
        <f>(General_Model!$E$6/General_Model!$E$7)-1/(1+General_Model!$E$26/((1.2+0.2*(General_Model!$E$26/A445)+0.35*SQRT(9.80665*(General_Model!$E$4/1000))/A445)*A445))-(A445^2/(2*9.80665*General_Model!$E$7))*((4*(0.3164/((General_Model!$E$14*A445*(General_Model!$E$4/1000)/General_Model!$E$15)^0.25))*General_Model!$E$7/(General_Model!$E$4/1000)+1)+(4*(0.3164/((General_Model!$E$14*A445*(General_Model!$E$4/1000)/General_Model!$E$15)^0.25))*General_Model!$E$7/(General_Model!$E$4/1000)+2)*(General_Model!$E$26/A445))</f>
        <v>-7.4200797563572979E-2</v>
      </c>
      <c r="C445" s="13">
        <f t="shared" si="6"/>
        <v>0</v>
      </c>
    </row>
    <row r="446" spans="1:3" x14ac:dyDescent="0.25">
      <c r="A446" s="11">
        <v>0.44400000000000001</v>
      </c>
      <c r="B446" s="12">
        <f>(General_Model!$E$6/General_Model!$E$7)-1/(1+General_Model!$E$26/((1.2+0.2*(General_Model!$E$26/A446)+0.35*SQRT(9.80665*(General_Model!$E$4/1000))/A446)*A446))-(A446^2/(2*9.80665*General_Model!$E$7))*((4*(0.3164/((General_Model!$E$14*A446*(General_Model!$E$4/1000)/General_Model!$E$15)^0.25))*General_Model!$E$7/(General_Model!$E$4/1000)+1)+(4*(0.3164/((General_Model!$E$14*A446*(General_Model!$E$4/1000)/General_Model!$E$15)^0.25))*General_Model!$E$7/(General_Model!$E$4/1000)+2)*(General_Model!$E$26/A446))</f>
        <v>-7.4694214931539951E-2</v>
      </c>
      <c r="C446" s="13">
        <f t="shared" si="6"/>
        <v>0</v>
      </c>
    </row>
    <row r="447" spans="1:3" x14ac:dyDescent="0.25">
      <c r="A447" s="11">
        <v>0.44500000000000001</v>
      </c>
      <c r="B447" s="12">
        <f>(General_Model!$E$6/General_Model!$E$7)-1/(1+General_Model!$E$26/((1.2+0.2*(General_Model!$E$26/A447)+0.35*SQRT(9.80665*(General_Model!$E$4/1000))/A447)*A447))-(A447^2/(2*9.80665*General_Model!$E$7))*((4*(0.3164/((General_Model!$E$14*A447*(General_Model!$E$4/1000)/General_Model!$E$15)^0.25))*General_Model!$E$7/(General_Model!$E$4/1000)+1)+(4*(0.3164/((General_Model!$E$14*A447*(General_Model!$E$4/1000)/General_Model!$E$15)^0.25))*General_Model!$E$7/(General_Model!$E$4/1000)+2)*(General_Model!$E$26/A447))</f>
        <v>-7.5187340903042563E-2</v>
      </c>
      <c r="C447" s="13">
        <f t="shared" si="6"/>
        <v>0</v>
      </c>
    </row>
    <row r="448" spans="1:3" x14ac:dyDescent="0.25">
      <c r="A448" s="11">
        <v>0.44600000000000001</v>
      </c>
      <c r="B448" s="12">
        <f>(General_Model!$E$6/General_Model!$E$7)-1/(1+General_Model!$E$26/((1.2+0.2*(General_Model!$E$26/A448)+0.35*SQRT(9.80665*(General_Model!$E$4/1000))/A448)*A448))-(A448^2/(2*9.80665*General_Model!$E$7))*((4*(0.3164/((General_Model!$E$14*A448*(General_Model!$E$4/1000)/General_Model!$E$15)^0.25))*General_Model!$E$7/(General_Model!$E$4/1000)+1)+(4*(0.3164/((General_Model!$E$14*A448*(General_Model!$E$4/1000)/General_Model!$E$15)^0.25))*General_Model!$E$7/(General_Model!$E$4/1000)+2)*(General_Model!$E$26/A448))</f>
        <v>-7.5680176540955171E-2</v>
      </c>
      <c r="C448" s="13">
        <f t="shared" si="6"/>
        <v>0</v>
      </c>
    </row>
    <row r="449" spans="1:3" x14ac:dyDescent="0.25">
      <c r="A449" s="11">
        <v>0.44700000000000001</v>
      </c>
      <c r="B449" s="12">
        <f>(General_Model!$E$6/General_Model!$E$7)-1/(1+General_Model!$E$26/((1.2+0.2*(General_Model!$E$26/A449)+0.35*SQRT(9.80665*(General_Model!$E$4/1000))/A449)*A449))-(A449^2/(2*9.80665*General_Model!$E$7))*((4*(0.3164/((General_Model!$E$14*A449*(General_Model!$E$4/1000)/General_Model!$E$15)^0.25))*General_Model!$E$7/(General_Model!$E$4/1000)+1)+(4*(0.3164/((General_Model!$E$14*A449*(General_Model!$E$4/1000)/General_Model!$E$15)^0.25))*General_Model!$E$7/(General_Model!$E$4/1000)+2)*(General_Model!$E$26/A449))</f>
        <v>-7.6172722904792906E-2</v>
      </c>
      <c r="C449" s="13">
        <f t="shared" si="6"/>
        <v>0</v>
      </c>
    </row>
    <row r="450" spans="1:3" x14ac:dyDescent="0.25">
      <c r="A450" s="11">
        <v>0.44800000000000001</v>
      </c>
      <c r="B450" s="12">
        <f>(General_Model!$E$6/General_Model!$E$7)-1/(1+General_Model!$E$26/((1.2+0.2*(General_Model!$E$26/A450)+0.35*SQRT(9.80665*(General_Model!$E$4/1000))/A450)*A450))-(A450^2/(2*9.80665*General_Model!$E$7))*((4*(0.3164/((General_Model!$E$14*A450*(General_Model!$E$4/1000)/General_Model!$E$15)^0.25))*General_Model!$E$7/(General_Model!$E$4/1000)+1)+(4*(0.3164/((General_Model!$E$14*A450*(General_Model!$E$4/1000)/General_Model!$E$15)^0.25))*General_Model!$E$7/(General_Model!$E$4/1000)+2)*(General_Model!$E$26/A450))</f>
        <v>-7.6664981050725639E-2</v>
      </c>
      <c r="C450" s="13">
        <f t="shared" si="6"/>
        <v>0</v>
      </c>
    </row>
    <row r="451" spans="1:3" x14ac:dyDescent="0.25">
      <c r="A451" s="11">
        <v>0.44900000000000001</v>
      </c>
      <c r="B451" s="12">
        <f>(General_Model!$E$6/General_Model!$E$7)-1/(1+General_Model!$E$26/((1.2+0.2*(General_Model!$E$26/A451)+0.35*SQRT(9.80665*(General_Model!$E$4/1000))/A451)*A451))-(A451^2/(2*9.80665*General_Model!$E$7))*((4*(0.3164/((General_Model!$E$14*A451*(General_Model!$E$4/1000)/General_Model!$E$15)^0.25))*General_Model!$E$7/(General_Model!$E$4/1000)+1)+(4*(0.3164/((General_Model!$E$14*A451*(General_Model!$E$4/1000)/General_Model!$E$15)^0.25))*General_Model!$E$7/(General_Model!$E$4/1000)+2)*(General_Model!$E$26/A451))</f>
        <v>-7.7156952031591688E-2</v>
      </c>
      <c r="C451" s="13">
        <f t="shared" ref="C451:C514" si="7">IF(B451*B452&lt;=0,1,0)</f>
        <v>0</v>
      </c>
    </row>
    <row r="452" spans="1:3" x14ac:dyDescent="0.25">
      <c r="A452" s="11">
        <v>0.45</v>
      </c>
      <c r="B452" s="12">
        <f>(General_Model!$E$6/General_Model!$E$7)-1/(1+General_Model!$E$26/((1.2+0.2*(General_Model!$E$26/A452)+0.35*SQRT(9.80665*(General_Model!$E$4/1000))/A452)*A452))-(A452^2/(2*9.80665*General_Model!$E$7))*((4*(0.3164/((General_Model!$E$14*A452*(General_Model!$E$4/1000)/General_Model!$E$15)^0.25))*General_Model!$E$7/(General_Model!$E$4/1000)+1)+(4*(0.3164/((General_Model!$E$14*A452*(General_Model!$E$4/1000)/General_Model!$E$15)^0.25))*General_Model!$E$7/(General_Model!$E$4/1000)+2)*(General_Model!$E$26/A452))</f>
        <v>-7.764863689691083E-2</v>
      </c>
      <c r="C452" s="13">
        <f t="shared" si="7"/>
        <v>0</v>
      </c>
    </row>
    <row r="453" spans="1:3" x14ac:dyDescent="0.25">
      <c r="A453" s="11">
        <v>0.45100000000000001</v>
      </c>
      <c r="B453" s="12">
        <f>(General_Model!$E$6/General_Model!$E$7)-1/(1+General_Model!$E$26/((1.2+0.2*(General_Model!$E$26/A453)+0.35*SQRT(9.80665*(General_Model!$E$4/1000))/A453)*A453))-(A453^2/(2*9.80665*General_Model!$E$7))*((4*(0.3164/((General_Model!$E$14*A453*(General_Model!$E$4/1000)/General_Model!$E$15)^0.25))*General_Model!$E$7/(General_Model!$E$4/1000)+1)+(4*(0.3164/((General_Model!$E$14*A453*(General_Model!$E$4/1000)/General_Model!$E$15)^0.25))*General_Model!$E$7/(General_Model!$E$4/1000)+2)*(General_Model!$E$26/A453))</f>
        <v>-7.8140036692897402E-2</v>
      </c>
      <c r="C453" s="13">
        <f t="shared" si="7"/>
        <v>0</v>
      </c>
    </row>
    <row r="454" spans="1:3" x14ac:dyDescent="0.25">
      <c r="A454" s="11">
        <v>0.45200000000000001</v>
      </c>
      <c r="B454" s="12">
        <f>(General_Model!$E$6/General_Model!$E$7)-1/(1+General_Model!$E$26/((1.2+0.2*(General_Model!$E$26/A454)+0.35*SQRT(9.80665*(General_Model!$E$4/1000))/A454)*A454))-(A454^2/(2*9.80665*General_Model!$E$7))*((4*(0.3164/((General_Model!$E$14*A454*(General_Model!$E$4/1000)/General_Model!$E$15)^0.25))*General_Model!$E$7/(General_Model!$E$4/1000)+1)+(4*(0.3164/((General_Model!$E$14*A454*(General_Model!$E$4/1000)/General_Model!$E$15)^0.25))*General_Model!$E$7/(General_Model!$E$4/1000)+2)*(General_Model!$E$26/A454))</f>
        <v>-7.8631152462473958E-2</v>
      </c>
      <c r="C454" s="13">
        <f t="shared" si="7"/>
        <v>0</v>
      </c>
    </row>
    <row r="455" spans="1:3" x14ac:dyDescent="0.25">
      <c r="A455" s="11">
        <v>0.45300000000000001</v>
      </c>
      <c r="B455" s="12">
        <f>(General_Model!$E$6/General_Model!$E$7)-1/(1+General_Model!$E$26/((1.2+0.2*(General_Model!$E$26/A455)+0.35*SQRT(9.80665*(General_Model!$E$4/1000))/A455)*A455))-(A455^2/(2*9.80665*General_Model!$E$7))*((4*(0.3164/((General_Model!$E$14*A455*(General_Model!$E$4/1000)/General_Model!$E$15)^0.25))*General_Model!$E$7/(General_Model!$E$4/1000)+1)+(4*(0.3164/((General_Model!$E$14*A455*(General_Model!$E$4/1000)/General_Model!$E$15)^0.25))*General_Model!$E$7/(General_Model!$E$4/1000)+2)*(General_Model!$E$26/A455))</f>
        <v>-7.9121985245284299E-2</v>
      </c>
      <c r="C455" s="13">
        <f t="shared" si="7"/>
        <v>0</v>
      </c>
    </row>
    <row r="456" spans="1:3" x14ac:dyDescent="0.25">
      <c r="A456" s="11">
        <v>0.45400000000000001</v>
      </c>
      <c r="B456" s="12">
        <f>(General_Model!$E$6/General_Model!$E$7)-1/(1+General_Model!$E$26/((1.2+0.2*(General_Model!$E$26/A456)+0.35*SQRT(9.80665*(General_Model!$E$4/1000))/A456)*A456))-(A456^2/(2*9.80665*General_Model!$E$7))*((4*(0.3164/((General_Model!$E$14*A456*(General_Model!$E$4/1000)/General_Model!$E$15)^0.25))*General_Model!$E$7/(General_Model!$E$4/1000)+1)+(4*(0.3164/((General_Model!$E$14*A456*(General_Model!$E$4/1000)/General_Model!$E$15)^0.25))*General_Model!$E$7/(General_Model!$E$4/1000)+2)*(General_Model!$E$26/A456))</f>
        <v>-7.9612536077706658E-2</v>
      </c>
      <c r="C456" s="13">
        <f t="shared" si="7"/>
        <v>0</v>
      </c>
    </row>
    <row r="457" spans="1:3" x14ac:dyDescent="0.25">
      <c r="A457" s="11">
        <v>0.45500000000000002</v>
      </c>
      <c r="B457" s="12">
        <f>(General_Model!$E$6/General_Model!$E$7)-1/(1+General_Model!$E$26/((1.2+0.2*(General_Model!$E$26/A457)+0.35*SQRT(9.80665*(General_Model!$E$4/1000))/A457)*A457))-(A457^2/(2*9.80665*General_Model!$E$7))*((4*(0.3164/((General_Model!$E$14*A457*(General_Model!$E$4/1000)/General_Model!$E$15)^0.25))*General_Model!$E$7/(General_Model!$E$4/1000)+1)+(4*(0.3164/((General_Model!$E$14*A457*(General_Model!$E$4/1000)/General_Model!$E$15)^0.25))*General_Model!$E$7/(General_Model!$E$4/1000)+2)*(General_Model!$E$26/A457))</f>
        <v>-8.0102805992866316E-2</v>
      </c>
      <c r="C457" s="13">
        <f t="shared" si="7"/>
        <v>0</v>
      </c>
    </row>
    <row r="458" spans="1:3" x14ac:dyDescent="0.25">
      <c r="A458" s="11">
        <v>0.45600000000000002</v>
      </c>
      <c r="B458" s="12">
        <f>(General_Model!$E$6/General_Model!$E$7)-1/(1+General_Model!$E$26/((1.2+0.2*(General_Model!$E$26/A458)+0.35*SQRT(9.80665*(General_Model!$E$4/1000))/A458)*A458))-(A458^2/(2*9.80665*General_Model!$E$7))*((4*(0.3164/((General_Model!$E$14*A458*(General_Model!$E$4/1000)/General_Model!$E$15)^0.25))*General_Model!$E$7/(General_Model!$E$4/1000)+1)+(4*(0.3164/((General_Model!$E$14*A458*(General_Model!$E$4/1000)/General_Model!$E$15)^0.25))*General_Model!$E$7/(General_Model!$E$4/1000)+2)*(General_Model!$E$26/A458))</f>
        <v>-8.0592796020649282E-2</v>
      </c>
      <c r="C458" s="13">
        <f t="shared" si="7"/>
        <v>0</v>
      </c>
    </row>
    <row r="459" spans="1:3" x14ac:dyDescent="0.25">
      <c r="A459" s="11">
        <v>0.45700000000000002</v>
      </c>
      <c r="B459" s="12">
        <f>(General_Model!$E$6/General_Model!$E$7)-1/(1+General_Model!$E$26/((1.2+0.2*(General_Model!$E$26/A459)+0.35*SQRT(9.80665*(General_Model!$E$4/1000))/A459)*A459))-(A459^2/(2*9.80665*General_Model!$E$7))*((4*(0.3164/((General_Model!$E$14*A459*(General_Model!$E$4/1000)/General_Model!$E$15)^0.25))*General_Model!$E$7/(General_Model!$E$4/1000)+1)+(4*(0.3164/((General_Model!$E$14*A459*(General_Model!$E$4/1000)/General_Model!$E$15)^0.25))*General_Model!$E$7/(General_Model!$E$4/1000)+2)*(General_Model!$E$26/A459))</f>
        <v>-8.1082507187714328E-2</v>
      </c>
      <c r="C459" s="13">
        <f t="shared" si="7"/>
        <v>0</v>
      </c>
    </row>
    <row r="460" spans="1:3" x14ac:dyDescent="0.25">
      <c r="A460" s="11">
        <v>0.45800000000000002</v>
      </c>
      <c r="B460" s="12">
        <f>(General_Model!$E$6/General_Model!$E$7)-1/(1+General_Model!$E$26/((1.2+0.2*(General_Model!$E$26/A460)+0.35*SQRT(9.80665*(General_Model!$E$4/1000))/A460)*A460))-(A460^2/(2*9.80665*General_Model!$E$7))*((4*(0.3164/((General_Model!$E$14*A460*(General_Model!$E$4/1000)/General_Model!$E$15)^0.25))*General_Model!$E$7/(General_Model!$E$4/1000)+1)+(4*(0.3164/((General_Model!$E$14*A460*(General_Model!$E$4/1000)/General_Model!$E$15)^0.25))*General_Model!$E$7/(General_Model!$E$4/1000)+2)*(General_Model!$E$26/A460))</f>
        <v>-8.1571940517506936E-2</v>
      </c>
      <c r="C460" s="13">
        <f t="shared" si="7"/>
        <v>0</v>
      </c>
    </row>
    <row r="461" spans="1:3" x14ac:dyDescent="0.25">
      <c r="A461" s="11">
        <v>0.45900000000000002</v>
      </c>
      <c r="B461" s="12">
        <f>(General_Model!$E$6/General_Model!$E$7)-1/(1+General_Model!$E$26/((1.2+0.2*(General_Model!$E$26/A461)+0.35*SQRT(9.80665*(General_Model!$E$4/1000))/A461)*A461))-(A461^2/(2*9.80665*General_Model!$E$7))*((4*(0.3164/((General_Model!$E$14*A461*(General_Model!$E$4/1000)/General_Model!$E$15)^0.25))*General_Model!$E$7/(General_Model!$E$4/1000)+1)+(4*(0.3164/((General_Model!$E$14*A461*(General_Model!$E$4/1000)/General_Model!$E$15)^0.25))*General_Model!$E$7/(General_Model!$E$4/1000)+2)*(General_Model!$E$26/A461))</f>
        <v>-8.2061097030270813E-2</v>
      </c>
      <c r="C461" s="13">
        <f t="shared" si="7"/>
        <v>0</v>
      </c>
    </row>
    <row r="462" spans="1:3" x14ac:dyDescent="0.25">
      <c r="A462" s="11">
        <v>0.46</v>
      </c>
      <c r="B462" s="12">
        <f>(General_Model!$E$6/General_Model!$E$7)-1/(1+General_Model!$E$26/((1.2+0.2*(General_Model!$E$26/A462)+0.35*SQRT(9.80665*(General_Model!$E$4/1000))/A462)*A462))-(A462^2/(2*9.80665*General_Model!$E$7))*((4*(0.3164/((General_Model!$E$14*A462*(General_Model!$E$4/1000)/General_Model!$E$15)^0.25))*General_Model!$E$7/(General_Model!$E$4/1000)+1)+(4*(0.3164/((General_Model!$E$14*A462*(General_Model!$E$4/1000)/General_Model!$E$15)^0.25))*General_Model!$E$7/(General_Model!$E$4/1000)+2)*(General_Model!$E$26/A462))</f>
        <v>-8.2549977743061595E-2</v>
      </c>
      <c r="C462" s="13">
        <f t="shared" si="7"/>
        <v>0</v>
      </c>
    </row>
    <row r="463" spans="1:3" x14ac:dyDescent="0.25">
      <c r="A463" s="11">
        <v>0.46100000000000002</v>
      </c>
      <c r="B463" s="12">
        <f>(General_Model!$E$6/General_Model!$E$7)-1/(1+General_Model!$E$26/((1.2+0.2*(General_Model!$E$26/A463)+0.35*SQRT(9.80665*(General_Model!$E$4/1000))/A463)*A463))-(A463^2/(2*9.80665*General_Model!$E$7))*((4*(0.3164/((General_Model!$E$14*A463*(General_Model!$E$4/1000)/General_Model!$E$15)^0.25))*General_Model!$E$7/(General_Model!$E$4/1000)+1)+(4*(0.3164/((General_Model!$E$14*A463*(General_Model!$E$4/1000)/General_Model!$E$15)^0.25))*General_Model!$E$7/(General_Model!$E$4/1000)+2)*(General_Model!$E$26/A463))</f>
        <v>-8.3038583669759108E-2</v>
      </c>
      <c r="C463" s="13">
        <f t="shared" si="7"/>
        <v>0</v>
      </c>
    </row>
    <row r="464" spans="1:3" x14ac:dyDescent="0.25">
      <c r="A464" s="11">
        <v>0.46200000000000002</v>
      </c>
      <c r="B464" s="12">
        <f>(General_Model!$E$6/General_Model!$E$7)-1/(1+General_Model!$E$26/((1.2+0.2*(General_Model!$E$26/A464)+0.35*SQRT(9.80665*(General_Model!$E$4/1000))/A464)*A464))-(A464^2/(2*9.80665*General_Model!$E$7))*((4*(0.3164/((General_Model!$E$14*A464*(General_Model!$E$4/1000)/General_Model!$E$15)^0.25))*General_Model!$E$7/(General_Model!$E$4/1000)+1)+(4*(0.3164/((General_Model!$E$14*A464*(General_Model!$E$4/1000)/General_Model!$E$15)^0.25))*General_Model!$E$7/(General_Model!$E$4/1000)+2)*(General_Model!$E$26/A464))</f>
        <v>-8.3526915821079808E-2</v>
      </c>
      <c r="C464" s="13">
        <f t="shared" si="7"/>
        <v>0</v>
      </c>
    </row>
    <row r="465" spans="1:3" x14ac:dyDescent="0.25">
      <c r="A465" s="11">
        <v>0.46300000000000002</v>
      </c>
      <c r="B465" s="12">
        <f>(General_Model!$E$6/General_Model!$E$7)-1/(1+General_Model!$E$26/((1.2+0.2*(General_Model!$E$26/A465)+0.35*SQRT(9.80665*(General_Model!$E$4/1000))/A465)*A465))-(A465^2/(2*9.80665*General_Model!$E$7))*((4*(0.3164/((General_Model!$E$14*A465*(General_Model!$E$4/1000)/General_Model!$E$15)^0.25))*General_Model!$E$7/(General_Model!$E$4/1000)+1)+(4*(0.3164/((General_Model!$E$14*A465*(General_Model!$E$4/1000)/General_Model!$E$15)^0.25))*General_Model!$E$7/(General_Model!$E$4/1000)+2)*(General_Model!$E$26/A465))</f>
        <v>-8.4014975204589351E-2</v>
      </c>
      <c r="C465" s="13">
        <f t="shared" si="7"/>
        <v>0</v>
      </c>
    </row>
    <row r="466" spans="1:3" x14ac:dyDescent="0.25">
      <c r="A466" s="11">
        <v>0.46400000000000002</v>
      </c>
      <c r="B466" s="12">
        <f>(General_Model!$E$6/General_Model!$E$7)-1/(1+General_Model!$E$26/((1.2+0.2*(General_Model!$E$26/A466)+0.35*SQRT(9.80665*(General_Model!$E$4/1000))/A466)*A466))-(A466^2/(2*9.80665*General_Model!$E$7))*((4*(0.3164/((General_Model!$E$14*A466*(General_Model!$E$4/1000)/General_Model!$E$15)^0.25))*General_Model!$E$7/(General_Model!$E$4/1000)+1)+(4*(0.3164/((General_Model!$E$14*A466*(General_Model!$E$4/1000)/General_Model!$E$15)^0.25))*General_Model!$E$7/(General_Model!$E$4/1000)+2)*(General_Model!$E$26/A466))</f>
        <v>-8.4502762824715832E-2</v>
      </c>
      <c r="C466" s="13">
        <f t="shared" si="7"/>
        <v>0</v>
      </c>
    </row>
    <row r="467" spans="1:3" x14ac:dyDescent="0.25">
      <c r="A467" s="11">
        <v>0.46500000000000002</v>
      </c>
      <c r="B467" s="12">
        <f>(General_Model!$E$6/General_Model!$E$7)-1/(1+General_Model!$E$26/((1.2+0.2*(General_Model!$E$26/A467)+0.35*SQRT(9.80665*(General_Model!$E$4/1000))/A467)*A467))-(A467^2/(2*9.80665*General_Model!$E$7))*((4*(0.3164/((General_Model!$E$14*A467*(General_Model!$E$4/1000)/General_Model!$E$15)^0.25))*General_Model!$E$7/(General_Model!$E$4/1000)+1)+(4*(0.3164/((General_Model!$E$14*A467*(General_Model!$E$4/1000)/General_Model!$E$15)^0.25))*General_Model!$E$7/(General_Model!$E$4/1000)+2)*(General_Model!$E$26/A467))</f>
        <v>-8.4990279682760697E-2</v>
      </c>
      <c r="C467" s="13">
        <f t="shared" si="7"/>
        <v>0</v>
      </c>
    </row>
    <row r="468" spans="1:3" x14ac:dyDescent="0.25">
      <c r="A468" s="11">
        <v>0.46600000000000003</v>
      </c>
      <c r="B468" s="12">
        <f>(General_Model!$E$6/General_Model!$E$7)-1/(1+General_Model!$E$26/((1.2+0.2*(General_Model!$E$26/A468)+0.35*SQRT(9.80665*(General_Model!$E$4/1000))/A468)*A468))-(A468^2/(2*9.80665*General_Model!$E$7))*((4*(0.3164/((General_Model!$E$14*A468*(General_Model!$E$4/1000)/General_Model!$E$15)^0.25))*General_Model!$E$7/(General_Model!$E$4/1000)+1)+(4*(0.3164/((General_Model!$E$14*A468*(General_Model!$E$4/1000)/General_Model!$E$15)^0.25))*General_Model!$E$7/(General_Model!$E$4/1000)+2)*(General_Model!$E$26/A468))</f>
        <v>-8.547752677691238E-2</v>
      </c>
      <c r="C468" s="13">
        <f t="shared" si="7"/>
        <v>0</v>
      </c>
    </row>
    <row r="469" spans="1:3" x14ac:dyDescent="0.25">
      <c r="A469" s="11">
        <v>0.46700000000000003</v>
      </c>
      <c r="B469" s="12">
        <f>(General_Model!$E$6/General_Model!$E$7)-1/(1+General_Model!$E$26/((1.2+0.2*(General_Model!$E$26/A469)+0.35*SQRT(9.80665*(General_Model!$E$4/1000))/A469)*A469))-(A469^2/(2*9.80665*General_Model!$E$7))*((4*(0.3164/((General_Model!$E$14*A469*(General_Model!$E$4/1000)/General_Model!$E$15)^0.25))*General_Model!$E$7/(General_Model!$E$4/1000)+1)+(4*(0.3164/((General_Model!$E$14*A469*(General_Model!$E$4/1000)/General_Model!$E$15)^0.25))*General_Model!$E$7/(General_Model!$E$4/1000)+2)*(General_Model!$E$26/A469))</f>
        <v>-8.5964505102258087E-2</v>
      </c>
      <c r="C469" s="13">
        <f t="shared" si="7"/>
        <v>0</v>
      </c>
    </row>
    <row r="470" spans="1:3" x14ac:dyDescent="0.25">
      <c r="A470" s="11">
        <v>0.46800000000000003</v>
      </c>
      <c r="B470" s="12">
        <f>(General_Model!$E$6/General_Model!$E$7)-1/(1+General_Model!$E$26/((1.2+0.2*(General_Model!$E$26/A470)+0.35*SQRT(9.80665*(General_Model!$E$4/1000))/A470)*A470))-(A470^2/(2*9.80665*General_Model!$E$7))*((4*(0.3164/((General_Model!$E$14*A470*(General_Model!$E$4/1000)/General_Model!$E$15)^0.25))*General_Model!$E$7/(General_Model!$E$4/1000)+1)+(4*(0.3164/((General_Model!$E$14*A470*(General_Model!$E$4/1000)/General_Model!$E$15)^0.25))*General_Model!$E$7/(General_Model!$E$4/1000)+2)*(General_Model!$E$26/A470))</f>
        <v>-8.645121565079579E-2</v>
      </c>
      <c r="C470" s="13">
        <f t="shared" si="7"/>
        <v>0</v>
      </c>
    </row>
    <row r="471" spans="1:3" x14ac:dyDescent="0.25">
      <c r="A471" s="11">
        <v>0.46899999999999997</v>
      </c>
      <c r="B471" s="12">
        <f>(General_Model!$E$6/General_Model!$E$7)-1/(1+General_Model!$E$26/((1.2+0.2*(General_Model!$E$26/A471)+0.35*SQRT(9.80665*(General_Model!$E$4/1000))/A471)*A471))-(A471^2/(2*9.80665*General_Model!$E$7))*((4*(0.3164/((General_Model!$E$14*A471*(General_Model!$E$4/1000)/General_Model!$E$15)^0.25))*General_Model!$E$7/(General_Model!$E$4/1000)+1)+(4*(0.3164/((General_Model!$E$14*A471*(General_Model!$E$4/1000)/General_Model!$E$15)^0.25))*General_Model!$E$7/(General_Model!$E$4/1000)+2)*(General_Model!$E$26/A471))</f>
        <v>-8.6937659411446627E-2</v>
      </c>
      <c r="C471" s="13">
        <f t="shared" si="7"/>
        <v>0</v>
      </c>
    </row>
    <row r="472" spans="1:3" x14ac:dyDescent="0.25">
      <c r="A472" s="11">
        <v>0.47</v>
      </c>
      <c r="B472" s="12">
        <f>(General_Model!$E$6/General_Model!$E$7)-1/(1+General_Model!$E$26/((1.2+0.2*(General_Model!$E$26/A472)+0.35*SQRT(9.80665*(General_Model!$E$4/1000))/A472)*A472))-(A472^2/(2*9.80665*General_Model!$E$7))*((4*(0.3164/((General_Model!$E$14*A472*(General_Model!$E$4/1000)/General_Model!$E$15)^0.25))*General_Model!$E$7/(General_Model!$E$4/1000)+1)+(4*(0.3164/((General_Model!$E$14*A472*(General_Model!$E$4/1000)/General_Model!$E$15)^0.25))*General_Model!$E$7/(General_Model!$E$4/1000)+2)*(General_Model!$E$26/A472))</f>
        <v>-8.7423837370067412E-2</v>
      </c>
      <c r="C472" s="13">
        <f t="shared" si="7"/>
        <v>0</v>
      </c>
    </row>
    <row r="473" spans="1:3" x14ac:dyDescent="0.25">
      <c r="A473" s="11">
        <v>0.47099999999999997</v>
      </c>
      <c r="B473" s="12">
        <f>(General_Model!$E$6/General_Model!$E$7)-1/(1+General_Model!$E$26/((1.2+0.2*(General_Model!$E$26/A473)+0.35*SQRT(9.80665*(General_Model!$E$4/1000))/A473)*A473))-(A473^2/(2*9.80665*General_Model!$E$7))*((4*(0.3164/((General_Model!$E$14*A473*(General_Model!$E$4/1000)/General_Model!$E$15)^0.25))*General_Model!$E$7/(General_Model!$E$4/1000)+1)+(4*(0.3164/((General_Model!$E$14*A473*(General_Model!$E$4/1000)/General_Model!$E$15)^0.25))*General_Model!$E$7/(General_Model!$E$4/1000)+2)*(General_Model!$E$26/A473))</f>
        <v>-8.7909750509461732E-2</v>
      </c>
      <c r="C473" s="13">
        <f t="shared" si="7"/>
        <v>0</v>
      </c>
    </row>
    <row r="474" spans="1:3" x14ac:dyDescent="0.25">
      <c r="A474" s="11">
        <v>0.47199999999999998</v>
      </c>
      <c r="B474" s="12">
        <f>(General_Model!$E$6/General_Model!$E$7)-1/(1+General_Model!$E$26/((1.2+0.2*(General_Model!$E$26/A474)+0.35*SQRT(9.80665*(General_Model!$E$4/1000))/A474)*A474))-(A474^2/(2*9.80665*General_Model!$E$7))*((4*(0.3164/((General_Model!$E$14*A474*(General_Model!$E$4/1000)/General_Model!$E$15)^0.25))*General_Model!$E$7/(General_Model!$E$4/1000)+1)+(4*(0.3164/((General_Model!$E$14*A474*(General_Model!$E$4/1000)/General_Model!$E$15)^0.25))*General_Model!$E$7/(General_Model!$E$4/1000)+2)*(General_Model!$E$26/A474))</f>
        <v>-8.8395399809392664E-2</v>
      </c>
      <c r="C474" s="13">
        <f t="shared" si="7"/>
        <v>0</v>
      </c>
    </row>
    <row r="475" spans="1:3" x14ac:dyDescent="0.25">
      <c r="A475" s="11">
        <v>0.47299999999999998</v>
      </c>
      <c r="B475" s="12">
        <f>(General_Model!$E$6/General_Model!$E$7)-1/(1+General_Model!$E$26/((1.2+0.2*(General_Model!$E$26/A475)+0.35*SQRT(9.80665*(General_Model!$E$4/1000))/A475)*A475))-(A475^2/(2*9.80665*General_Model!$E$7))*((4*(0.3164/((General_Model!$E$14*A475*(General_Model!$E$4/1000)/General_Model!$E$15)^0.25))*General_Model!$E$7/(General_Model!$E$4/1000)+1)+(4*(0.3164/((General_Model!$E$14*A475*(General_Model!$E$4/1000)/General_Model!$E$15)^0.25))*General_Model!$E$7/(General_Model!$E$4/1000)+2)*(General_Model!$E$26/A475))</f>
        <v>-8.8880786246594359E-2</v>
      </c>
      <c r="C475" s="13">
        <f t="shared" si="7"/>
        <v>0</v>
      </c>
    </row>
    <row r="476" spans="1:3" x14ac:dyDescent="0.25">
      <c r="A476" s="11">
        <v>0.47399999999999998</v>
      </c>
      <c r="B476" s="12">
        <f>(General_Model!$E$6/General_Model!$E$7)-1/(1+General_Model!$E$26/((1.2+0.2*(General_Model!$E$26/A476)+0.35*SQRT(9.80665*(General_Model!$E$4/1000))/A476)*A476))-(A476^2/(2*9.80665*General_Model!$E$7))*((4*(0.3164/((General_Model!$E$14*A476*(General_Model!$E$4/1000)/General_Model!$E$15)^0.25))*General_Model!$E$7/(General_Model!$E$4/1000)+1)+(4*(0.3164/((General_Model!$E$14*A476*(General_Model!$E$4/1000)/General_Model!$E$15)^0.25))*General_Model!$E$7/(General_Model!$E$4/1000)+2)*(General_Model!$E$26/A476))</f>
        <v>-8.9365910794783995E-2</v>
      </c>
      <c r="C476" s="13">
        <f t="shared" si="7"/>
        <v>0</v>
      </c>
    </row>
    <row r="477" spans="1:3" x14ac:dyDescent="0.25">
      <c r="A477" s="11">
        <v>0.47499999999999998</v>
      </c>
      <c r="B477" s="12">
        <f>(General_Model!$E$6/General_Model!$E$7)-1/(1+General_Model!$E$26/((1.2+0.2*(General_Model!$E$26/A477)+0.35*SQRT(9.80665*(General_Model!$E$4/1000))/A477)*A477))-(A477^2/(2*9.80665*General_Model!$E$7))*((4*(0.3164/((General_Model!$E$14*A477*(General_Model!$E$4/1000)/General_Model!$E$15)^0.25))*General_Model!$E$7/(General_Model!$E$4/1000)+1)+(4*(0.3164/((General_Model!$E$14*A477*(General_Model!$E$4/1000)/General_Model!$E$15)^0.25))*General_Model!$E$7/(General_Model!$E$4/1000)+2)*(General_Model!$E$26/A477))</f>
        <v>-8.9850774424673666E-2</v>
      </c>
      <c r="C477" s="13">
        <f t="shared" si="7"/>
        <v>0</v>
      </c>
    </row>
    <row r="478" spans="1:3" x14ac:dyDescent="0.25">
      <c r="A478" s="11">
        <v>0.47599999999999998</v>
      </c>
      <c r="B478" s="12">
        <f>(General_Model!$E$6/General_Model!$E$7)-1/(1+General_Model!$E$26/((1.2+0.2*(General_Model!$E$26/A478)+0.35*SQRT(9.80665*(General_Model!$E$4/1000))/A478)*A478))-(A478^2/(2*9.80665*General_Model!$E$7))*((4*(0.3164/((General_Model!$E$14*A478*(General_Model!$E$4/1000)/General_Model!$E$15)^0.25))*General_Model!$E$7/(General_Model!$E$4/1000)+1)+(4*(0.3164/((General_Model!$E$14*A478*(General_Model!$E$4/1000)/General_Model!$E$15)^0.25))*General_Model!$E$7/(General_Model!$E$4/1000)+2)*(General_Model!$E$26/A478))</f>
        <v>-9.0335378103982178E-2</v>
      </c>
      <c r="C478" s="13">
        <f t="shared" si="7"/>
        <v>0</v>
      </c>
    </row>
    <row r="479" spans="1:3" x14ac:dyDescent="0.25">
      <c r="A479" s="11">
        <v>0.47699999999999998</v>
      </c>
      <c r="B479" s="12">
        <f>(General_Model!$E$6/General_Model!$E$7)-1/(1+General_Model!$E$26/((1.2+0.2*(General_Model!$E$26/A479)+0.35*SQRT(9.80665*(General_Model!$E$4/1000))/A479)*A479))-(A479^2/(2*9.80665*General_Model!$E$7))*((4*(0.3164/((General_Model!$E$14*A479*(General_Model!$E$4/1000)/General_Model!$E$15)^0.25))*General_Model!$E$7/(General_Model!$E$4/1000)+1)+(4*(0.3164/((General_Model!$E$14*A479*(General_Model!$E$4/1000)/General_Model!$E$15)^0.25))*General_Model!$E$7/(General_Model!$E$4/1000)+2)*(General_Model!$E$26/A479))</f>
        <v>-9.0819722797446101E-2</v>
      </c>
      <c r="C479" s="13">
        <f t="shared" si="7"/>
        <v>0</v>
      </c>
    </row>
    <row r="480" spans="1:3" x14ac:dyDescent="0.25">
      <c r="A480" s="11">
        <v>0.47799999999999998</v>
      </c>
      <c r="B480" s="12">
        <f>(General_Model!$E$6/General_Model!$E$7)-1/(1+General_Model!$E$26/((1.2+0.2*(General_Model!$E$26/A480)+0.35*SQRT(9.80665*(General_Model!$E$4/1000))/A480)*A480))-(A480^2/(2*9.80665*General_Model!$E$7))*((4*(0.3164/((General_Model!$E$14*A480*(General_Model!$E$4/1000)/General_Model!$E$15)^0.25))*General_Model!$E$7/(General_Model!$E$4/1000)+1)+(4*(0.3164/((General_Model!$E$14*A480*(General_Model!$E$4/1000)/General_Model!$E$15)^0.25))*General_Model!$E$7/(General_Model!$E$4/1000)+2)*(General_Model!$E$26/A480))</f>
        <v>-9.1303809466832281E-2</v>
      </c>
      <c r="C480" s="13">
        <f t="shared" si="7"/>
        <v>0</v>
      </c>
    </row>
    <row r="481" spans="1:3" x14ac:dyDescent="0.25">
      <c r="A481" s="11">
        <v>0.47899999999999998</v>
      </c>
      <c r="B481" s="12">
        <f>(General_Model!$E$6/General_Model!$E$7)-1/(1+General_Model!$E$26/((1.2+0.2*(General_Model!$E$26/A481)+0.35*SQRT(9.80665*(General_Model!$E$4/1000))/A481)*A481))-(A481^2/(2*9.80665*General_Model!$E$7))*((4*(0.3164/((General_Model!$E$14*A481*(General_Model!$E$4/1000)/General_Model!$E$15)^0.25))*General_Model!$E$7/(General_Model!$E$4/1000)+1)+(4*(0.3164/((General_Model!$E$14*A481*(General_Model!$E$4/1000)/General_Model!$E$15)^0.25))*General_Model!$E$7/(General_Model!$E$4/1000)+2)*(General_Model!$E$26/A481))</f>
        <v>-9.1787639070948931E-2</v>
      </c>
      <c r="C481" s="13">
        <f t="shared" si="7"/>
        <v>0</v>
      </c>
    </row>
    <row r="482" spans="1:3" x14ac:dyDescent="0.25">
      <c r="A482" s="11">
        <v>0.48</v>
      </c>
      <c r="B482" s="12">
        <f>(General_Model!$E$6/General_Model!$E$7)-1/(1+General_Model!$E$26/((1.2+0.2*(General_Model!$E$26/A482)+0.35*SQRT(9.80665*(General_Model!$E$4/1000))/A482)*A482))-(A482^2/(2*9.80665*General_Model!$E$7))*((4*(0.3164/((General_Model!$E$14*A482*(General_Model!$E$4/1000)/General_Model!$E$15)^0.25))*General_Model!$E$7/(General_Model!$E$4/1000)+1)+(4*(0.3164/((General_Model!$E$14*A482*(General_Model!$E$4/1000)/General_Model!$E$15)^0.25))*General_Model!$E$7/(General_Model!$E$4/1000)+2)*(General_Model!$E$26/A482))</f>
        <v>-9.2271212565657207E-2</v>
      </c>
      <c r="C482" s="13">
        <f t="shared" si="7"/>
        <v>0</v>
      </c>
    </row>
    <row r="483" spans="1:3" x14ac:dyDescent="0.25">
      <c r="A483" s="11">
        <v>0.48099999999999998</v>
      </c>
      <c r="B483" s="12">
        <f>(General_Model!$E$6/General_Model!$E$7)-1/(1+General_Model!$E$26/((1.2+0.2*(General_Model!$E$26/A483)+0.35*SQRT(9.80665*(General_Model!$E$4/1000))/A483)*A483))-(A483^2/(2*9.80665*General_Model!$E$7))*((4*(0.3164/((General_Model!$E$14*A483*(General_Model!$E$4/1000)/General_Model!$E$15)^0.25))*General_Model!$E$7/(General_Model!$E$4/1000)+1)+(4*(0.3164/((General_Model!$E$14*A483*(General_Model!$E$4/1000)/General_Model!$E$15)^0.25))*General_Model!$E$7/(General_Model!$E$4/1000)+2)*(General_Model!$E$26/A483))</f>
        <v>-9.2754530903882484E-2</v>
      </c>
      <c r="C483" s="13">
        <f t="shared" si="7"/>
        <v>0</v>
      </c>
    </row>
    <row r="484" spans="1:3" x14ac:dyDescent="0.25">
      <c r="A484" s="11">
        <v>0.48199999999999998</v>
      </c>
      <c r="B484" s="12">
        <f>(General_Model!$E$6/General_Model!$E$7)-1/(1+General_Model!$E$26/((1.2+0.2*(General_Model!$E$26/A484)+0.35*SQRT(9.80665*(General_Model!$E$4/1000))/A484)*A484))-(A484^2/(2*9.80665*General_Model!$E$7))*((4*(0.3164/((General_Model!$E$14*A484*(General_Model!$E$4/1000)/General_Model!$E$15)^0.25))*General_Model!$E$7/(General_Model!$E$4/1000)+1)+(4*(0.3164/((General_Model!$E$14*A484*(General_Model!$E$4/1000)/General_Model!$E$15)^0.25))*General_Model!$E$7/(General_Model!$E$4/1000)+2)*(General_Model!$E$26/A484))</f>
        <v>-9.3237595035626383E-2</v>
      </c>
      <c r="C484" s="13">
        <f t="shared" si="7"/>
        <v>0</v>
      </c>
    </row>
    <row r="485" spans="1:3" x14ac:dyDescent="0.25">
      <c r="A485" s="11">
        <v>0.48299999999999998</v>
      </c>
      <c r="B485" s="12">
        <f>(General_Model!$E$6/General_Model!$E$7)-1/(1+General_Model!$E$26/((1.2+0.2*(General_Model!$E$26/A485)+0.35*SQRT(9.80665*(General_Model!$E$4/1000))/A485)*A485))-(A485^2/(2*9.80665*General_Model!$E$7))*((4*(0.3164/((General_Model!$E$14*A485*(General_Model!$E$4/1000)/General_Model!$E$15)^0.25))*General_Model!$E$7/(General_Model!$E$4/1000)+1)+(4*(0.3164/((General_Model!$E$14*A485*(General_Model!$E$4/1000)/General_Model!$E$15)^0.25))*General_Model!$E$7/(General_Model!$E$4/1000)+2)*(General_Model!$E$26/A485))</f>
        <v>-9.372040590797738E-2</v>
      </c>
      <c r="C485" s="13">
        <f t="shared" si="7"/>
        <v>0</v>
      </c>
    </row>
    <row r="486" spans="1:3" x14ac:dyDescent="0.25">
      <c r="A486" s="11">
        <v>0.48399999999999999</v>
      </c>
      <c r="B486" s="12">
        <f>(General_Model!$E$6/General_Model!$E$7)-1/(1+General_Model!$E$26/((1.2+0.2*(General_Model!$E$26/A486)+0.35*SQRT(9.80665*(General_Model!$E$4/1000))/A486)*A486))-(A486^2/(2*9.80665*General_Model!$E$7))*((4*(0.3164/((General_Model!$E$14*A486*(General_Model!$E$4/1000)/General_Model!$E$15)^0.25))*General_Model!$E$7/(General_Model!$E$4/1000)+1)+(4*(0.3164/((General_Model!$E$14*A486*(General_Model!$E$4/1000)/General_Model!$E$15)^0.25))*General_Model!$E$7/(General_Model!$E$4/1000)+2)*(General_Model!$E$26/A486))</f>
        <v>-9.4202964465122468E-2</v>
      </c>
      <c r="C486" s="13">
        <f t="shared" si="7"/>
        <v>0</v>
      </c>
    </row>
    <row r="487" spans="1:3" x14ac:dyDescent="0.25">
      <c r="A487" s="11">
        <v>0.48499999999999999</v>
      </c>
      <c r="B487" s="12">
        <f>(General_Model!$E$6/General_Model!$E$7)-1/(1+General_Model!$E$26/((1.2+0.2*(General_Model!$E$26/A487)+0.35*SQRT(9.80665*(General_Model!$E$4/1000))/A487)*A487))-(A487^2/(2*9.80665*General_Model!$E$7))*((4*(0.3164/((General_Model!$E$14*A487*(General_Model!$E$4/1000)/General_Model!$E$15)^0.25))*General_Model!$E$7/(General_Model!$E$4/1000)+1)+(4*(0.3164/((General_Model!$E$14*A487*(General_Model!$E$4/1000)/General_Model!$E$15)^0.25))*General_Model!$E$7/(General_Model!$E$4/1000)+2)*(General_Model!$E$26/A487))</f>
        <v>-9.4685271648358313E-2</v>
      </c>
      <c r="C487" s="13">
        <f t="shared" si="7"/>
        <v>0</v>
      </c>
    </row>
    <row r="488" spans="1:3" x14ac:dyDescent="0.25">
      <c r="A488" s="11">
        <v>0.48599999999999999</v>
      </c>
      <c r="B488" s="12">
        <f>(General_Model!$E$6/General_Model!$E$7)-1/(1+General_Model!$E$26/((1.2+0.2*(General_Model!$E$26/A488)+0.35*SQRT(9.80665*(General_Model!$E$4/1000))/A488)*A488))-(A488^2/(2*9.80665*General_Model!$E$7))*((4*(0.3164/((General_Model!$E$14*A488*(General_Model!$E$4/1000)/General_Model!$E$15)^0.25))*General_Model!$E$7/(General_Model!$E$4/1000)+1)+(4*(0.3164/((General_Model!$E$14*A488*(General_Model!$E$4/1000)/General_Model!$E$15)^0.25))*General_Model!$E$7/(General_Model!$E$4/1000)+2)*(General_Model!$E$26/A488))</f>
        <v>-9.516732839610241E-2</v>
      </c>
      <c r="C488" s="13">
        <f t="shared" si="7"/>
        <v>0</v>
      </c>
    </row>
    <row r="489" spans="1:3" x14ac:dyDescent="0.25">
      <c r="A489" s="11">
        <v>0.48699999999999999</v>
      </c>
      <c r="B489" s="12">
        <f>(General_Model!$E$6/General_Model!$E$7)-1/(1+General_Model!$E$26/((1.2+0.2*(General_Model!$E$26/A489)+0.35*SQRT(9.80665*(General_Model!$E$4/1000))/A489)*A489))-(A489^2/(2*9.80665*General_Model!$E$7))*((4*(0.3164/((General_Model!$E$14*A489*(General_Model!$E$4/1000)/General_Model!$E$15)^0.25))*General_Model!$E$7/(General_Model!$E$4/1000)+1)+(4*(0.3164/((General_Model!$E$14*A489*(General_Model!$E$4/1000)/General_Model!$E$15)^0.25))*General_Model!$E$7/(General_Model!$E$4/1000)+2)*(General_Model!$E$26/A489))</f>
        <v>-9.5649135643904495E-2</v>
      </c>
      <c r="C489" s="13">
        <f t="shared" si="7"/>
        <v>0</v>
      </c>
    </row>
    <row r="490" spans="1:3" x14ac:dyDescent="0.25">
      <c r="A490" s="11">
        <v>0.48799999999999999</v>
      </c>
      <c r="B490" s="12">
        <f>(General_Model!$E$6/General_Model!$E$7)-1/(1+General_Model!$E$26/((1.2+0.2*(General_Model!$E$26/A490)+0.35*SQRT(9.80665*(General_Model!$E$4/1000))/A490)*A490))-(A490^2/(2*9.80665*General_Model!$E$7))*((4*(0.3164/((General_Model!$E$14*A490*(General_Model!$E$4/1000)/General_Model!$E$15)^0.25))*General_Model!$E$7/(General_Model!$E$4/1000)+1)+(4*(0.3164/((General_Model!$E$14*A490*(General_Model!$E$4/1000)/General_Model!$E$15)^0.25))*General_Model!$E$7/(General_Model!$E$4/1000)+2)*(General_Model!$E$26/A490))</f>
        <v>-9.6130694324457158E-2</v>
      </c>
      <c r="C490" s="13">
        <f t="shared" si="7"/>
        <v>0</v>
      </c>
    </row>
    <row r="491" spans="1:3" x14ac:dyDescent="0.25">
      <c r="A491" s="11">
        <v>0.48899999999999999</v>
      </c>
      <c r="B491" s="12">
        <f>(General_Model!$E$6/General_Model!$E$7)-1/(1+General_Model!$E$26/((1.2+0.2*(General_Model!$E$26/A491)+0.35*SQRT(9.80665*(General_Model!$E$4/1000))/A491)*A491))-(A491^2/(2*9.80665*General_Model!$E$7))*((4*(0.3164/((General_Model!$E$14*A491*(General_Model!$E$4/1000)/General_Model!$E$15)^0.25))*General_Model!$E$7/(General_Model!$E$4/1000)+1)+(4*(0.3164/((General_Model!$E$14*A491*(General_Model!$E$4/1000)/General_Model!$E$15)^0.25))*General_Model!$E$7/(General_Model!$E$4/1000)+2)*(General_Model!$E$26/A491))</f>
        <v>-9.6612005367606987E-2</v>
      </c>
      <c r="C491" s="13">
        <f t="shared" si="7"/>
        <v>0</v>
      </c>
    </row>
    <row r="492" spans="1:3" x14ac:dyDescent="0.25">
      <c r="A492" s="11">
        <v>0.49</v>
      </c>
      <c r="B492" s="12">
        <f>(General_Model!$E$6/General_Model!$E$7)-1/(1+General_Model!$E$26/((1.2+0.2*(General_Model!$E$26/A492)+0.35*SQRT(9.80665*(General_Model!$E$4/1000))/A492)*A492))-(A492^2/(2*9.80665*General_Model!$E$7))*((4*(0.3164/((General_Model!$E$14*A492*(General_Model!$E$4/1000)/General_Model!$E$15)^0.25))*General_Model!$E$7/(General_Model!$E$4/1000)+1)+(4*(0.3164/((General_Model!$E$14*A492*(General_Model!$E$4/1000)/General_Model!$E$15)^0.25))*General_Model!$E$7/(General_Model!$E$4/1000)+2)*(General_Model!$E$26/A492))</f>
        <v>-9.7093069700366075E-2</v>
      </c>
      <c r="C492" s="13">
        <f t="shared" si="7"/>
        <v>0</v>
      </c>
    </row>
    <row r="493" spans="1:3" x14ac:dyDescent="0.25">
      <c r="A493" s="11">
        <v>0.49099999999999999</v>
      </c>
      <c r="B493" s="12">
        <f>(General_Model!$E$6/General_Model!$E$7)-1/(1+General_Model!$E$26/((1.2+0.2*(General_Model!$E$26/A493)+0.35*SQRT(9.80665*(General_Model!$E$4/1000))/A493)*A493))-(A493^2/(2*9.80665*General_Model!$E$7))*((4*(0.3164/((General_Model!$E$14*A493*(General_Model!$E$4/1000)/General_Model!$E$15)^0.25))*General_Model!$E$7/(General_Model!$E$4/1000)+1)+(4*(0.3164/((General_Model!$E$14*A493*(General_Model!$E$4/1000)/General_Model!$E$15)^0.25))*General_Model!$E$7/(General_Model!$E$4/1000)+2)*(General_Model!$E$26/A493))</f>
        <v>-9.7573888246922036E-2</v>
      </c>
      <c r="C493" s="13">
        <f t="shared" si="7"/>
        <v>0</v>
      </c>
    </row>
    <row r="494" spans="1:3" x14ac:dyDescent="0.25">
      <c r="A494" s="11">
        <v>0.49199999999999999</v>
      </c>
      <c r="B494" s="12">
        <f>(General_Model!$E$6/General_Model!$E$7)-1/(1+General_Model!$E$26/((1.2+0.2*(General_Model!$E$26/A494)+0.35*SQRT(9.80665*(General_Model!$E$4/1000))/A494)*A494))-(A494^2/(2*9.80665*General_Model!$E$7))*((4*(0.3164/((General_Model!$E$14*A494*(General_Model!$E$4/1000)/General_Model!$E$15)^0.25))*General_Model!$E$7/(General_Model!$E$4/1000)+1)+(4*(0.3164/((General_Model!$E$14*A494*(General_Model!$E$4/1000)/General_Model!$E$15)^0.25))*General_Model!$E$7/(General_Model!$E$4/1000)+2)*(General_Model!$E$26/A494))</f>
        <v>-9.8054461928649653E-2</v>
      </c>
      <c r="C494" s="13">
        <f t="shared" si="7"/>
        <v>0</v>
      </c>
    </row>
    <row r="495" spans="1:3" x14ac:dyDescent="0.25">
      <c r="A495" s="11">
        <v>0.49299999999999999</v>
      </c>
      <c r="B495" s="12">
        <f>(General_Model!$E$6/General_Model!$E$7)-1/(1+General_Model!$E$26/((1.2+0.2*(General_Model!$E$26/A495)+0.35*SQRT(9.80665*(General_Model!$E$4/1000))/A495)*A495))-(A495^2/(2*9.80665*General_Model!$E$7))*((4*(0.3164/((General_Model!$E$14*A495*(General_Model!$E$4/1000)/General_Model!$E$15)^0.25))*General_Model!$E$7/(General_Model!$E$4/1000)+1)+(4*(0.3164/((General_Model!$E$14*A495*(General_Model!$E$4/1000)/General_Model!$E$15)^0.25))*General_Model!$E$7/(General_Model!$E$4/1000)+2)*(General_Model!$E$26/A495))</f>
        <v>-9.853479166412113E-2</v>
      </c>
      <c r="C495" s="13">
        <f t="shared" si="7"/>
        <v>0</v>
      </c>
    </row>
    <row r="496" spans="1:3" x14ac:dyDescent="0.25">
      <c r="A496" s="11">
        <v>0.49399999999999999</v>
      </c>
      <c r="B496" s="12">
        <f>(General_Model!$E$6/General_Model!$E$7)-1/(1+General_Model!$E$26/((1.2+0.2*(General_Model!$E$26/A496)+0.35*SQRT(9.80665*(General_Model!$E$4/1000))/A496)*A496))-(A496^2/(2*9.80665*General_Model!$E$7))*((4*(0.3164/((General_Model!$E$14*A496*(General_Model!$E$4/1000)/General_Model!$E$15)^0.25))*General_Model!$E$7/(General_Model!$E$4/1000)+1)+(4*(0.3164/((General_Model!$E$14*A496*(General_Model!$E$4/1000)/General_Model!$E$15)^0.25))*General_Model!$E$7/(General_Model!$E$4/1000)+2)*(General_Model!$E$26/A496))</f>
        <v>-9.9014878369117251E-2</v>
      </c>
      <c r="C496" s="13">
        <f t="shared" si="7"/>
        <v>0</v>
      </c>
    </row>
    <row r="497" spans="1:3" x14ac:dyDescent="0.25">
      <c r="A497" s="11">
        <v>0.495</v>
      </c>
      <c r="B497" s="12">
        <f>(General_Model!$E$6/General_Model!$E$7)-1/(1+General_Model!$E$26/((1.2+0.2*(General_Model!$E$26/A497)+0.35*SQRT(9.80665*(General_Model!$E$4/1000))/A497)*A497))-(A497^2/(2*9.80665*General_Model!$E$7))*((4*(0.3164/((General_Model!$E$14*A497*(General_Model!$E$4/1000)/General_Model!$E$15)^0.25))*General_Model!$E$7/(General_Model!$E$4/1000)+1)+(4*(0.3164/((General_Model!$E$14*A497*(General_Model!$E$4/1000)/General_Model!$E$15)^0.25))*General_Model!$E$7/(General_Model!$E$4/1000)+2)*(General_Model!$E$26/A497))</f>
        <v>-9.9494722956637985E-2</v>
      </c>
      <c r="C497" s="13">
        <f t="shared" si="7"/>
        <v>0</v>
      </c>
    </row>
    <row r="498" spans="1:3" x14ac:dyDescent="0.25">
      <c r="A498" s="11">
        <v>0.496</v>
      </c>
      <c r="B498" s="12">
        <f>(General_Model!$E$6/General_Model!$E$7)-1/(1+General_Model!$E$26/((1.2+0.2*(General_Model!$E$26/A498)+0.35*SQRT(9.80665*(General_Model!$E$4/1000))/A498)*A498))-(A498^2/(2*9.80665*General_Model!$E$7))*((4*(0.3164/((General_Model!$E$14*A498*(General_Model!$E$4/1000)/General_Model!$E$15)^0.25))*General_Model!$E$7/(General_Model!$E$4/1000)+1)+(4*(0.3164/((General_Model!$E$14*A498*(General_Model!$E$4/1000)/General_Model!$E$15)^0.25))*General_Model!$E$7/(General_Model!$E$4/1000)+2)*(General_Model!$E$26/A498))</f>
        <v>-9.9974326336912861E-2</v>
      </c>
      <c r="C498" s="13">
        <f t="shared" si="7"/>
        <v>0</v>
      </c>
    </row>
    <row r="499" spans="1:3" x14ac:dyDescent="0.25">
      <c r="A499" s="11">
        <v>0.497</v>
      </c>
      <c r="B499" s="12">
        <f>(General_Model!$E$6/General_Model!$E$7)-1/(1+General_Model!$E$26/((1.2+0.2*(General_Model!$E$26/A499)+0.35*SQRT(9.80665*(General_Model!$E$4/1000))/A499)*A499))-(A499^2/(2*9.80665*General_Model!$E$7))*((4*(0.3164/((General_Model!$E$14*A499*(General_Model!$E$4/1000)/General_Model!$E$15)^0.25))*General_Model!$E$7/(General_Model!$E$4/1000)+1)+(4*(0.3164/((General_Model!$E$14*A499*(General_Model!$E$4/1000)/General_Model!$E$15)^0.25))*General_Model!$E$7/(General_Model!$E$4/1000)+2)*(General_Model!$E$26/A499))</f>
        <v>-0.10045368941741194</v>
      </c>
      <c r="C499" s="13">
        <f t="shared" si="7"/>
        <v>0</v>
      </c>
    </row>
    <row r="500" spans="1:3" x14ac:dyDescent="0.25">
      <c r="A500" s="11">
        <v>0.498</v>
      </c>
      <c r="B500" s="12">
        <f>(General_Model!$E$6/General_Model!$E$7)-1/(1+General_Model!$E$26/((1.2+0.2*(General_Model!$E$26/A500)+0.35*SQRT(9.80665*(General_Model!$E$4/1000))/A500)*A500))-(A500^2/(2*9.80665*General_Model!$E$7))*((4*(0.3164/((General_Model!$E$14*A500*(General_Model!$E$4/1000)/General_Model!$E$15)^0.25))*General_Model!$E$7/(General_Model!$E$4/1000)+1)+(4*(0.3164/((General_Model!$E$14*A500*(General_Model!$E$4/1000)/General_Model!$E$15)^0.25))*General_Model!$E$7/(General_Model!$E$4/1000)+2)*(General_Model!$E$26/A500))</f>
        <v>-0.10093281310285619</v>
      </c>
      <c r="C500" s="13">
        <f t="shared" si="7"/>
        <v>0</v>
      </c>
    </row>
    <row r="501" spans="1:3" x14ac:dyDescent="0.25">
      <c r="A501" s="11">
        <v>0.499</v>
      </c>
      <c r="B501" s="12">
        <f>(General_Model!$E$6/General_Model!$E$7)-1/(1+General_Model!$E$26/((1.2+0.2*(General_Model!$E$26/A501)+0.35*SQRT(9.80665*(General_Model!$E$4/1000))/A501)*A501))-(A501^2/(2*9.80665*General_Model!$E$7))*((4*(0.3164/((General_Model!$E$14*A501*(General_Model!$E$4/1000)/General_Model!$E$15)^0.25))*General_Model!$E$7/(General_Model!$E$4/1000)+1)+(4*(0.3164/((General_Model!$E$14*A501*(General_Model!$E$4/1000)/General_Model!$E$15)^0.25))*General_Model!$E$7/(General_Model!$E$4/1000)+2)*(General_Model!$E$26/A501))</f>
        <v>-0.10141169829522824</v>
      </c>
      <c r="C501" s="13">
        <f t="shared" si="7"/>
        <v>0</v>
      </c>
    </row>
    <row r="502" spans="1:3" x14ac:dyDescent="0.25">
      <c r="A502" s="11">
        <v>0.5</v>
      </c>
      <c r="B502" s="12">
        <f>(General_Model!$E$6/General_Model!$E$7)-1/(1+General_Model!$E$26/((1.2+0.2*(General_Model!$E$26/A502)+0.35*SQRT(9.80665*(General_Model!$E$4/1000))/A502)*A502))-(A502^2/(2*9.80665*General_Model!$E$7))*((4*(0.3164/((General_Model!$E$14*A502*(General_Model!$E$4/1000)/General_Model!$E$15)^0.25))*General_Model!$E$7/(General_Model!$E$4/1000)+1)+(4*(0.3164/((General_Model!$E$14*A502*(General_Model!$E$4/1000)/General_Model!$E$15)^0.25))*General_Model!$E$7/(General_Model!$E$4/1000)+2)*(General_Model!$E$26/A502))</f>
        <v>-0.10189034589378219</v>
      </c>
      <c r="C502" s="13">
        <f t="shared" si="7"/>
        <v>0</v>
      </c>
    </row>
    <row r="503" spans="1:3" x14ac:dyDescent="0.25">
      <c r="A503" s="11">
        <v>0.501</v>
      </c>
      <c r="B503" s="12">
        <f>(General_Model!$E$6/General_Model!$E$7)-1/(1+General_Model!$E$26/((1.2+0.2*(General_Model!$E$26/A503)+0.35*SQRT(9.80665*(General_Model!$E$4/1000))/A503)*A503))-(A503^2/(2*9.80665*General_Model!$E$7))*((4*(0.3164/((General_Model!$E$14*A503*(General_Model!$E$4/1000)/General_Model!$E$15)^0.25))*General_Model!$E$7/(General_Model!$E$4/1000)+1)+(4*(0.3164/((General_Model!$E$14*A503*(General_Model!$E$4/1000)/General_Model!$E$15)^0.25))*General_Model!$E$7/(General_Model!$E$4/1000)+2)*(General_Model!$E$26/A503))</f>
        <v>-0.10236875679505487</v>
      </c>
      <c r="C503" s="13">
        <f t="shared" si="7"/>
        <v>0</v>
      </c>
    </row>
    <row r="504" spans="1:3" x14ac:dyDescent="0.25">
      <c r="A504" s="11">
        <v>0.502</v>
      </c>
      <c r="B504" s="12">
        <f>(General_Model!$E$6/General_Model!$E$7)-1/(1+General_Model!$E$26/((1.2+0.2*(General_Model!$E$26/A504)+0.35*SQRT(9.80665*(General_Model!$E$4/1000))/A504)*A504))-(A504^2/(2*9.80665*General_Model!$E$7))*((4*(0.3164/((General_Model!$E$14*A504*(General_Model!$E$4/1000)/General_Model!$E$15)^0.25))*General_Model!$E$7/(General_Model!$E$4/1000)+1)+(4*(0.3164/((General_Model!$E$14*A504*(General_Model!$E$4/1000)/General_Model!$E$15)^0.25))*General_Model!$E$7/(General_Model!$E$4/1000)+2)*(General_Model!$E$26/A504))</f>
        <v>-0.10284693189287564</v>
      </c>
      <c r="C504" s="13">
        <f t="shared" si="7"/>
        <v>0</v>
      </c>
    </row>
    <row r="505" spans="1:3" x14ac:dyDescent="0.25">
      <c r="A505" s="11">
        <v>0.503</v>
      </c>
      <c r="B505" s="12">
        <f>(General_Model!$E$6/General_Model!$E$7)-1/(1+General_Model!$E$26/((1.2+0.2*(General_Model!$E$26/A505)+0.35*SQRT(9.80665*(General_Model!$E$4/1000))/A505)*A505))-(A505^2/(2*9.80665*General_Model!$E$7))*((4*(0.3164/((General_Model!$E$14*A505*(General_Model!$E$4/1000)/General_Model!$E$15)^0.25))*General_Model!$E$7/(General_Model!$E$4/1000)+1)+(4*(0.3164/((General_Model!$E$14*A505*(General_Model!$E$4/1000)/General_Model!$E$15)^0.25))*General_Model!$E$7/(General_Model!$E$4/1000)+2)*(General_Model!$E$26/A505))</f>
        <v>-0.10332487207837668</v>
      </c>
      <c r="C505" s="13">
        <f t="shared" si="7"/>
        <v>0</v>
      </c>
    </row>
    <row r="506" spans="1:3" x14ac:dyDescent="0.25">
      <c r="A506" s="11">
        <v>0.504</v>
      </c>
      <c r="B506" s="12">
        <f>(General_Model!$E$6/General_Model!$E$7)-1/(1+General_Model!$E$26/((1.2+0.2*(General_Model!$E$26/A506)+0.35*SQRT(9.80665*(General_Model!$E$4/1000))/A506)*A506))-(A506^2/(2*9.80665*General_Model!$E$7))*((4*(0.3164/((General_Model!$E$14*A506*(General_Model!$E$4/1000)/General_Model!$E$15)^0.25))*General_Model!$E$7/(General_Model!$E$4/1000)+1)+(4*(0.3164/((General_Model!$E$14*A506*(General_Model!$E$4/1000)/General_Model!$E$15)^0.25))*General_Model!$E$7/(General_Model!$E$4/1000)+2)*(General_Model!$E$26/A506))</f>
        <v>-0.10380257824000376</v>
      </c>
      <c r="C506" s="13">
        <f t="shared" si="7"/>
        <v>0</v>
      </c>
    </row>
    <row r="507" spans="1:3" x14ac:dyDescent="0.25">
      <c r="A507" s="11">
        <v>0.505</v>
      </c>
      <c r="B507" s="12">
        <f>(General_Model!$E$6/General_Model!$E$7)-1/(1+General_Model!$E$26/((1.2+0.2*(General_Model!$E$26/A507)+0.35*SQRT(9.80665*(General_Model!$E$4/1000))/A507)*A507))-(A507^2/(2*9.80665*General_Model!$E$7))*((4*(0.3164/((General_Model!$E$14*A507*(General_Model!$E$4/1000)/General_Model!$E$15)^0.25))*General_Model!$E$7/(General_Model!$E$4/1000)+1)+(4*(0.3164/((General_Model!$E$14*A507*(General_Model!$E$4/1000)/General_Model!$E$15)^0.25))*General_Model!$E$7/(General_Model!$E$4/1000)+2)*(General_Model!$E$26/A507))</f>
        <v>-0.10428005126352556</v>
      </c>
      <c r="C507" s="13">
        <f t="shared" si="7"/>
        <v>0</v>
      </c>
    </row>
    <row r="508" spans="1:3" x14ac:dyDescent="0.25">
      <c r="A508" s="11">
        <v>0.50600000000000001</v>
      </c>
      <c r="B508" s="12">
        <f>(General_Model!$E$6/General_Model!$E$7)-1/(1+General_Model!$E$26/((1.2+0.2*(General_Model!$E$26/A508)+0.35*SQRT(9.80665*(General_Model!$E$4/1000))/A508)*A508))-(A508^2/(2*9.80665*General_Model!$E$7))*((4*(0.3164/((General_Model!$E$14*A508*(General_Model!$E$4/1000)/General_Model!$E$15)^0.25))*General_Model!$E$7/(General_Model!$E$4/1000)+1)+(4*(0.3164/((General_Model!$E$14*A508*(General_Model!$E$4/1000)/General_Model!$E$15)^0.25))*General_Model!$E$7/(General_Model!$E$4/1000)+2)*(General_Model!$E$26/A508))</f>
        <v>-0.10475729203204495</v>
      </c>
      <c r="C508" s="13">
        <f t="shared" si="7"/>
        <v>0</v>
      </c>
    </row>
    <row r="509" spans="1:3" x14ac:dyDescent="0.25">
      <c r="A509" s="11">
        <v>0.50700000000000001</v>
      </c>
      <c r="B509" s="12">
        <f>(General_Model!$E$6/General_Model!$E$7)-1/(1+General_Model!$E$26/((1.2+0.2*(General_Model!$E$26/A509)+0.35*SQRT(9.80665*(General_Model!$E$4/1000))/A509)*A509))-(A509^2/(2*9.80665*General_Model!$E$7))*((4*(0.3164/((General_Model!$E$14*A509*(General_Model!$E$4/1000)/General_Model!$E$15)^0.25))*General_Model!$E$7/(General_Model!$E$4/1000)+1)+(4*(0.3164/((General_Model!$E$14*A509*(General_Model!$E$4/1000)/General_Model!$E$15)^0.25))*General_Model!$E$7/(General_Model!$E$4/1000)+2)*(General_Model!$E$26/A509))</f>
        <v>-0.10523430142600833</v>
      </c>
      <c r="C509" s="13">
        <f t="shared" si="7"/>
        <v>0</v>
      </c>
    </row>
    <row r="510" spans="1:3" x14ac:dyDescent="0.25">
      <c r="A510" s="11">
        <v>0.50800000000000001</v>
      </c>
      <c r="B510" s="12">
        <f>(General_Model!$E$6/General_Model!$E$7)-1/(1+General_Model!$E$26/((1.2+0.2*(General_Model!$E$26/A510)+0.35*SQRT(9.80665*(General_Model!$E$4/1000))/A510)*A510))-(A510^2/(2*9.80665*General_Model!$E$7))*((4*(0.3164/((General_Model!$E$14*A510*(General_Model!$E$4/1000)/General_Model!$E$15)^0.25))*General_Model!$E$7/(General_Model!$E$4/1000)+1)+(4*(0.3164/((General_Model!$E$14*A510*(General_Model!$E$4/1000)/General_Model!$E$15)^0.25))*General_Model!$E$7/(General_Model!$E$4/1000)+2)*(General_Model!$E$26/A510))</f>
        <v>-0.10571108032321563</v>
      </c>
      <c r="C510" s="13">
        <f t="shared" si="7"/>
        <v>0</v>
      </c>
    </row>
    <row r="511" spans="1:3" x14ac:dyDescent="0.25">
      <c r="A511" s="11">
        <v>0.50900000000000001</v>
      </c>
      <c r="B511" s="12">
        <f>(General_Model!$E$6/General_Model!$E$7)-1/(1+General_Model!$E$26/((1.2+0.2*(General_Model!$E$26/A511)+0.35*SQRT(9.80665*(General_Model!$E$4/1000))/A511)*A511))-(A511^2/(2*9.80665*General_Model!$E$7))*((4*(0.3164/((General_Model!$E$14*A511*(General_Model!$E$4/1000)/General_Model!$E$15)^0.25))*General_Model!$E$7/(General_Model!$E$4/1000)+1)+(4*(0.3164/((General_Model!$E$14*A511*(General_Model!$E$4/1000)/General_Model!$E$15)^0.25))*General_Model!$E$7/(General_Model!$E$4/1000)+2)*(General_Model!$E$26/A511))</f>
        <v>-0.106187629598831</v>
      </c>
      <c r="C511" s="13">
        <f t="shared" si="7"/>
        <v>0</v>
      </c>
    </row>
    <row r="512" spans="1:3" x14ac:dyDescent="0.25">
      <c r="A512" s="11">
        <v>0.51</v>
      </c>
      <c r="B512" s="12">
        <f>(General_Model!$E$6/General_Model!$E$7)-1/(1+General_Model!$E$26/((1.2+0.2*(General_Model!$E$26/A512)+0.35*SQRT(9.80665*(General_Model!$E$4/1000))/A512)*A512))-(A512^2/(2*9.80665*General_Model!$E$7))*((4*(0.3164/((General_Model!$E$14*A512*(General_Model!$E$4/1000)/General_Model!$E$15)^0.25))*General_Model!$E$7/(General_Model!$E$4/1000)+1)+(4*(0.3164/((General_Model!$E$14*A512*(General_Model!$E$4/1000)/General_Model!$E$15)^0.25))*General_Model!$E$7/(General_Model!$E$4/1000)+2)*(General_Model!$E$26/A512))</f>
        <v>-0.10666395012539187</v>
      </c>
      <c r="C512" s="13">
        <f t="shared" si="7"/>
        <v>0</v>
      </c>
    </row>
    <row r="513" spans="1:3" x14ac:dyDescent="0.25">
      <c r="A513" s="11">
        <v>0.51100000000000001</v>
      </c>
      <c r="B513" s="12">
        <f>(General_Model!$E$6/General_Model!$E$7)-1/(1+General_Model!$E$26/((1.2+0.2*(General_Model!$E$26/A513)+0.35*SQRT(9.80665*(General_Model!$E$4/1000))/A513)*A513))-(A513^2/(2*9.80665*General_Model!$E$7))*((4*(0.3164/((General_Model!$E$14*A513*(General_Model!$E$4/1000)/General_Model!$E$15)^0.25))*General_Model!$E$7/(General_Model!$E$4/1000)+1)+(4*(0.3164/((General_Model!$E$14*A513*(General_Model!$E$4/1000)/General_Model!$E$15)^0.25))*General_Model!$E$7/(General_Model!$E$4/1000)+2)*(General_Model!$E$26/A513))</f>
        <v>-0.10714004277282015</v>
      </c>
      <c r="C513" s="13">
        <f t="shared" si="7"/>
        <v>0</v>
      </c>
    </row>
    <row r="514" spans="1:3" x14ac:dyDescent="0.25">
      <c r="A514" s="11">
        <v>0.51200000000000001</v>
      </c>
      <c r="B514" s="12">
        <f>(General_Model!$E$6/General_Model!$E$7)-1/(1+General_Model!$E$26/((1.2+0.2*(General_Model!$E$26/A514)+0.35*SQRT(9.80665*(General_Model!$E$4/1000))/A514)*A514))-(A514^2/(2*9.80665*General_Model!$E$7))*((4*(0.3164/((General_Model!$E$14*A514*(General_Model!$E$4/1000)/General_Model!$E$15)^0.25))*General_Model!$E$7/(General_Model!$E$4/1000)+1)+(4*(0.3164/((General_Model!$E$14*A514*(General_Model!$E$4/1000)/General_Model!$E$15)^0.25))*General_Model!$E$7/(General_Model!$E$4/1000)+2)*(General_Model!$E$26/A514))</f>
        <v>-0.10761590840843066</v>
      </c>
      <c r="C514" s="13">
        <f t="shared" si="7"/>
        <v>0</v>
      </c>
    </row>
    <row r="515" spans="1:3" x14ac:dyDescent="0.25">
      <c r="A515" s="11">
        <v>0.51300000000000001</v>
      </c>
      <c r="B515" s="12">
        <f>(General_Model!$E$6/General_Model!$E$7)-1/(1+General_Model!$E$26/((1.2+0.2*(General_Model!$E$26/A515)+0.35*SQRT(9.80665*(General_Model!$E$4/1000))/A515)*A515))-(A515^2/(2*9.80665*General_Model!$E$7))*((4*(0.3164/((General_Model!$E$14*A515*(General_Model!$E$4/1000)/General_Model!$E$15)^0.25))*General_Model!$E$7/(General_Model!$E$4/1000)+1)+(4*(0.3164/((General_Model!$E$14*A515*(General_Model!$E$4/1000)/General_Model!$E$15)^0.25))*General_Model!$E$7/(General_Model!$E$4/1000)+2)*(General_Model!$E$26/A515))</f>
        <v>-0.10809154789694166</v>
      </c>
      <c r="C515" s="13">
        <f t="shared" ref="C515:C578" si="8">IF(B515*B516&lt;=0,1,0)</f>
        <v>0</v>
      </c>
    </row>
    <row r="516" spans="1:3" x14ac:dyDescent="0.25">
      <c r="A516" s="11">
        <v>0.51400000000000001</v>
      </c>
      <c r="B516" s="12">
        <f>(General_Model!$E$6/General_Model!$E$7)-1/(1+General_Model!$E$26/((1.2+0.2*(General_Model!$E$26/A516)+0.35*SQRT(9.80665*(General_Model!$E$4/1000))/A516)*A516))-(A516^2/(2*9.80665*General_Model!$E$7))*((4*(0.3164/((General_Model!$E$14*A516*(General_Model!$E$4/1000)/General_Model!$E$15)^0.25))*General_Model!$E$7/(General_Model!$E$4/1000)+1)+(4*(0.3164/((General_Model!$E$14*A516*(General_Model!$E$4/1000)/General_Model!$E$15)^0.25))*General_Model!$E$7/(General_Model!$E$4/1000)+2)*(General_Model!$E$26/A516))</f>
        <v>-0.1085669621004851</v>
      </c>
      <c r="C516" s="13">
        <f t="shared" si="8"/>
        <v>0</v>
      </c>
    </row>
    <row r="517" spans="1:3" x14ac:dyDescent="0.25">
      <c r="A517" s="11">
        <v>0.51500000000000001</v>
      </c>
      <c r="B517" s="12">
        <f>(General_Model!$E$6/General_Model!$E$7)-1/(1+General_Model!$E$26/((1.2+0.2*(General_Model!$E$26/A517)+0.35*SQRT(9.80665*(General_Model!$E$4/1000))/A517)*A517))-(A517^2/(2*9.80665*General_Model!$E$7))*((4*(0.3164/((General_Model!$E$14*A517*(General_Model!$E$4/1000)/General_Model!$E$15)^0.25))*General_Model!$E$7/(General_Model!$E$4/1000)+1)+(4*(0.3164/((General_Model!$E$14*A517*(General_Model!$E$4/1000)/General_Model!$E$15)^0.25))*General_Model!$E$7/(General_Model!$E$4/1000)+2)*(General_Model!$E$26/A517))</f>
        <v>-0.10904215187861553</v>
      </c>
      <c r="C517" s="13">
        <f t="shared" si="8"/>
        <v>0</v>
      </c>
    </row>
    <row r="518" spans="1:3" x14ac:dyDescent="0.25">
      <c r="A518" s="11">
        <v>0.51600000000000001</v>
      </c>
      <c r="B518" s="12">
        <f>(General_Model!$E$6/General_Model!$E$7)-1/(1+General_Model!$E$26/((1.2+0.2*(General_Model!$E$26/A518)+0.35*SQRT(9.80665*(General_Model!$E$4/1000))/A518)*A518))-(A518^2/(2*9.80665*General_Model!$E$7))*((4*(0.3164/((General_Model!$E$14*A518*(General_Model!$E$4/1000)/General_Model!$E$15)^0.25))*General_Model!$E$7/(General_Model!$E$4/1000)+1)+(4*(0.3164/((General_Model!$E$14*A518*(General_Model!$E$4/1000)/General_Model!$E$15)^0.25))*General_Model!$E$7/(General_Model!$E$4/1000)+2)*(General_Model!$E$26/A518))</f>
        <v>-0.10951711808832024</v>
      </c>
      <c r="C518" s="13">
        <f t="shared" si="8"/>
        <v>0</v>
      </c>
    </row>
    <row r="519" spans="1:3" x14ac:dyDescent="0.25">
      <c r="A519" s="11">
        <v>0.51700000000000002</v>
      </c>
      <c r="B519" s="12">
        <f>(General_Model!$E$6/General_Model!$E$7)-1/(1+General_Model!$E$26/((1.2+0.2*(General_Model!$E$26/A519)+0.35*SQRT(9.80665*(General_Model!$E$4/1000))/A519)*A519))-(A519^2/(2*9.80665*General_Model!$E$7))*((4*(0.3164/((General_Model!$E$14*A519*(General_Model!$E$4/1000)/General_Model!$E$15)^0.25))*General_Model!$E$7/(General_Model!$E$4/1000)+1)+(4*(0.3164/((General_Model!$E$14*A519*(General_Model!$E$4/1000)/General_Model!$E$15)^0.25))*General_Model!$E$7/(General_Model!$E$4/1000)+2)*(General_Model!$E$26/A519))</f>
        <v>-0.10999186158402868</v>
      </c>
      <c r="C519" s="13">
        <f t="shared" si="8"/>
        <v>0</v>
      </c>
    </row>
    <row r="520" spans="1:3" x14ac:dyDescent="0.25">
      <c r="A520" s="11">
        <v>0.51800000000000002</v>
      </c>
      <c r="B520" s="12">
        <f>(General_Model!$E$6/General_Model!$E$7)-1/(1+General_Model!$E$26/((1.2+0.2*(General_Model!$E$26/A520)+0.35*SQRT(9.80665*(General_Model!$E$4/1000))/A520)*A520))-(A520^2/(2*9.80665*General_Model!$E$7))*((4*(0.3164/((General_Model!$E$14*A520*(General_Model!$E$4/1000)/General_Model!$E$15)^0.25))*General_Model!$E$7/(General_Model!$E$4/1000)+1)+(4*(0.3164/((General_Model!$E$14*A520*(General_Model!$E$4/1000)/General_Model!$E$15)^0.25))*General_Model!$E$7/(General_Model!$E$4/1000)+2)*(General_Model!$E$26/A520))</f>
        <v>-0.11046638321762253</v>
      </c>
      <c r="C520" s="13">
        <f t="shared" si="8"/>
        <v>0</v>
      </c>
    </row>
    <row r="521" spans="1:3" x14ac:dyDescent="0.25">
      <c r="A521" s="11">
        <v>0.51900000000000002</v>
      </c>
      <c r="B521" s="12">
        <f>(General_Model!$E$6/General_Model!$E$7)-1/(1+General_Model!$E$26/((1.2+0.2*(General_Model!$E$26/A521)+0.35*SQRT(9.80665*(General_Model!$E$4/1000))/A521)*A521))-(A521^2/(2*9.80665*General_Model!$E$7))*((4*(0.3164/((General_Model!$E$14*A521*(General_Model!$E$4/1000)/General_Model!$E$15)^0.25))*General_Model!$E$7/(General_Model!$E$4/1000)+1)+(4*(0.3164/((General_Model!$E$14*A521*(General_Model!$E$4/1000)/General_Model!$E$15)^0.25))*General_Model!$E$7/(General_Model!$E$4/1000)+2)*(General_Model!$E$26/A521))</f>
        <v>-0.1109406838384446</v>
      </c>
      <c r="C521" s="13">
        <f t="shared" si="8"/>
        <v>0</v>
      </c>
    </row>
    <row r="522" spans="1:3" x14ac:dyDescent="0.25">
      <c r="A522" s="11">
        <v>0.52</v>
      </c>
      <c r="B522" s="12">
        <f>(General_Model!$E$6/General_Model!$E$7)-1/(1+General_Model!$E$26/((1.2+0.2*(General_Model!$E$26/A522)+0.35*SQRT(9.80665*(General_Model!$E$4/1000))/A522)*A522))-(A522^2/(2*9.80665*General_Model!$E$7))*((4*(0.3164/((General_Model!$E$14*A522*(General_Model!$E$4/1000)/General_Model!$E$15)^0.25))*General_Model!$E$7/(General_Model!$E$4/1000)+1)+(4*(0.3164/((General_Model!$E$14*A522*(General_Model!$E$4/1000)/General_Model!$E$15)^0.25))*General_Model!$E$7/(General_Model!$E$4/1000)+2)*(General_Model!$E$26/A522))</f>
        <v>-0.1114147642933089</v>
      </c>
      <c r="C522" s="13">
        <f t="shared" si="8"/>
        <v>0</v>
      </c>
    </row>
    <row r="523" spans="1:3" x14ac:dyDescent="0.25">
      <c r="A523" s="11">
        <v>0.52100000000000002</v>
      </c>
      <c r="B523" s="12">
        <f>(General_Model!$E$6/General_Model!$E$7)-1/(1+General_Model!$E$26/((1.2+0.2*(General_Model!$E$26/A523)+0.35*SQRT(9.80665*(General_Model!$E$4/1000))/A523)*A523))-(A523^2/(2*9.80665*General_Model!$E$7))*((4*(0.3164/((General_Model!$E$14*A523*(General_Model!$E$4/1000)/General_Model!$E$15)^0.25))*General_Model!$E$7/(General_Model!$E$4/1000)+1)+(4*(0.3164/((General_Model!$E$14*A523*(General_Model!$E$4/1000)/General_Model!$E$15)^0.25))*General_Model!$E$7/(General_Model!$E$4/1000)+2)*(General_Model!$E$26/A523))</f>
        <v>-0.11188862542650976</v>
      </c>
      <c r="C523" s="13">
        <f t="shared" si="8"/>
        <v>0</v>
      </c>
    </row>
    <row r="524" spans="1:3" x14ac:dyDescent="0.25">
      <c r="A524" s="11">
        <v>0.52200000000000002</v>
      </c>
      <c r="B524" s="12">
        <f>(General_Model!$E$6/General_Model!$E$7)-1/(1+General_Model!$E$26/((1.2+0.2*(General_Model!$E$26/A524)+0.35*SQRT(9.80665*(General_Model!$E$4/1000))/A524)*A524))-(A524^2/(2*9.80665*General_Model!$E$7))*((4*(0.3164/((General_Model!$E$14*A524*(General_Model!$E$4/1000)/General_Model!$E$15)^0.25))*General_Model!$E$7/(General_Model!$E$4/1000)+1)+(4*(0.3164/((General_Model!$E$14*A524*(General_Model!$E$4/1000)/General_Model!$E$15)^0.25))*General_Model!$E$7/(General_Model!$E$4/1000)+2)*(General_Model!$E$26/A524))</f>
        <v>-0.11236226807983142</v>
      </c>
      <c r="C524" s="13">
        <f t="shared" si="8"/>
        <v>0</v>
      </c>
    </row>
    <row r="525" spans="1:3" x14ac:dyDescent="0.25">
      <c r="A525" s="11">
        <v>0.52300000000000002</v>
      </c>
      <c r="B525" s="12">
        <f>(General_Model!$E$6/General_Model!$E$7)-1/(1+General_Model!$E$26/((1.2+0.2*(General_Model!$E$26/A525)+0.35*SQRT(9.80665*(General_Model!$E$4/1000))/A525)*A525))-(A525^2/(2*9.80665*General_Model!$E$7))*((4*(0.3164/((General_Model!$E$14*A525*(General_Model!$E$4/1000)/General_Model!$E$15)^0.25))*General_Model!$E$7/(General_Model!$E$4/1000)+1)+(4*(0.3164/((General_Model!$E$14*A525*(General_Model!$E$4/1000)/General_Model!$E$15)^0.25))*General_Model!$E$7/(General_Model!$E$4/1000)+2)*(General_Model!$E$26/A525))</f>
        <v>-0.11283569309255759</v>
      </c>
      <c r="C525" s="13">
        <f t="shared" si="8"/>
        <v>0</v>
      </c>
    </row>
    <row r="526" spans="1:3" x14ac:dyDescent="0.25">
      <c r="A526" s="11">
        <v>0.52400000000000002</v>
      </c>
      <c r="B526" s="12">
        <f>(General_Model!$E$6/General_Model!$E$7)-1/(1+General_Model!$E$26/((1.2+0.2*(General_Model!$E$26/A526)+0.35*SQRT(9.80665*(General_Model!$E$4/1000))/A526)*A526))-(A526^2/(2*9.80665*General_Model!$E$7))*((4*(0.3164/((General_Model!$E$14*A526*(General_Model!$E$4/1000)/General_Model!$E$15)^0.25))*General_Model!$E$7/(General_Model!$E$4/1000)+1)+(4*(0.3164/((General_Model!$E$14*A526*(General_Model!$E$4/1000)/General_Model!$E$15)^0.25))*General_Model!$E$7/(General_Model!$E$4/1000)+2)*(General_Model!$E$26/A526))</f>
        <v>-0.11330890130148027</v>
      </c>
      <c r="C526" s="13">
        <f t="shared" si="8"/>
        <v>0</v>
      </c>
    </row>
    <row r="527" spans="1:3" x14ac:dyDescent="0.25">
      <c r="A527" s="11">
        <v>0.52500000000000002</v>
      </c>
      <c r="B527" s="12">
        <f>(General_Model!$E$6/General_Model!$E$7)-1/(1+General_Model!$E$26/((1.2+0.2*(General_Model!$E$26/A527)+0.35*SQRT(9.80665*(General_Model!$E$4/1000))/A527)*A527))-(A527^2/(2*9.80665*General_Model!$E$7))*((4*(0.3164/((General_Model!$E$14*A527*(General_Model!$E$4/1000)/General_Model!$E$15)^0.25))*General_Model!$E$7/(General_Model!$E$4/1000)+1)+(4*(0.3164/((General_Model!$E$14*A527*(General_Model!$E$4/1000)/General_Model!$E$15)^0.25))*General_Model!$E$7/(General_Model!$E$4/1000)+2)*(General_Model!$E$26/A527))</f>
        <v>-0.1137818935409097</v>
      </c>
      <c r="C527" s="13">
        <f t="shared" si="8"/>
        <v>0</v>
      </c>
    </row>
    <row r="528" spans="1:3" x14ac:dyDescent="0.25">
      <c r="A528" s="11">
        <v>0.52600000000000002</v>
      </c>
      <c r="B528" s="12">
        <f>(General_Model!$E$6/General_Model!$E$7)-1/(1+General_Model!$E$26/((1.2+0.2*(General_Model!$E$26/A528)+0.35*SQRT(9.80665*(General_Model!$E$4/1000))/A528)*A528))-(A528^2/(2*9.80665*General_Model!$E$7))*((4*(0.3164/((General_Model!$E$14*A528*(General_Model!$E$4/1000)/General_Model!$E$15)^0.25))*General_Model!$E$7/(General_Model!$E$4/1000)+1)+(4*(0.3164/((General_Model!$E$14*A528*(General_Model!$E$4/1000)/General_Model!$E$15)^0.25))*General_Model!$E$7/(General_Model!$E$4/1000)+2)*(General_Model!$E$26/A528))</f>
        <v>-0.1142546706426829</v>
      </c>
      <c r="C528" s="13">
        <f t="shared" si="8"/>
        <v>0</v>
      </c>
    </row>
    <row r="529" spans="1:3" x14ac:dyDescent="0.25">
      <c r="A529" s="11">
        <v>0.52700000000000002</v>
      </c>
      <c r="B529" s="12">
        <f>(General_Model!$E$6/General_Model!$E$7)-1/(1+General_Model!$E$26/((1.2+0.2*(General_Model!$E$26/A529)+0.35*SQRT(9.80665*(General_Model!$E$4/1000))/A529)*A529))-(A529^2/(2*9.80665*General_Model!$E$7))*((4*(0.3164/((General_Model!$E$14*A529*(General_Model!$E$4/1000)/General_Model!$E$15)^0.25))*General_Model!$E$7/(General_Model!$E$4/1000)+1)+(4*(0.3164/((General_Model!$E$14*A529*(General_Model!$E$4/1000)/General_Model!$E$15)^0.25))*General_Model!$E$7/(General_Model!$E$4/1000)+2)*(General_Model!$E$26/A529))</f>
        <v>-0.11472723343617378</v>
      </c>
      <c r="C529" s="13">
        <f t="shared" si="8"/>
        <v>0</v>
      </c>
    </row>
    <row r="530" spans="1:3" x14ac:dyDescent="0.25">
      <c r="A530" s="11">
        <v>0.52800000000000002</v>
      </c>
      <c r="B530" s="12">
        <f>(General_Model!$E$6/General_Model!$E$7)-1/(1+General_Model!$E$26/((1.2+0.2*(General_Model!$E$26/A530)+0.35*SQRT(9.80665*(General_Model!$E$4/1000))/A530)*A530))-(A530^2/(2*9.80665*General_Model!$E$7))*((4*(0.3164/((General_Model!$E$14*A530*(General_Model!$E$4/1000)/General_Model!$E$15)^0.25))*General_Model!$E$7/(General_Model!$E$4/1000)+1)+(4*(0.3164/((General_Model!$E$14*A530*(General_Model!$E$4/1000)/General_Model!$E$15)^0.25))*General_Model!$E$7/(General_Model!$E$4/1000)+2)*(General_Model!$E$26/A530))</f>
        <v>-0.11519958274830121</v>
      </c>
      <c r="C530" s="13">
        <f t="shared" si="8"/>
        <v>0</v>
      </c>
    </row>
    <row r="531" spans="1:3" x14ac:dyDescent="0.25">
      <c r="A531" s="11">
        <v>0.52900000000000003</v>
      </c>
      <c r="B531" s="12">
        <f>(General_Model!$E$6/General_Model!$E$7)-1/(1+General_Model!$E$26/((1.2+0.2*(General_Model!$E$26/A531)+0.35*SQRT(9.80665*(General_Model!$E$4/1000))/A531)*A531))-(A531^2/(2*9.80665*General_Model!$E$7))*((4*(0.3164/((General_Model!$E$14*A531*(General_Model!$E$4/1000)/General_Model!$E$15)^0.25))*General_Model!$E$7/(General_Model!$E$4/1000)+1)+(4*(0.3164/((General_Model!$E$14*A531*(General_Model!$E$4/1000)/General_Model!$E$15)^0.25))*General_Model!$E$7/(General_Model!$E$4/1000)+2)*(General_Model!$E$26/A531))</f>
        <v>-0.11567171940353921</v>
      </c>
      <c r="C531" s="13">
        <f t="shared" si="8"/>
        <v>0</v>
      </c>
    </row>
    <row r="532" spans="1:3" x14ac:dyDescent="0.25">
      <c r="A532" s="11">
        <v>0.53</v>
      </c>
      <c r="B532" s="12">
        <f>(General_Model!$E$6/General_Model!$E$7)-1/(1+General_Model!$E$26/((1.2+0.2*(General_Model!$E$26/A532)+0.35*SQRT(9.80665*(General_Model!$E$4/1000))/A532)*A532))-(A532^2/(2*9.80665*General_Model!$E$7))*((4*(0.3164/((General_Model!$E$14*A532*(General_Model!$E$4/1000)/General_Model!$E$15)^0.25))*General_Model!$E$7/(General_Model!$E$4/1000)+1)+(4*(0.3164/((General_Model!$E$14*A532*(General_Model!$E$4/1000)/General_Model!$E$15)^0.25))*General_Model!$E$7/(General_Model!$E$4/1000)+2)*(General_Model!$E$26/A532))</f>
        <v>-0.11614364422392551</v>
      </c>
      <c r="C532" s="13">
        <f t="shared" si="8"/>
        <v>0</v>
      </c>
    </row>
    <row r="533" spans="1:3" x14ac:dyDescent="0.25">
      <c r="A533" s="11">
        <v>0.53100000000000003</v>
      </c>
      <c r="B533" s="12">
        <f>(General_Model!$E$6/General_Model!$E$7)-1/(1+General_Model!$E$26/((1.2+0.2*(General_Model!$E$26/A533)+0.35*SQRT(9.80665*(General_Model!$E$4/1000))/A533)*A533))-(A533^2/(2*9.80665*General_Model!$E$7))*((4*(0.3164/((General_Model!$E$14*A533*(General_Model!$E$4/1000)/General_Model!$E$15)^0.25))*General_Model!$E$7/(General_Model!$E$4/1000)+1)+(4*(0.3164/((General_Model!$E$14*A533*(General_Model!$E$4/1000)/General_Model!$E$15)^0.25))*General_Model!$E$7/(General_Model!$E$4/1000)+2)*(General_Model!$E$26/A533))</f>
        <v>-0.11661535802907047</v>
      </c>
      <c r="C533" s="13">
        <f t="shared" si="8"/>
        <v>0</v>
      </c>
    </row>
    <row r="534" spans="1:3" x14ac:dyDescent="0.25">
      <c r="A534" s="11">
        <v>0.53200000000000003</v>
      </c>
      <c r="B534" s="12">
        <f>(General_Model!$E$6/General_Model!$E$7)-1/(1+General_Model!$E$26/((1.2+0.2*(General_Model!$E$26/A534)+0.35*SQRT(9.80665*(General_Model!$E$4/1000))/A534)*A534))-(A534^2/(2*9.80665*General_Model!$E$7))*((4*(0.3164/((General_Model!$E$14*A534*(General_Model!$E$4/1000)/General_Model!$E$15)^0.25))*General_Model!$E$7/(General_Model!$E$4/1000)+1)+(4*(0.3164/((General_Model!$E$14*A534*(General_Model!$E$4/1000)/General_Model!$E$15)^0.25))*General_Model!$E$7/(General_Model!$E$4/1000)+2)*(General_Model!$E$26/A534))</f>
        <v>-0.11708686163616637</v>
      </c>
      <c r="C534" s="13">
        <f t="shared" si="8"/>
        <v>0</v>
      </c>
    </row>
    <row r="535" spans="1:3" x14ac:dyDescent="0.25">
      <c r="A535" s="11">
        <v>0.53300000000000003</v>
      </c>
      <c r="B535" s="12">
        <f>(General_Model!$E$6/General_Model!$E$7)-1/(1+General_Model!$E$26/((1.2+0.2*(General_Model!$E$26/A535)+0.35*SQRT(9.80665*(General_Model!$E$4/1000))/A535)*A535))-(A535^2/(2*9.80665*General_Model!$E$7))*((4*(0.3164/((General_Model!$E$14*A535*(General_Model!$E$4/1000)/General_Model!$E$15)^0.25))*General_Model!$E$7/(General_Model!$E$4/1000)+1)+(4*(0.3164/((General_Model!$E$14*A535*(General_Model!$E$4/1000)/General_Model!$E$15)^0.25))*General_Model!$E$7/(General_Model!$E$4/1000)+2)*(General_Model!$E$26/A535))</f>
        <v>-0.11755815585999613</v>
      </c>
      <c r="C535" s="13">
        <f t="shared" si="8"/>
        <v>0</v>
      </c>
    </row>
    <row r="536" spans="1:3" x14ac:dyDescent="0.25">
      <c r="A536" s="11">
        <v>0.53400000000000003</v>
      </c>
      <c r="B536" s="12">
        <f>(General_Model!$E$6/General_Model!$E$7)-1/(1+General_Model!$E$26/((1.2+0.2*(General_Model!$E$26/A536)+0.35*SQRT(9.80665*(General_Model!$E$4/1000))/A536)*A536))-(A536^2/(2*9.80665*General_Model!$E$7))*((4*(0.3164/((General_Model!$E$14*A536*(General_Model!$E$4/1000)/General_Model!$E$15)^0.25))*General_Model!$E$7/(General_Model!$E$4/1000)+1)+(4*(0.3164/((General_Model!$E$14*A536*(General_Model!$E$4/1000)/General_Model!$E$15)^0.25))*General_Model!$E$7/(General_Model!$E$4/1000)+2)*(General_Model!$E$26/A536))</f>
        <v>-0.11802924151294265</v>
      </c>
      <c r="C536" s="13">
        <f t="shared" si="8"/>
        <v>0</v>
      </c>
    </row>
    <row r="537" spans="1:3" x14ac:dyDescent="0.25">
      <c r="A537" s="11">
        <v>0.53500000000000003</v>
      </c>
      <c r="B537" s="12">
        <f>(General_Model!$E$6/General_Model!$E$7)-1/(1+General_Model!$E$26/((1.2+0.2*(General_Model!$E$26/A537)+0.35*SQRT(9.80665*(General_Model!$E$4/1000))/A537)*A537))-(A537^2/(2*9.80665*General_Model!$E$7))*((4*(0.3164/((General_Model!$E$14*A537*(General_Model!$E$4/1000)/General_Model!$E$15)^0.25))*General_Model!$E$7/(General_Model!$E$4/1000)+1)+(4*(0.3164/((General_Model!$E$14*A537*(General_Model!$E$4/1000)/General_Model!$E$15)^0.25))*General_Model!$E$7/(General_Model!$E$4/1000)+2)*(General_Model!$E$26/A537))</f>
        <v>-0.11850011940499729</v>
      </c>
      <c r="C537" s="13">
        <f t="shared" si="8"/>
        <v>0</v>
      </c>
    </row>
    <row r="538" spans="1:3" x14ac:dyDescent="0.25">
      <c r="A538" s="11">
        <v>0.53600000000000003</v>
      </c>
      <c r="B538" s="12">
        <f>(General_Model!$E$6/General_Model!$E$7)-1/(1+General_Model!$E$26/((1.2+0.2*(General_Model!$E$26/A538)+0.35*SQRT(9.80665*(General_Model!$E$4/1000))/A538)*A538))-(A538^2/(2*9.80665*General_Model!$E$7))*((4*(0.3164/((General_Model!$E$14*A538*(General_Model!$E$4/1000)/General_Model!$E$15)^0.25))*General_Model!$E$7/(General_Model!$E$4/1000)+1)+(4*(0.3164/((General_Model!$E$14*A538*(General_Model!$E$4/1000)/General_Model!$E$15)^0.25))*General_Model!$E$7/(General_Model!$E$4/1000)+2)*(General_Model!$E$26/A538))</f>
        <v>-0.11897079034376867</v>
      </c>
      <c r="C538" s="13">
        <f t="shared" si="8"/>
        <v>0</v>
      </c>
    </row>
    <row r="539" spans="1:3" x14ac:dyDescent="0.25">
      <c r="A539" s="11">
        <v>0.53700000000000003</v>
      </c>
      <c r="B539" s="12">
        <f>(General_Model!$E$6/General_Model!$E$7)-1/(1+General_Model!$E$26/((1.2+0.2*(General_Model!$E$26/A539)+0.35*SQRT(9.80665*(General_Model!$E$4/1000))/A539)*A539))-(A539^2/(2*9.80665*General_Model!$E$7))*((4*(0.3164/((General_Model!$E$14*A539*(General_Model!$E$4/1000)/General_Model!$E$15)^0.25))*General_Model!$E$7/(General_Model!$E$4/1000)+1)+(4*(0.3164/((General_Model!$E$14*A539*(General_Model!$E$4/1000)/General_Model!$E$15)^0.25))*General_Model!$E$7/(General_Model!$E$4/1000)+2)*(General_Model!$E$26/A539))</f>
        <v>-0.11944125513449198</v>
      </c>
      <c r="C539" s="13">
        <f t="shared" si="8"/>
        <v>0</v>
      </c>
    </row>
    <row r="540" spans="1:3" x14ac:dyDescent="0.25">
      <c r="A540" s="11">
        <v>0.53800000000000003</v>
      </c>
      <c r="B540" s="12">
        <f>(General_Model!$E$6/General_Model!$E$7)-1/(1+General_Model!$E$26/((1.2+0.2*(General_Model!$E$26/A540)+0.35*SQRT(9.80665*(General_Model!$E$4/1000))/A540)*A540))-(A540^2/(2*9.80665*General_Model!$E$7))*((4*(0.3164/((General_Model!$E$14*A540*(General_Model!$E$4/1000)/General_Model!$E$15)^0.25))*General_Model!$E$7/(General_Model!$E$4/1000)+1)+(4*(0.3164/((General_Model!$E$14*A540*(General_Model!$E$4/1000)/General_Model!$E$15)^0.25))*General_Model!$E$7/(General_Model!$E$4/1000)+2)*(General_Model!$E$26/A540))</f>
        <v>-0.11991151458003713</v>
      </c>
      <c r="C540" s="13">
        <f t="shared" si="8"/>
        <v>0</v>
      </c>
    </row>
    <row r="541" spans="1:3" x14ac:dyDescent="0.25">
      <c r="A541" s="11">
        <v>0.53900000000000003</v>
      </c>
      <c r="B541" s="12">
        <f>(General_Model!$E$6/General_Model!$E$7)-1/(1+General_Model!$E$26/((1.2+0.2*(General_Model!$E$26/A541)+0.35*SQRT(9.80665*(General_Model!$E$4/1000))/A541)*A541))-(A541^2/(2*9.80665*General_Model!$E$7))*((4*(0.3164/((General_Model!$E$14*A541*(General_Model!$E$4/1000)/General_Model!$E$15)^0.25))*General_Model!$E$7/(General_Model!$E$4/1000)+1)+(4*(0.3164/((General_Model!$E$14*A541*(General_Model!$E$4/1000)/General_Model!$E$15)^0.25))*General_Model!$E$7/(General_Model!$E$4/1000)+2)*(General_Model!$E$26/A541))</f>
        <v>-0.12038156948091756</v>
      </c>
      <c r="C541" s="13">
        <f t="shared" si="8"/>
        <v>0</v>
      </c>
    </row>
    <row r="542" spans="1:3" x14ac:dyDescent="0.25">
      <c r="A542" s="11">
        <v>0.54</v>
      </c>
      <c r="B542" s="12">
        <f>(General_Model!$E$6/General_Model!$E$7)-1/(1+General_Model!$E$26/((1.2+0.2*(General_Model!$E$26/A542)+0.35*SQRT(9.80665*(General_Model!$E$4/1000))/A542)*A542))-(A542^2/(2*9.80665*General_Model!$E$7))*((4*(0.3164/((General_Model!$E$14*A542*(General_Model!$E$4/1000)/General_Model!$E$15)^0.25))*General_Model!$E$7/(General_Model!$E$4/1000)+1)+(4*(0.3164/((General_Model!$E$14*A542*(General_Model!$E$4/1000)/General_Model!$E$15)^0.25))*General_Model!$E$7/(General_Model!$E$4/1000)+2)*(General_Model!$E$26/A542))</f>
        <v>-0.12085142063529959</v>
      </c>
      <c r="C542" s="13">
        <f t="shared" si="8"/>
        <v>0</v>
      </c>
    </row>
    <row r="543" spans="1:3" x14ac:dyDescent="0.25">
      <c r="A543" s="11">
        <v>0.54100000000000004</v>
      </c>
      <c r="B543" s="12">
        <f>(General_Model!$E$6/General_Model!$E$7)-1/(1+General_Model!$E$26/((1.2+0.2*(General_Model!$E$26/A543)+0.35*SQRT(9.80665*(General_Model!$E$4/1000))/A543)*A543))-(A543^2/(2*9.80665*General_Model!$E$7))*((4*(0.3164/((General_Model!$E$14*A543*(General_Model!$E$4/1000)/General_Model!$E$15)^0.25))*General_Model!$E$7/(General_Model!$E$4/1000)+1)+(4*(0.3164/((General_Model!$E$14*A543*(General_Model!$E$4/1000)/General_Model!$E$15)^0.25))*General_Model!$E$7/(General_Model!$E$4/1000)+2)*(General_Model!$E$26/A543))</f>
        <v>-0.12132106883901048</v>
      </c>
      <c r="C543" s="13">
        <f t="shared" si="8"/>
        <v>0</v>
      </c>
    </row>
    <row r="544" spans="1:3" x14ac:dyDescent="0.25">
      <c r="A544" s="11">
        <v>0.54200000000000004</v>
      </c>
      <c r="B544" s="12">
        <f>(General_Model!$E$6/General_Model!$E$7)-1/(1+General_Model!$E$26/((1.2+0.2*(General_Model!$E$26/A544)+0.35*SQRT(9.80665*(General_Model!$E$4/1000))/A544)*A544))-(A544^2/(2*9.80665*General_Model!$E$7))*((4*(0.3164/((General_Model!$E$14*A544*(General_Model!$E$4/1000)/General_Model!$E$15)^0.25))*General_Model!$E$7/(General_Model!$E$4/1000)+1)+(4*(0.3164/((General_Model!$E$14*A544*(General_Model!$E$4/1000)/General_Model!$E$15)^0.25))*General_Model!$E$7/(General_Model!$E$4/1000)+2)*(General_Model!$E$26/A544))</f>
        <v>-0.12179051488554657</v>
      </c>
      <c r="C544" s="13">
        <f t="shared" si="8"/>
        <v>0</v>
      </c>
    </row>
    <row r="545" spans="1:3" x14ac:dyDescent="0.25">
      <c r="A545" s="11">
        <v>0.54300000000000004</v>
      </c>
      <c r="B545" s="12">
        <f>(General_Model!$E$6/General_Model!$E$7)-1/(1+General_Model!$E$26/((1.2+0.2*(General_Model!$E$26/A545)+0.35*SQRT(9.80665*(General_Model!$E$4/1000))/A545)*A545))-(A545^2/(2*9.80665*General_Model!$E$7))*((4*(0.3164/((General_Model!$E$14*A545*(General_Model!$E$4/1000)/General_Model!$E$15)^0.25))*General_Model!$E$7/(General_Model!$E$4/1000)+1)+(4*(0.3164/((General_Model!$E$14*A545*(General_Model!$E$4/1000)/General_Model!$E$15)^0.25))*General_Model!$E$7/(General_Model!$E$4/1000)+2)*(General_Model!$E$26/A545))</f>
        <v>-0.12225975956608316</v>
      </c>
      <c r="C545" s="13">
        <f t="shared" si="8"/>
        <v>0</v>
      </c>
    </row>
    <row r="546" spans="1:3" x14ac:dyDescent="0.25">
      <c r="A546" s="11">
        <v>0.54400000000000004</v>
      </c>
      <c r="B546" s="12">
        <f>(General_Model!$E$6/General_Model!$E$7)-1/(1+General_Model!$E$26/((1.2+0.2*(General_Model!$E$26/A546)+0.35*SQRT(9.80665*(General_Model!$E$4/1000))/A546)*A546))-(A546^2/(2*9.80665*General_Model!$E$7))*((4*(0.3164/((General_Model!$E$14*A546*(General_Model!$E$4/1000)/General_Model!$E$15)^0.25))*General_Model!$E$7/(General_Model!$E$4/1000)+1)+(4*(0.3164/((General_Model!$E$14*A546*(General_Model!$E$4/1000)/General_Model!$E$15)^0.25))*General_Model!$E$7/(General_Model!$E$4/1000)+2)*(General_Model!$E$26/A546))</f>
        <v>-0.1227288036694817</v>
      </c>
      <c r="C546" s="13">
        <f t="shared" si="8"/>
        <v>0</v>
      </c>
    </row>
    <row r="547" spans="1:3" x14ac:dyDescent="0.25">
      <c r="A547" s="11">
        <v>0.54500000000000004</v>
      </c>
      <c r="B547" s="12">
        <f>(General_Model!$E$6/General_Model!$E$7)-1/(1+General_Model!$E$26/((1.2+0.2*(General_Model!$E$26/A547)+0.35*SQRT(9.80665*(General_Model!$E$4/1000))/A547)*A547))-(A547^2/(2*9.80665*General_Model!$E$7))*((4*(0.3164/((General_Model!$E$14*A547*(General_Model!$E$4/1000)/General_Model!$E$15)^0.25))*General_Model!$E$7/(General_Model!$E$4/1000)+1)+(4*(0.3164/((General_Model!$E$14*A547*(General_Model!$E$4/1000)/General_Model!$E$15)^0.25))*General_Model!$E$7/(General_Model!$E$4/1000)+2)*(General_Model!$E$26/A547))</f>
        <v>-0.12319764798229897</v>
      </c>
      <c r="C547" s="13">
        <f t="shared" si="8"/>
        <v>0</v>
      </c>
    </row>
    <row r="548" spans="1:3" x14ac:dyDescent="0.25">
      <c r="A548" s="11">
        <v>0.54600000000000004</v>
      </c>
      <c r="B548" s="12">
        <f>(General_Model!$E$6/General_Model!$E$7)-1/(1+General_Model!$E$26/((1.2+0.2*(General_Model!$E$26/A548)+0.35*SQRT(9.80665*(General_Model!$E$4/1000))/A548)*A548))-(A548^2/(2*9.80665*General_Model!$E$7))*((4*(0.3164/((General_Model!$E$14*A548*(General_Model!$E$4/1000)/General_Model!$E$15)^0.25))*General_Model!$E$7/(General_Model!$E$4/1000)+1)+(4*(0.3164/((General_Model!$E$14*A548*(General_Model!$E$4/1000)/General_Model!$E$15)^0.25))*General_Model!$E$7/(General_Model!$E$4/1000)+2)*(General_Model!$E$26/A548))</f>
        <v>-0.12366629328879566</v>
      </c>
      <c r="C548" s="13">
        <f t="shared" si="8"/>
        <v>0</v>
      </c>
    </row>
    <row r="549" spans="1:3" x14ac:dyDescent="0.25">
      <c r="A549" s="11">
        <v>0.54700000000000004</v>
      </c>
      <c r="B549" s="12">
        <f>(General_Model!$E$6/General_Model!$E$7)-1/(1+General_Model!$E$26/((1.2+0.2*(General_Model!$E$26/A549)+0.35*SQRT(9.80665*(General_Model!$E$4/1000))/A549)*A549))-(A549^2/(2*9.80665*General_Model!$E$7))*((4*(0.3164/((General_Model!$E$14*A549*(General_Model!$E$4/1000)/General_Model!$E$15)^0.25))*General_Model!$E$7/(General_Model!$E$4/1000)+1)+(4*(0.3164/((General_Model!$E$14*A549*(General_Model!$E$4/1000)/General_Model!$E$15)^0.25))*General_Model!$E$7/(General_Model!$E$4/1000)+2)*(General_Model!$E$26/A549))</f>
        <v>-0.12413474037094431</v>
      </c>
      <c r="C549" s="13">
        <f t="shared" si="8"/>
        <v>0</v>
      </c>
    </row>
    <row r="550" spans="1:3" x14ac:dyDescent="0.25">
      <c r="A550" s="11">
        <v>0.54800000000000004</v>
      </c>
      <c r="B550" s="12">
        <f>(General_Model!$E$6/General_Model!$E$7)-1/(1+General_Model!$E$26/((1.2+0.2*(General_Model!$E$26/A550)+0.35*SQRT(9.80665*(General_Model!$E$4/1000))/A550)*A550))-(A550^2/(2*9.80665*General_Model!$E$7))*((4*(0.3164/((General_Model!$E$14*A550*(General_Model!$E$4/1000)/General_Model!$E$15)^0.25))*General_Model!$E$7/(General_Model!$E$4/1000)+1)+(4*(0.3164/((General_Model!$E$14*A550*(General_Model!$E$4/1000)/General_Model!$E$15)^0.25))*General_Model!$E$7/(General_Model!$E$4/1000)+2)*(General_Model!$E$26/A550))</f>
        <v>-0.12460299000843775</v>
      </c>
      <c r="C550" s="13">
        <f t="shared" si="8"/>
        <v>0</v>
      </c>
    </row>
    <row r="551" spans="1:3" x14ac:dyDescent="0.25">
      <c r="A551" s="11">
        <v>0.54900000000000004</v>
      </c>
      <c r="B551" s="12">
        <f>(General_Model!$E$6/General_Model!$E$7)-1/(1+General_Model!$E$26/((1.2+0.2*(General_Model!$E$26/A551)+0.35*SQRT(9.80665*(General_Model!$E$4/1000))/A551)*A551))-(A551^2/(2*9.80665*General_Model!$E$7))*((4*(0.3164/((General_Model!$E$14*A551*(General_Model!$E$4/1000)/General_Model!$E$15)^0.25))*General_Model!$E$7/(General_Model!$E$4/1000)+1)+(4*(0.3164/((General_Model!$E$14*A551*(General_Model!$E$4/1000)/General_Model!$E$15)^0.25))*General_Model!$E$7/(General_Model!$E$4/1000)+2)*(General_Model!$E$26/A551))</f>
        <v>-0.12507104297869798</v>
      </c>
      <c r="C551" s="13">
        <f t="shared" si="8"/>
        <v>0</v>
      </c>
    </row>
    <row r="552" spans="1:3" x14ac:dyDescent="0.25">
      <c r="A552" s="11">
        <v>0.55000000000000004</v>
      </c>
      <c r="B552" s="12">
        <f>(General_Model!$E$6/General_Model!$E$7)-1/(1+General_Model!$E$26/((1.2+0.2*(General_Model!$E$26/A552)+0.35*SQRT(9.80665*(General_Model!$E$4/1000))/A552)*A552))-(A552^2/(2*9.80665*General_Model!$E$7))*((4*(0.3164/((General_Model!$E$14*A552*(General_Model!$E$4/1000)/General_Model!$E$15)^0.25))*General_Model!$E$7/(General_Model!$E$4/1000)+1)+(4*(0.3164/((General_Model!$E$14*A552*(General_Model!$E$4/1000)/General_Model!$E$15)^0.25))*General_Model!$E$7/(General_Model!$E$4/1000)+2)*(General_Model!$E$26/A552))</f>
        <v>-0.12553890005688378</v>
      </c>
      <c r="C552" s="13">
        <f t="shared" si="8"/>
        <v>0</v>
      </c>
    </row>
    <row r="553" spans="1:3" x14ac:dyDescent="0.25">
      <c r="A553" s="11">
        <v>0.55100000000000005</v>
      </c>
      <c r="B553" s="12">
        <f>(General_Model!$E$6/General_Model!$E$7)-1/(1+General_Model!$E$26/((1.2+0.2*(General_Model!$E$26/A553)+0.35*SQRT(9.80665*(General_Model!$E$4/1000))/A553)*A553))-(A553^2/(2*9.80665*General_Model!$E$7))*((4*(0.3164/((General_Model!$E$14*A553*(General_Model!$E$4/1000)/General_Model!$E$15)^0.25))*General_Model!$E$7/(General_Model!$E$4/1000)+1)+(4*(0.3164/((General_Model!$E$14*A553*(General_Model!$E$4/1000)/General_Model!$E$15)^0.25))*General_Model!$E$7/(General_Model!$E$4/1000)+2)*(General_Model!$E$26/A553))</f>
        <v>-0.1260065620158993</v>
      </c>
      <c r="C553" s="13">
        <f t="shared" si="8"/>
        <v>0</v>
      </c>
    </row>
    <row r="554" spans="1:3" x14ac:dyDescent="0.25">
      <c r="A554" s="11">
        <v>0.55200000000000005</v>
      </c>
      <c r="B554" s="12">
        <f>(General_Model!$E$6/General_Model!$E$7)-1/(1+General_Model!$E$26/((1.2+0.2*(General_Model!$E$26/A554)+0.35*SQRT(9.80665*(General_Model!$E$4/1000))/A554)*A554))-(A554^2/(2*9.80665*General_Model!$E$7))*((4*(0.3164/((General_Model!$E$14*A554*(General_Model!$E$4/1000)/General_Model!$E$15)^0.25))*General_Model!$E$7/(General_Model!$E$4/1000)+1)+(4*(0.3164/((General_Model!$E$14*A554*(General_Model!$E$4/1000)/General_Model!$E$15)^0.25))*General_Model!$E$7/(General_Model!$E$4/1000)+2)*(General_Model!$E$26/A554))</f>
        <v>-0.12647402962640231</v>
      </c>
      <c r="C554" s="13">
        <f t="shared" si="8"/>
        <v>0</v>
      </c>
    </row>
    <row r="555" spans="1:3" x14ac:dyDescent="0.25">
      <c r="A555" s="11">
        <v>0.55300000000000005</v>
      </c>
      <c r="B555" s="12">
        <f>(General_Model!$E$6/General_Model!$E$7)-1/(1+General_Model!$E$26/((1.2+0.2*(General_Model!$E$26/A555)+0.35*SQRT(9.80665*(General_Model!$E$4/1000))/A555)*A555))-(A555^2/(2*9.80665*General_Model!$E$7))*((4*(0.3164/((General_Model!$E$14*A555*(General_Model!$E$4/1000)/General_Model!$E$15)^0.25))*General_Model!$E$7/(General_Model!$E$4/1000)+1)+(4*(0.3164/((General_Model!$E$14*A555*(General_Model!$E$4/1000)/General_Model!$E$15)^0.25))*General_Model!$E$7/(General_Model!$E$4/1000)+2)*(General_Model!$E$26/A555))</f>
        <v>-0.12694130365681217</v>
      </c>
      <c r="C555" s="13">
        <f t="shared" si="8"/>
        <v>0</v>
      </c>
    </row>
    <row r="556" spans="1:3" x14ac:dyDescent="0.25">
      <c r="A556" s="11">
        <v>0.55400000000000005</v>
      </c>
      <c r="B556" s="12">
        <f>(General_Model!$E$6/General_Model!$E$7)-1/(1+General_Model!$E$26/((1.2+0.2*(General_Model!$E$26/A556)+0.35*SQRT(9.80665*(General_Model!$E$4/1000))/A556)*A556))-(A556^2/(2*9.80665*General_Model!$E$7))*((4*(0.3164/((General_Model!$E$14*A556*(General_Model!$E$4/1000)/General_Model!$E$15)^0.25))*General_Model!$E$7/(General_Model!$E$4/1000)+1)+(4*(0.3164/((General_Model!$E$14*A556*(General_Model!$E$4/1000)/General_Model!$E$15)^0.25))*General_Model!$E$7/(General_Model!$E$4/1000)+2)*(General_Model!$E$26/A556))</f>
        <v>-0.12740838487331846</v>
      </c>
      <c r="C556" s="13">
        <f t="shared" si="8"/>
        <v>0</v>
      </c>
    </row>
    <row r="557" spans="1:3" x14ac:dyDescent="0.25">
      <c r="A557" s="11">
        <v>0.55500000000000005</v>
      </c>
      <c r="B557" s="12">
        <f>(General_Model!$E$6/General_Model!$E$7)-1/(1+General_Model!$E$26/((1.2+0.2*(General_Model!$E$26/A557)+0.35*SQRT(9.80665*(General_Model!$E$4/1000))/A557)*A557))-(A557^2/(2*9.80665*General_Model!$E$7))*((4*(0.3164/((General_Model!$E$14*A557*(General_Model!$E$4/1000)/General_Model!$E$15)^0.25))*General_Model!$E$7/(General_Model!$E$4/1000)+1)+(4*(0.3164/((General_Model!$E$14*A557*(General_Model!$E$4/1000)/General_Model!$E$15)^0.25))*General_Model!$E$7/(General_Model!$E$4/1000)+2)*(General_Model!$E$26/A557))</f>
        <v>-0.12787527403988819</v>
      </c>
      <c r="C557" s="13">
        <f t="shared" si="8"/>
        <v>0</v>
      </c>
    </row>
    <row r="558" spans="1:3" x14ac:dyDescent="0.25">
      <c r="A558" s="11">
        <v>0.55600000000000005</v>
      </c>
      <c r="B558" s="12">
        <f>(General_Model!$E$6/General_Model!$E$7)-1/(1+General_Model!$E$26/((1.2+0.2*(General_Model!$E$26/A558)+0.35*SQRT(9.80665*(General_Model!$E$4/1000))/A558)*A558))-(A558^2/(2*9.80665*General_Model!$E$7))*((4*(0.3164/((General_Model!$E$14*A558*(General_Model!$E$4/1000)/General_Model!$E$15)^0.25))*General_Model!$E$7/(General_Model!$E$4/1000)+1)+(4*(0.3164/((General_Model!$E$14*A558*(General_Model!$E$4/1000)/General_Model!$E$15)^0.25))*General_Model!$E$7/(General_Model!$E$4/1000)+2)*(General_Model!$E$26/A558))</f>
        <v>-0.12834197191827501</v>
      </c>
      <c r="C558" s="13">
        <f t="shared" si="8"/>
        <v>0</v>
      </c>
    </row>
    <row r="559" spans="1:3" x14ac:dyDescent="0.25">
      <c r="A559" s="11">
        <v>0.55700000000000005</v>
      </c>
      <c r="B559" s="12">
        <f>(General_Model!$E$6/General_Model!$E$7)-1/(1+General_Model!$E$26/((1.2+0.2*(General_Model!$E$26/A559)+0.35*SQRT(9.80665*(General_Model!$E$4/1000))/A559)*A559))-(A559^2/(2*9.80665*General_Model!$E$7))*((4*(0.3164/((General_Model!$E$14*A559*(General_Model!$E$4/1000)/General_Model!$E$15)^0.25))*General_Model!$E$7/(General_Model!$E$4/1000)+1)+(4*(0.3164/((General_Model!$E$14*A559*(General_Model!$E$4/1000)/General_Model!$E$15)^0.25))*General_Model!$E$7/(General_Model!$E$4/1000)+2)*(General_Model!$E$26/A559))</f>
        <v>-0.12880847926802647</v>
      </c>
      <c r="C559" s="13">
        <f t="shared" si="8"/>
        <v>0</v>
      </c>
    </row>
    <row r="560" spans="1:3" x14ac:dyDescent="0.25">
      <c r="A560" s="11">
        <v>0.55800000000000005</v>
      </c>
      <c r="B560" s="12">
        <f>(General_Model!$E$6/General_Model!$E$7)-1/(1+General_Model!$E$26/((1.2+0.2*(General_Model!$E$26/A560)+0.35*SQRT(9.80665*(General_Model!$E$4/1000))/A560)*A560))-(A560^2/(2*9.80665*General_Model!$E$7))*((4*(0.3164/((General_Model!$E$14*A560*(General_Model!$E$4/1000)/General_Model!$E$15)^0.25))*General_Model!$E$7/(General_Model!$E$4/1000)+1)+(4*(0.3164/((General_Model!$E$14*A560*(General_Model!$E$4/1000)/General_Model!$E$15)^0.25))*General_Model!$E$7/(General_Model!$E$4/1000)+2)*(General_Model!$E$26/A560))</f>
        <v>-0.12927479684649207</v>
      </c>
      <c r="C560" s="13">
        <f t="shared" si="8"/>
        <v>0</v>
      </c>
    </row>
    <row r="561" spans="1:3" x14ac:dyDescent="0.25">
      <c r="A561" s="11">
        <v>0.55900000000000005</v>
      </c>
      <c r="B561" s="12">
        <f>(General_Model!$E$6/General_Model!$E$7)-1/(1+General_Model!$E$26/((1.2+0.2*(General_Model!$E$26/A561)+0.35*SQRT(9.80665*(General_Model!$E$4/1000))/A561)*A561))-(A561^2/(2*9.80665*General_Model!$E$7))*((4*(0.3164/((General_Model!$E$14*A561*(General_Model!$E$4/1000)/General_Model!$E$15)^0.25))*General_Model!$E$7/(General_Model!$E$4/1000)+1)+(4*(0.3164/((General_Model!$E$14*A561*(General_Model!$E$4/1000)/General_Model!$E$15)^0.25))*General_Model!$E$7/(General_Model!$E$4/1000)+2)*(General_Model!$E$26/A561))</f>
        <v>-0.12974092540883145</v>
      </c>
      <c r="C561" s="13">
        <f t="shared" si="8"/>
        <v>0</v>
      </c>
    </row>
    <row r="562" spans="1:3" x14ac:dyDescent="0.25">
      <c r="A562" s="11">
        <v>0.56000000000000005</v>
      </c>
      <c r="B562" s="12">
        <f>(General_Model!$E$6/General_Model!$E$7)-1/(1+General_Model!$E$26/((1.2+0.2*(General_Model!$E$26/A562)+0.35*SQRT(9.80665*(General_Model!$E$4/1000))/A562)*A562))-(A562^2/(2*9.80665*General_Model!$E$7))*((4*(0.3164/((General_Model!$E$14*A562*(General_Model!$E$4/1000)/General_Model!$E$15)^0.25))*General_Model!$E$7/(General_Model!$E$4/1000)+1)+(4*(0.3164/((General_Model!$E$14*A562*(General_Model!$E$4/1000)/General_Model!$E$15)^0.25))*General_Model!$E$7/(General_Model!$E$4/1000)+2)*(General_Model!$E$26/A562))</f>
        <v>-0.1302068657080227</v>
      </c>
      <c r="C562" s="13">
        <f t="shared" si="8"/>
        <v>0</v>
      </c>
    </row>
    <row r="563" spans="1:3" x14ac:dyDescent="0.25">
      <c r="A563" s="11">
        <v>0.56100000000000005</v>
      </c>
      <c r="B563" s="12">
        <f>(General_Model!$E$6/General_Model!$E$7)-1/(1+General_Model!$E$26/((1.2+0.2*(General_Model!$E$26/A563)+0.35*SQRT(9.80665*(General_Model!$E$4/1000))/A563)*A563))-(A563^2/(2*9.80665*General_Model!$E$7))*((4*(0.3164/((General_Model!$E$14*A563*(General_Model!$E$4/1000)/General_Model!$E$15)^0.25))*General_Model!$E$7/(General_Model!$E$4/1000)+1)+(4*(0.3164/((General_Model!$E$14*A563*(General_Model!$E$4/1000)/General_Model!$E$15)^0.25))*General_Model!$E$7/(General_Model!$E$4/1000)+2)*(General_Model!$E$26/A563))</f>
        <v>-0.13067261849486933</v>
      </c>
      <c r="C563" s="13">
        <f t="shared" si="8"/>
        <v>0</v>
      </c>
    </row>
    <row r="564" spans="1:3" x14ac:dyDescent="0.25">
      <c r="A564" s="11">
        <v>0.56200000000000006</v>
      </c>
      <c r="B564" s="12">
        <f>(General_Model!$E$6/General_Model!$E$7)-1/(1+General_Model!$E$26/((1.2+0.2*(General_Model!$E$26/A564)+0.35*SQRT(9.80665*(General_Model!$E$4/1000))/A564)*A564))-(A564^2/(2*9.80665*General_Model!$E$7))*((4*(0.3164/((General_Model!$E$14*A564*(General_Model!$E$4/1000)/General_Model!$E$15)^0.25))*General_Model!$E$7/(General_Model!$E$4/1000)+1)+(4*(0.3164/((General_Model!$E$14*A564*(General_Model!$E$4/1000)/General_Model!$E$15)^0.25))*General_Model!$E$7/(General_Model!$E$4/1000)+2)*(General_Model!$E$26/A564))</f>
        <v>-0.13113818451800874</v>
      </c>
      <c r="C564" s="13">
        <f t="shared" si="8"/>
        <v>0</v>
      </c>
    </row>
    <row r="565" spans="1:3" x14ac:dyDescent="0.25">
      <c r="A565" s="11">
        <v>0.56300000000000006</v>
      </c>
      <c r="B565" s="12">
        <f>(General_Model!$E$6/General_Model!$E$7)-1/(1+General_Model!$E$26/((1.2+0.2*(General_Model!$E$26/A565)+0.35*SQRT(9.80665*(General_Model!$E$4/1000))/A565)*A565))-(A565^2/(2*9.80665*General_Model!$E$7))*((4*(0.3164/((General_Model!$E$14*A565*(General_Model!$E$4/1000)/General_Model!$E$15)^0.25))*General_Model!$E$7/(General_Model!$E$4/1000)+1)+(4*(0.3164/((General_Model!$E$14*A565*(General_Model!$E$4/1000)/General_Model!$E$15)^0.25))*General_Model!$E$7/(General_Model!$E$4/1000)+2)*(General_Model!$E$26/A565))</f>
        <v>-0.13160356452391991</v>
      </c>
      <c r="C565" s="13">
        <f t="shared" si="8"/>
        <v>0</v>
      </c>
    </row>
    <row r="566" spans="1:3" x14ac:dyDescent="0.25">
      <c r="A566" s="11">
        <v>0.56400000000000006</v>
      </c>
      <c r="B566" s="12">
        <f>(General_Model!$E$6/General_Model!$E$7)-1/(1+General_Model!$E$26/((1.2+0.2*(General_Model!$E$26/A566)+0.35*SQRT(9.80665*(General_Model!$E$4/1000))/A566)*A566))-(A566^2/(2*9.80665*General_Model!$E$7))*((4*(0.3164/((General_Model!$E$14*A566*(General_Model!$E$4/1000)/General_Model!$E$15)^0.25))*General_Model!$E$7/(General_Model!$E$4/1000)+1)+(4*(0.3164/((General_Model!$E$14*A566*(General_Model!$E$4/1000)/General_Model!$E$15)^0.25))*General_Model!$E$7/(General_Model!$E$4/1000)+2)*(General_Model!$E$26/A566))</f>
        <v>-0.13206875925693159</v>
      </c>
      <c r="C566" s="13">
        <f t="shared" si="8"/>
        <v>0</v>
      </c>
    </row>
    <row r="567" spans="1:3" x14ac:dyDescent="0.25">
      <c r="A567" s="11">
        <v>0.56500000000000006</v>
      </c>
      <c r="B567" s="12">
        <f>(General_Model!$E$6/General_Model!$E$7)-1/(1+General_Model!$E$26/((1.2+0.2*(General_Model!$E$26/A567)+0.35*SQRT(9.80665*(General_Model!$E$4/1000))/A567)*A567))-(A567^2/(2*9.80665*General_Model!$E$7))*((4*(0.3164/((General_Model!$E$14*A567*(General_Model!$E$4/1000)/General_Model!$E$15)^0.25))*General_Model!$E$7/(General_Model!$E$4/1000)+1)+(4*(0.3164/((General_Model!$E$14*A567*(General_Model!$E$4/1000)/General_Model!$E$15)^0.25))*General_Model!$E$7/(General_Model!$E$4/1000)+2)*(General_Model!$E$26/A567))</f>
        <v>-0.13253376945922934</v>
      </c>
      <c r="C567" s="13">
        <f t="shared" si="8"/>
        <v>0</v>
      </c>
    </row>
    <row r="568" spans="1:3" x14ac:dyDescent="0.25">
      <c r="A568" s="11">
        <v>0.56600000000000006</v>
      </c>
      <c r="B568" s="12">
        <f>(General_Model!$E$6/General_Model!$E$7)-1/(1+General_Model!$E$26/((1.2+0.2*(General_Model!$E$26/A568)+0.35*SQRT(9.80665*(General_Model!$E$4/1000))/A568)*A568))-(A568^2/(2*9.80665*General_Model!$E$7))*((4*(0.3164/((General_Model!$E$14*A568*(General_Model!$E$4/1000)/General_Model!$E$15)^0.25))*General_Model!$E$7/(General_Model!$E$4/1000)+1)+(4*(0.3164/((General_Model!$E$14*A568*(General_Model!$E$4/1000)/General_Model!$E$15)^0.25))*General_Model!$E$7/(General_Model!$E$4/1000)+2)*(General_Model!$E$26/A568))</f>
        <v>-0.13299859587086343</v>
      </c>
      <c r="C568" s="13">
        <f t="shared" si="8"/>
        <v>0</v>
      </c>
    </row>
    <row r="569" spans="1:3" x14ac:dyDescent="0.25">
      <c r="A569" s="11">
        <v>0.56700000000000006</v>
      </c>
      <c r="B569" s="12">
        <f>(General_Model!$E$6/General_Model!$E$7)-1/(1+General_Model!$E$26/((1.2+0.2*(General_Model!$E$26/A569)+0.35*SQRT(9.80665*(General_Model!$E$4/1000))/A569)*A569))-(A569^2/(2*9.80665*General_Model!$E$7))*((4*(0.3164/((General_Model!$E$14*A569*(General_Model!$E$4/1000)/General_Model!$E$15)^0.25))*General_Model!$E$7/(General_Model!$E$4/1000)+1)+(4*(0.3164/((General_Model!$E$14*A569*(General_Model!$E$4/1000)/General_Model!$E$15)^0.25))*General_Model!$E$7/(General_Model!$E$4/1000)+2)*(General_Model!$E$26/A569))</f>
        <v>-0.1334632392297572</v>
      </c>
      <c r="C569" s="13">
        <f t="shared" si="8"/>
        <v>0</v>
      </c>
    </row>
    <row r="570" spans="1:3" x14ac:dyDescent="0.25">
      <c r="A570" s="11">
        <v>0.56800000000000006</v>
      </c>
      <c r="B570" s="12">
        <f>(General_Model!$E$6/General_Model!$E$7)-1/(1+General_Model!$E$26/((1.2+0.2*(General_Model!$E$26/A570)+0.35*SQRT(9.80665*(General_Model!$E$4/1000))/A570)*A570))-(A570^2/(2*9.80665*General_Model!$E$7))*((4*(0.3164/((General_Model!$E$14*A570*(General_Model!$E$4/1000)/General_Model!$E$15)^0.25))*General_Model!$E$7/(General_Model!$E$4/1000)+1)+(4*(0.3164/((General_Model!$E$14*A570*(General_Model!$E$4/1000)/General_Model!$E$15)^0.25))*General_Model!$E$7/(General_Model!$E$4/1000)+2)*(General_Model!$E$26/A570))</f>
        <v>-0.13392770027171397</v>
      </c>
      <c r="C570" s="13">
        <f t="shared" si="8"/>
        <v>0</v>
      </c>
    </row>
    <row r="571" spans="1:3" x14ac:dyDescent="0.25">
      <c r="A571" s="11">
        <v>0.56900000000000006</v>
      </c>
      <c r="B571" s="12">
        <f>(General_Model!$E$6/General_Model!$E$7)-1/(1+General_Model!$E$26/((1.2+0.2*(General_Model!$E$26/A571)+0.35*SQRT(9.80665*(General_Model!$E$4/1000))/A571)*A571))-(A571^2/(2*9.80665*General_Model!$E$7))*((4*(0.3164/((General_Model!$E$14*A571*(General_Model!$E$4/1000)/General_Model!$E$15)^0.25))*General_Model!$E$7/(General_Model!$E$4/1000)+1)+(4*(0.3164/((General_Model!$E$14*A571*(General_Model!$E$4/1000)/General_Model!$E$15)^0.25))*General_Model!$E$7/(General_Model!$E$4/1000)+2)*(General_Model!$E$26/A571))</f>
        <v>-0.1343919797304251</v>
      </c>
      <c r="C571" s="13">
        <f t="shared" si="8"/>
        <v>0</v>
      </c>
    </row>
    <row r="572" spans="1:3" x14ac:dyDescent="0.25">
      <c r="A572" s="11">
        <v>0.57000000000000006</v>
      </c>
      <c r="B572" s="12">
        <f>(General_Model!$E$6/General_Model!$E$7)-1/(1+General_Model!$E$26/((1.2+0.2*(General_Model!$E$26/A572)+0.35*SQRT(9.80665*(General_Model!$E$4/1000))/A572)*A572))-(A572^2/(2*9.80665*General_Model!$E$7))*((4*(0.3164/((General_Model!$E$14*A572*(General_Model!$E$4/1000)/General_Model!$E$15)^0.25))*General_Model!$E$7/(General_Model!$E$4/1000)+1)+(4*(0.3164/((General_Model!$E$14*A572*(General_Model!$E$4/1000)/General_Model!$E$15)^0.25))*General_Model!$E$7/(General_Model!$E$4/1000)+2)*(General_Model!$E$26/A572))</f>
        <v>-0.13485607833747676</v>
      </c>
      <c r="C572" s="13">
        <f t="shared" si="8"/>
        <v>0</v>
      </c>
    </row>
    <row r="573" spans="1:3" x14ac:dyDescent="0.25">
      <c r="A573" s="11">
        <v>0.57100000000000006</v>
      </c>
      <c r="B573" s="12">
        <f>(General_Model!$E$6/General_Model!$E$7)-1/(1+General_Model!$E$26/((1.2+0.2*(General_Model!$E$26/A573)+0.35*SQRT(9.80665*(General_Model!$E$4/1000))/A573)*A573))-(A573^2/(2*9.80665*General_Model!$E$7))*((4*(0.3164/((General_Model!$E$14*A573*(General_Model!$E$4/1000)/General_Model!$E$15)^0.25))*General_Model!$E$7/(General_Model!$E$4/1000)+1)+(4*(0.3164/((General_Model!$E$14*A573*(General_Model!$E$4/1000)/General_Model!$E$15)^0.25))*General_Model!$E$7/(General_Model!$E$4/1000)+2)*(General_Model!$E$26/A573))</f>
        <v>-0.13531999682235896</v>
      </c>
      <c r="C573" s="13">
        <f t="shared" si="8"/>
        <v>0</v>
      </c>
    </row>
    <row r="574" spans="1:3" x14ac:dyDescent="0.25">
      <c r="A574" s="11">
        <v>0.57200000000000006</v>
      </c>
      <c r="B574" s="12">
        <f>(General_Model!$E$6/General_Model!$E$7)-1/(1+General_Model!$E$26/((1.2+0.2*(General_Model!$E$26/A574)+0.35*SQRT(9.80665*(General_Model!$E$4/1000))/A574)*A574))-(A574^2/(2*9.80665*General_Model!$E$7))*((4*(0.3164/((General_Model!$E$14*A574*(General_Model!$E$4/1000)/General_Model!$E$15)^0.25))*General_Model!$E$7/(General_Model!$E$4/1000)+1)+(4*(0.3164/((General_Model!$E$14*A574*(General_Model!$E$4/1000)/General_Model!$E$15)^0.25))*General_Model!$E$7/(General_Model!$E$4/1000)+2)*(General_Model!$E$26/A574))</f>
        <v>-0.13578373591247161</v>
      </c>
      <c r="C574" s="13">
        <f t="shared" si="8"/>
        <v>0</v>
      </c>
    </row>
    <row r="575" spans="1:3" x14ac:dyDescent="0.25">
      <c r="A575" s="11">
        <v>0.57300000000000006</v>
      </c>
      <c r="B575" s="12">
        <f>(General_Model!$E$6/General_Model!$E$7)-1/(1+General_Model!$E$26/((1.2+0.2*(General_Model!$E$26/A575)+0.35*SQRT(9.80665*(General_Model!$E$4/1000))/A575)*A575))-(A575^2/(2*9.80665*General_Model!$E$7))*((4*(0.3164/((General_Model!$E$14*A575*(General_Model!$E$4/1000)/General_Model!$E$15)^0.25))*General_Model!$E$7/(General_Model!$E$4/1000)+1)+(4*(0.3164/((General_Model!$E$14*A575*(General_Model!$E$4/1000)/General_Model!$E$15)^0.25))*General_Model!$E$7/(General_Model!$E$4/1000)+2)*(General_Model!$E$26/A575))</f>
        <v>-0.13624729633313323</v>
      </c>
      <c r="C575" s="13">
        <f t="shared" si="8"/>
        <v>0</v>
      </c>
    </row>
    <row r="576" spans="1:3" x14ac:dyDescent="0.25">
      <c r="A576" s="11">
        <v>0.57400000000000007</v>
      </c>
      <c r="B576" s="12">
        <f>(General_Model!$E$6/General_Model!$E$7)-1/(1+General_Model!$E$26/((1.2+0.2*(General_Model!$E$26/A576)+0.35*SQRT(9.80665*(General_Model!$E$4/1000))/A576)*A576))-(A576^2/(2*9.80665*General_Model!$E$7))*((4*(0.3164/((General_Model!$E$14*A576*(General_Model!$E$4/1000)/General_Model!$E$15)^0.25))*General_Model!$E$7/(General_Model!$E$4/1000)+1)+(4*(0.3164/((General_Model!$E$14*A576*(General_Model!$E$4/1000)/General_Model!$E$15)^0.25))*General_Model!$E$7/(General_Model!$E$4/1000)+2)*(General_Model!$E$26/A576))</f>
        <v>-0.1367106788075873</v>
      </c>
      <c r="C576" s="13">
        <f t="shared" si="8"/>
        <v>0</v>
      </c>
    </row>
    <row r="577" spans="1:3" x14ac:dyDescent="0.25">
      <c r="A577" s="11">
        <v>0.57500000000000007</v>
      </c>
      <c r="B577" s="12">
        <f>(General_Model!$E$6/General_Model!$E$7)-1/(1+General_Model!$E$26/((1.2+0.2*(General_Model!$E$26/A577)+0.35*SQRT(9.80665*(General_Model!$E$4/1000))/A577)*A577))-(A577^2/(2*9.80665*General_Model!$E$7))*((4*(0.3164/((General_Model!$E$14*A577*(General_Model!$E$4/1000)/General_Model!$E$15)^0.25))*General_Model!$E$7/(General_Model!$E$4/1000)+1)+(4*(0.3164/((General_Model!$E$14*A577*(General_Model!$E$4/1000)/General_Model!$E$15)^0.25))*General_Model!$E$7/(General_Model!$E$4/1000)+2)*(General_Model!$E$26/A577))</f>
        <v>-0.13717388405701042</v>
      </c>
      <c r="C577" s="13">
        <f t="shared" si="8"/>
        <v>0</v>
      </c>
    </row>
    <row r="578" spans="1:3" x14ac:dyDescent="0.25">
      <c r="A578" s="11">
        <v>0.57600000000000007</v>
      </c>
      <c r="B578" s="12">
        <f>(General_Model!$E$6/General_Model!$E$7)-1/(1+General_Model!$E$26/((1.2+0.2*(General_Model!$E$26/A578)+0.35*SQRT(9.80665*(General_Model!$E$4/1000))/A578)*A578))-(A578^2/(2*9.80665*General_Model!$E$7))*((4*(0.3164/((General_Model!$E$14*A578*(General_Model!$E$4/1000)/General_Model!$E$15)^0.25))*General_Model!$E$7/(General_Model!$E$4/1000)+1)+(4*(0.3164/((General_Model!$E$14*A578*(General_Model!$E$4/1000)/General_Model!$E$15)^0.25))*General_Model!$E$7/(General_Model!$E$4/1000)+2)*(General_Model!$E$26/A578))</f>
        <v>-0.13763691280051946</v>
      </c>
      <c r="C578" s="13">
        <f t="shared" si="8"/>
        <v>0</v>
      </c>
    </row>
    <row r="579" spans="1:3" x14ac:dyDescent="0.25">
      <c r="A579" s="11">
        <v>0.57700000000000007</v>
      </c>
      <c r="B579" s="12">
        <f>(General_Model!$E$6/General_Model!$E$7)-1/(1+General_Model!$E$26/((1.2+0.2*(General_Model!$E$26/A579)+0.35*SQRT(9.80665*(General_Model!$E$4/1000))/A579)*A579))-(A579^2/(2*9.80665*General_Model!$E$7))*((4*(0.3164/((General_Model!$E$14*A579*(General_Model!$E$4/1000)/General_Model!$E$15)^0.25))*General_Model!$E$7/(General_Model!$E$4/1000)+1)+(4*(0.3164/((General_Model!$E$14*A579*(General_Model!$E$4/1000)/General_Model!$E$15)^0.25))*General_Model!$E$7/(General_Model!$E$4/1000)+2)*(General_Model!$E$26/A579))</f>
        <v>-0.13809976575517885</v>
      </c>
      <c r="C579" s="13">
        <f t="shared" ref="C579:C642" si="9">IF(B579*B580&lt;=0,1,0)</f>
        <v>0</v>
      </c>
    </row>
    <row r="580" spans="1:3" x14ac:dyDescent="0.25">
      <c r="A580" s="11">
        <v>0.57799999999999996</v>
      </c>
      <c r="B580" s="12">
        <f>(General_Model!$E$6/General_Model!$E$7)-1/(1+General_Model!$E$26/((1.2+0.2*(General_Model!$E$26/A580)+0.35*SQRT(9.80665*(General_Model!$E$4/1000))/A580)*A580))-(A580^2/(2*9.80665*General_Model!$E$7))*((4*(0.3164/((General_Model!$E$14*A580*(General_Model!$E$4/1000)/General_Model!$E$15)^0.25))*General_Model!$E$7/(General_Model!$E$4/1000)+1)+(4*(0.3164/((General_Model!$E$14*A580*(General_Model!$E$4/1000)/General_Model!$E$15)^0.25))*General_Model!$E$7/(General_Model!$E$4/1000)+2)*(General_Model!$E$26/A580))</f>
        <v>-0.13856244363600789</v>
      </c>
      <c r="C580" s="13">
        <f t="shared" si="9"/>
        <v>0</v>
      </c>
    </row>
    <row r="581" spans="1:3" x14ac:dyDescent="0.25">
      <c r="A581" s="11">
        <v>0.57899999999999996</v>
      </c>
      <c r="B581" s="12">
        <f>(General_Model!$E$6/General_Model!$E$7)-1/(1+General_Model!$E$26/((1.2+0.2*(General_Model!$E$26/A581)+0.35*SQRT(9.80665*(General_Model!$E$4/1000))/A581)*A581))-(A581^2/(2*9.80665*General_Model!$E$7))*((4*(0.3164/((General_Model!$E$14*A581*(General_Model!$E$4/1000)/General_Model!$E$15)^0.25))*General_Model!$E$7/(General_Model!$E$4/1000)+1)+(4*(0.3164/((General_Model!$E$14*A581*(General_Model!$E$4/1000)/General_Model!$E$15)^0.25))*General_Model!$E$7/(General_Model!$E$4/1000)+2)*(General_Model!$E$26/A581))</f>
        <v>-0.13902494715598868</v>
      </c>
      <c r="C581" s="13">
        <f t="shared" si="9"/>
        <v>0</v>
      </c>
    </row>
    <row r="582" spans="1:3" x14ac:dyDescent="0.25">
      <c r="A582" s="11">
        <v>0.57999999999999996</v>
      </c>
      <c r="B582" s="12">
        <f>(General_Model!$E$6/General_Model!$E$7)-1/(1+General_Model!$E$26/((1.2+0.2*(General_Model!$E$26/A582)+0.35*SQRT(9.80665*(General_Model!$E$4/1000))/A582)*A582))-(A582^2/(2*9.80665*General_Model!$E$7))*((4*(0.3164/((General_Model!$E$14*A582*(General_Model!$E$4/1000)/General_Model!$E$15)^0.25))*General_Model!$E$7/(General_Model!$E$4/1000)+1)+(4*(0.3164/((General_Model!$E$14*A582*(General_Model!$E$4/1000)/General_Model!$E$15)^0.25))*General_Model!$E$7/(General_Model!$E$4/1000)+2)*(General_Model!$E$26/A582))</f>
        <v>-0.13948727702607239</v>
      </c>
      <c r="C582" s="13">
        <f t="shared" si="9"/>
        <v>0</v>
      </c>
    </row>
    <row r="583" spans="1:3" x14ac:dyDescent="0.25">
      <c r="A583" s="11">
        <v>0.58099999999999996</v>
      </c>
      <c r="B583" s="12">
        <f>(General_Model!$E$6/General_Model!$E$7)-1/(1+General_Model!$E$26/((1.2+0.2*(General_Model!$E$26/A583)+0.35*SQRT(9.80665*(General_Model!$E$4/1000))/A583)*A583))-(A583^2/(2*9.80665*General_Model!$E$7))*((4*(0.3164/((General_Model!$E$14*A583*(General_Model!$E$4/1000)/General_Model!$E$15)^0.25))*General_Model!$E$7/(General_Model!$E$4/1000)+1)+(4*(0.3164/((General_Model!$E$14*A583*(General_Model!$E$4/1000)/General_Model!$E$15)^0.25))*General_Model!$E$7/(General_Model!$E$4/1000)+2)*(General_Model!$E$26/A583))</f>
        <v>-0.13994943395518694</v>
      </c>
      <c r="C583" s="13">
        <f t="shared" si="9"/>
        <v>0</v>
      </c>
    </row>
    <row r="584" spans="1:3" x14ac:dyDescent="0.25">
      <c r="A584" s="11">
        <v>0.58199999999999996</v>
      </c>
      <c r="B584" s="12">
        <f>(General_Model!$E$6/General_Model!$E$7)-1/(1+General_Model!$E$26/((1.2+0.2*(General_Model!$E$26/A584)+0.35*SQRT(9.80665*(General_Model!$E$4/1000))/A584)*A584))-(A584^2/(2*9.80665*General_Model!$E$7))*((4*(0.3164/((General_Model!$E$14*A584*(General_Model!$E$4/1000)/General_Model!$E$15)^0.25))*General_Model!$E$7/(General_Model!$E$4/1000)+1)+(4*(0.3164/((General_Model!$E$14*A584*(General_Model!$E$4/1000)/General_Model!$E$15)^0.25))*General_Model!$E$7/(General_Model!$E$4/1000)+2)*(General_Model!$E$26/A584))</f>
        <v>-0.14041141865024437</v>
      </c>
      <c r="C584" s="13">
        <f t="shared" si="9"/>
        <v>0</v>
      </c>
    </row>
    <row r="585" spans="1:3" x14ac:dyDescent="0.25">
      <c r="A585" s="11">
        <v>0.58299999999999996</v>
      </c>
      <c r="B585" s="12">
        <f>(General_Model!$E$6/General_Model!$E$7)-1/(1+General_Model!$E$26/((1.2+0.2*(General_Model!$E$26/A585)+0.35*SQRT(9.80665*(General_Model!$E$4/1000))/A585)*A585))-(A585^2/(2*9.80665*General_Model!$E$7))*((4*(0.3164/((General_Model!$E$14*A585*(General_Model!$E$4/1000)/General_Model!$E$15)^0.25))*General_Model!$E$7/(General_Model!$E$4/1000)+1)+(4*(0.3164/((General_Model!$E$14*A585*(General_Model!$E$4/1000)/General_Model!$E$15)^0.25))*General_Model!$E$7/(General_Model!$E$4/1000)+2)*(General_Model!$E$26/A585))</f>
        <v>-0.14087323181614786</v>
      </c>
      <c r="C585" s="13">
        <f t="shared" si="9"/>
        <v>0</v>
      </c>
    </row>
    <row r="586" spans="1:3" x14ac:dyDescent="0.25">
      <c r="A586" s="11">
        <v>0.58399999999999996</v>
      </c>
      <c r="B586" s="12">
        <f>(General_Model!$E$6/General_Model!$E$7)-1/(1+General_Model!$E$26/((1.2+0.2*(General_Model!$E$26/A586)+0.35*SQRT(9.80665*(General_Model!$E$4/1000))/A586)*A586))-(A586^2/(2*9.80665*General_Model!$E$7))*((4*(0.3164/((General_Model!$E$14*A586*(General_Model!$E$4/1000)/General_Model!$E$15)^0.25))*General_Model!$E$7/(General_Model!$E$4/1000)+1)+(4*(0.3164/((General_Model!$E$14*A586*(General_Model!$E$4/1000)/General_Model!$E$15)^0.25))*General_Model!$E$7/(General_Model!$E$4/1000)+2)*(General_Model!$E$26/A586))</f>
        <v>-0.14133487415579882</v>
      </c>
      <c r="C586" s="13">
        <f t="shared" si="9"/>
        <v>0</v>
      </c>
    </row>
    <row r="587" spans="1:3" x14ac:dyDescent="0.25">
      <c r="A587" s="11">
        <v>0.58499999999999996</v>
      </c>
      <c r="B587" s="12">
        <f>(General_Model!$E$6/General_Model!$E$7)-1/(1+General_Model!$E$26/((1.2+0.2*(General_Model!$E$26/A587)+0.35*SQRT(9.80665*(General_Model!$E$4/1000))/A587)*A587))-(A587^2/(2*9.80665*General_Model!$E$7))*((4*(0.3164/((General_Model!$E$14*A587*(General_Model!$E$4/1000)/General_Model!$E$15)^0.25))*General_Model!$E$7/(General_Model!$E$4/1000)+1)+(4*(0.3164/((General_Model!$E$14*A587*(General_Model!$E$4/1000)/General_Model!$E$15)^0.25))*General_Model!$E$7/(General_Model!$E$4/1000)+2)*(General_Model!$E$26/A587))</f>
        <v>-0.14179634637010391</v>
      </c>
      <c r="C587" s="13">
        <f t="shared" si="9"/>
        <v>0</v>
      </c>
    </row>
    <row r="588" spans="1:3" x14ac:dyDescent="0.25">
      <c r="A588" s="11">
        <v>0.58599999999999997</v>
      </c>
      <c r="B588" s="12">
        <f>(General_Model!$E$6/General_Model!$E$7)-1/(1+General_Model!$E$26/((1.2+0.2*(General_Model!$E$26/A588)+0.35*SQRT(9.80665*(General_Model!$E$4/1000))/A588)*A588))-(A588^2/(2*9.80665*General_Model!$E$7))*((4*(0.3164/((General_Model!$E$14*A588*(General_Model!$E$4/1000)/General_Model!$E$15)^0.25))*General_Model!$E$7/(General_Model!$E$4/1000)+1)+(4*(0.3164/((General_Model!$E$14*A588*(General_Model!$E$4/1000)/General_Model!$E$15)^0.25))*General_Model!$E$7/(General_Model!$E$4/1000)+2)*(General_Model!$E$26/A588))</f>
        <v>-0.14225764915798275</v>
      </c>
      <c r="C588" s="13">
        <f t="shared" si="9"/>
        <v>0</v>
      </c>
    </row>
    <row r="589" spans="1:3" x14ac:dyDescent="0.25">
      <c r="A589" s="11">
        <v>0.58699999999999997</v>
      </c>
      <c r="B589" s="12">
        <f>(General_Model!$E$6/General_Model!$E$7)-1/(1+General_Model!$E$26/((1.2+0.2*(General_Model!$E$26/A589)+0.35*SQRT(9.80665*(General_Model!$E$4/1000))/A589)*A589))-(A589^2/(2*9.80665*General_Model!$E$7))*((4*(0.3164/((General_Model!$E$14*A589*(General_Model!$E$4/1000)/General_Model!$E$15)^0.25))*General_Model!$E$7/(General_Model!$E$4/1000)+1)+(4*(0.3164/((General_Model!$E$14*A589*(General_Model!$E$4/1000)/General_Model!$E$15)^0.25))*General_Model!$E$7/(General_Model!$E$4/1000)+2)*(General_Model!$E$26/A589))</f>
        <v>-0.1427187832163736</v>
      </c>
      <c r="C589" s="13">
        <f t="shared" si="9"/>
        <v>0</v>
      </c>
    </row>
    <row r="590" spans="1:3" x14ac:dyDescent="0.25">
      <c r="A590" s="11">
        <v>0.58799999999999997</v>
      </c>
      <c r="B590" s="12">
        <f>(General_Model!$E$6/General_Model!$E$7)-1/(1+General_Model!$E$26/((1.2+0.2*(General_Model!$E$26/A590)+0.35*SQRT(9.80665*(General_Model!$E$4/1000))/A590)*A590))-(A590^2/(2*9.80665*General_Model!$E$7))*((4*(0.3164/((General_Model!$E$14*A590*(General_Model!$E$4/1000)/General_Model!$E$15)^0.25))*General_Model!$E$7/(General_Model!$E$4/1000)+1)+(4*(0.3164/((General_Model!$E$14*A590*(General_Model!$E$4/1000)/General_Model!$E$15)^0.25))*General_Model!$E$7/(General_Model!$E$4/1000)+2)*(General_Model!$E$26/A590))</f>
        <v>-0.1431797492402419</v>
      </c>
      <c r="C590" s="13">
        <f t="shared" si="9"/>
        <v>0</v>
      </c>
    </row>
    <row r="591" spans="1:3" x14ac:dyDescent="0.25">
      <c r="A591" s="11">
        <v>0.58899999999999997</v>
      </c>
      <c r="B591" s="12">
        <f>(General_Model!$E$6/General_Model!$E$7)-1/(1+General_Model!$E$26/((1.2+0.2*(General_Model!$E$26/A591)+0.35*SQRT(9.80665*(General_Model!$E$4/1000))/A591)*A591))-(A591^2/(2*9.80665*General_Model!$E$7))*((4*(0.3164/((General_Model!$E$14*A591*(General_Model!$E$4/1000)/General_Model!$E$15)^0.25))*General_Model!$E$7/(General_Model!$E$4/1000)+1)+(4*(0.3164/((General_Model!$E$14*A591*(General_Model!$E$4/1000)/General_Model!$E$15)^0.25))*General_Model!$E$7/(General_Model!$E$4/1000)+2)*(General_Model!$E$26/A591))</f>
        <v>-0.14364054792258668</v>
      </c>
      <c r="C591" s="13">
        <f t="shared" si="9"/>
        <v>0</v>
      </c>
    </row>
    <row r="592" spans="1:3" x14ac:dyDescent="0.25">
      <c r="A592" s="11">
        <v>0.59</v>
      </c>
      <c r="B592" s="12">
        <f>(General_Model!$E$6/General_Model!$E$7)-1/(1+General_Model!$E$26/((1.2+0.2*(General_Model!$E$26/A592)+0.35*SQRT(9.80665*(General_Model!$E$4/1000))/A592)*A592))-(A592^2/(2*9.80665*General_Model!$E$7))*((4*(0.3164/((General_Model!$E$14*A592*(General_Model!$E$4/1000)/General_Model!$E$15)^0.25))*General_Model!$E$7/(General_Model!$E$4/1000)+1)+(4*(0.3164/((General_Model!$E$14*A592*(General_Model!$E$4/1000)/General_Model!$E$15)^0.25))*General_Model!$E$7/(General_Model!$E$4/1000)+2)*(General_Model!$E$26/A592))</f>
        <v>-0.14410117995444671</v>
      </c>
      <c r="C592" s="13">
        <f t="shared" si="9"/>
        <v>0</v>
      </c>
    </row>
    <row r="593" spans="1:3" x14ac:dyDescent="0.25">
      <c r="A593" s="11">
        <v>0.59099999999999997</v>
      </c>
      <c r="B593" s="12">
        <f>(General_Model!$E$6/General_Model!$E$7)-1/(1+General_Model!$E$26/((1.2+0.2*(General_Model!$E$26/A593)+0.35*SQRT(9.80665*(General_Model!$E$4/1000))/A593)*A593))-(A593^2/(2*9.80665*General_Model!$E$7))*((4*(0.3164/((General_Model!$E$14*A593*(General_Model!$E$4/1000)/General_Model!$E$15)^0.25))*General_Model!$E$7/(General_Model!$E$4/1000)+1)+(4*(0.3164/((General_Model!$E$14*A593*(General_Model!$E$4/1000)/General_Model!$E$15)^0.25))*General_Model!$E$7/(General_Model!$E$4/1000)+2)*(General_Model!$E$26/A593))</f>
        <v>-0.14456164602490879</v>
      </c>
      <c r="C593" s="13">
        <f t="shared" si="9"/>
        <v>0</v>
      </c>
    </row>
    <row r="594" spans="1:3" x14ac:dyDescent="0.25">
      <c r="A594" s="11">
        <v>0.59199999999999997</v>
      </c>
      <c r="B594" s="12">
        <f>(General_Model!$E$6/General_Model!$E$7)-1/(1+General_Model!$E$26/((1.2+0.2*(General_Model!$E$26/A594)+0.35*SQRT(9.80665*(General_Model!$E$4/1000))/A594)*A594))-(A594^2/(2*9.80665*General_Model!$E$7))*((4*(0.3164/((General_Model!$E$14*A594*(General_Model!$E$4/1000)/General_Model!$E$15)^0.25))*General_Model!$E$7/(General_Model!$E$4/1000)+1)+(4*(0.3164/((General_Model!$E$14*A594*(General_Model!$E$4/1000)/General_Model!$E$15)^0.25))*General_Model!$E$7/(General_Model!$E$4/1000)+2)*(General_Model!$E$26/A594))</f>
        <v>-0.14502194682111386</v>
      </c>
      <c r="C594" s="13">
        <f t="shared" si="9"/>
        <v>0</v>
      </c>
    </row>
    <row r="595" spans="1:3" x14ac:dyDescent="0.25">
      <c r="A595" s="11">
        <v>0.59299999999999997</v>
      </c>
      <c r="B595" s="12">
        <f>(General_Model!$E$6/General_Model!$E$7)-1/(1+General_Model!$E$26/((1.2+0.2*(General_Model!$E$26/A595)+0.35*SQRT(9.80665*(General_Model!$E$4/1000))/A595)*A595))-(A595^2/(2*9.80665*General_Model!$E$7))*((4*(0.3164/((General_Model!$E$14*A595*(General_Model!$E$4/1000)/General_Model!$E$15)^0.25))*General_Model!$E$7/(General_Model!$E$4/1000)+1)+(4*(0.3164/((General_Model!$E$14*A595*(General_Model!$E$4/1000)/General_Model!$E$15)^0.25))*General_Model!$E$7/(General_Model!$E$4/1000)+2)*(General_Model!$E$26/A595))</f>
        <v>-0.14548208302826376</v>
      </c>
      <c r="C595" s="13">
        <f t="shared" si="9"/>
        <v>0</v>
      </c>
    </row>
    <row r="596" spans="1:3" x14ac:dyDescent="0.25">
      <c r="A596" s="11">
        <v>0.59399999999999997</v>
      </c>
      <c r="B596" s="12">
        <f>(General_Model!$E$6/General_Model!$E$7)-1/(1+General_Model!$E$26/((1.2+0.2*(General_Model!$E$26/A596)+0.35*SQRT(9.80665*(General_Model!$E$4/1000))/A596)*A596))-(A596^2/(2*9.80665*General_Model!$E$7))*((4*(0.3164/((General_Model!$E$14*A596*(General_Model!$E$4/1000)/General_Model!$E$15)^0.25))*General_Model!$E$7/(General_Model!$E$4/1000)+1)+(4*(0.3164/((General_Model!$E$14*A596*(General_Model!$E$4/1000)/General_Model!$E$15)^0.25))*General_Model!$E$7/(General_Model!$E$4/1000)+2)*(General_Model!$E$26/A596))</f>
        <v>-0.1459420553296284</v>
      </c>
      <c r="C596" s="13">
        <f t="shared" si="9"/>
        <v>0</v>
      </c>
    </row>
    <row r="597" spans="1:3" x14ac:dyDescent="0.25">
      <c r="A597" s="11">
        <v>0.59499999999999997</v>
      </c>
      <c r="B597" s="12">
        <f>(General_Model!$E$6/General_Model!$E$7)-1/(1+General_Model!$E$26/((1.2+0.2*(General_Model!$E$26/A597)+0.35*SQRT(9.80665*(General_Model!$E$4/1000))/A597)*A597))-(A597^2/(2*9.80665*General_Model!$E$7))*((4*(0.3164/((General_Model!$E$14*A597*(General_Model!$E$4/1000)/General_Model!$E$15)^0.25))*General_Model!$E$7/(General_Model!$E$4/1000)+1)+(4*(0.3164/((General_Model!$E$14*A597*(General_Model!$E$4/1000)/General_Model!$E$15)^0.25))*General_Model!$E$7/(General_Model!$E$4/1000)+2)*(General_Model!$E$26/A597))</f>
        <v>-0.14640186440655276</v>
      </c>
      <c r="C597" s="13">
        <f t="shared" si="9"/>
        <v>0</v>
      </c>
    </row>
    <row r="598" spans="1:3" x14ac:dyDescent="0.25">
      <c r="A598" s="11">
        <v>0.59599999999999997</v>
      </c>
      <c r="B598" s="12">
        <f>(General_Model!$E$6/General_Model!$E$7)-1/(1+General_Model!$E$26/((1.2+0.2*(General_Model!$E$26/A598)+0.35*SQRT(9.80665*(General_Model!$E$4/1000))/A598)*A598))-(A598^2/(2*9.80665*General_Model!$E$7))*((4*(0.3164/((General_Model!$E$14*A598*(General_Model!$E$4/1000)/General_Model!$E$15)^0.25))*General_Model!$E$7/(General_Model!$E$4/1000)+1)+(4*(0.3164/((General_Model!$E$14*A598*(General_Model!$E$4/1000)/General_Model!$E$15)^0.25))*General_Model!$E$7/(General_Model!$E$4/1000)+2)*(General_Model!$E$26/A598))</f>
        <v>-0.14686151093846272</v>
      </c>
      <c r="C598" s="13">
        <f t="shared" si="9"/>
        <v>0</v>
      </c>
    </row>
    <row r="599" spans="1:3" x14ac:dyDescent="0.25">
      <c r="A599" s="11">
        <v>0.59699999999999998</v>
      </c>
      <c r="B599" s="12">
        <f>(General_Model!$E$6/General_Model!$E$7)-1/(1+General_Model!$E$26/((1.2+0.2*(General_Model!$E$26/A599)+0.35*SQRT(9.80665*(General_Model!$E$4/1000))/A599)*A599))-(A599^2/(2*9.80665*General_Model!$E$7))*((4*(0.3164/((General_Model!$E$14*A599*(General_Model!$E$4/1000)/General_Model!$E$15)^0.25))*General_Model!$E$7/(General_Model!$E$4/1000)+1)+(4*(0.3164/((General_Model!$E$14*A599*(General_Model!$E$4/1000)/General_Model!$E$15)^0.25))*General_Model!$E$7/(General_Model!$E$4/1000)+2)*(General_Model!$E$26/A599))</f>
        <v>-0.14732099560287332</v>
      </c>
      <c r="C599" s="13">
        <f t="shared" si="9"/>
        <v>0</v>
      </c>
    </row>
    <row r="600" spans="1:3" x14ac:dyDescent="0.25">
      <c r="A600" s="11">
        <v>0.59799999999999998</v>
      </c>
      <c r="B600" s="12">
        <f>(General_Model!$E$6/General_Model!$E$7)-1/(1+General_Model!$E$26/((1.2+0.2*(General_Model!$E$26/A600)+0.35*SQRT(9.80665*(General_Model!$E$4/1000))/A600)*A600))-(A600^2/(2*9.80665*General_Model!$E$7))*((4*(0.3164/((General_Model!$E$14*A600*(General_Model!$E$4/1000)/General_Model!$E$15)^0.25))*General_Model!$E$7/(General_Model!$E$4/1000)+1)+(4*(0.3164/((General_Model!$E$14*A600*(General_Model!$E$4/1000)/General_Model!$E$15)^0.25))*General_Model!$E$7/(General_Model!$E$4/1000)+2)*(General_Model!$E$26/A600))</f>
        <v>-0.14778031907539388</v>
      </c>
      <c r="C600" s="13">
        <f t="shared" si="9"/>
        <v>0</v>
      </c>
    </row>
    <row r="601" spans="1:3" x14ac:dyDescent="0.25">
      <c r="A601" s="11">
        <v>0.59899999999999998</v>
      </c>
      <c r="B601" s="12">
        <f>(General_Model!$E$6/General_Model!$E$7)-1/(1+General_Model!$E$26/((1.2+0.2*(General_Model!$E$26/A601)+0.35*SQRT(9.80665*(General_Model!$E$4/1000))/A601)*A601))-(A601^2/(2*9.80665*General_Model!$E$7))*((4*(0.3164/((General_Model!$E$14*A601*(General_Model!$E$4/1000)/General_Model!$E$15)^0.25))*General_Model!$E$7/(General_Model!$E$4/1000)+1)+(4*(0.3164/((General_Model!$E$14*A601*(General_Model!$E$4/1000)/General_Model!$E$15)^0.25))*General_Model!$E$7/(General_Model!$E$4/1000)+2)*(General_Model!$E$26/A601))</f>
        <v>-0.14823948202973575</v>
      </c>
      <c r="C601" s="13">
        <f t="shared" si="9"/>
        <v>0</v>
      </c>
    </row>
    <row r="602" spans="1:3" x14ac:dyDescent="0.25">
      <c r="A602" s="11">
        <v>0.6</v>
      </c>
      <c r="B602" s="12">
        <f>(General_Model!$E$6/General_Model!$E$7)-1/(1+General_Model!$E$26/((1.2+0.2*(General_Model!$E$26/A602)+0.35*SQRT(9.80665*(General_Model!$E$4/1000))/A602)*A602))-(A602^2/(2*9.80665*General_Model!$E$7))*((4*(0.3164/((General_Model!$E$14*A602*(General_Model!$E$4/1000)/General_Model!$E$15)^0.25))*General_Model!$E$7/(General_Model!$E$4/1000)+1)+(4*(0.3164/((General_Model!$E$14*A602*(General_Model!$E$4/1000)/General_Model!$E$15)^0.25))*General_Model!$E$7/(General_Model!$E$4/1000)+2)*(General_Model!$E$26/A602))</f>
        <v>-0.14869848513771866</v>
      </c>
      <c r="C602" s="13">
        <f t="shared" si="9"/>
        <v>0</v>
      </c>
    </row>
    <row r="603" spans="1:3" x14ac:dyDescent="0.25">
      <c r="A603" s="11">
        <v>0.60099999999999998</v>
      </c>
      <c r="B603" s="12">
        <f>(General_Model!$E$6/General_Model!$E$7)-1/(1+General_Model!$E$26/((1.2+0.2*(General_Model!$E$26/A603)+0.35*SQRT(9.80665*(General_Model!$E$4/1000))/A603)*A603))-(A603^2/(2*9.80665*General_Model!$E$7))*((4*(0.3164/((General_Model!$E$14*A603*(General_Model!$E$4/1000)/General_Model!$E$15)^0.25))*General_Model!$E$7/(General_Model!$E$4/1000)+1)+(4*(0.3164/((General_Model!$E$14*A603*(General_Model!$E$4/1000)/General_Model!$E$15)^0.25))*General_Model!$E$7/(General_Model!$E$4/1000)+2)*(General_Model!$E$26/A603))</f>
        <v>-0.14915732906927723</v>
      </c>
      <c r="C603" s="13">
        <f t="shared" si="9"/>
        <v>0</v>
      </c>
    </row>
    <row r="604" spans="1:3" x14ac:dyDescent="0.25">
      <c r="A604" s="11">
        <v>0.60199999999999998</v>
      </c>
      <c r="B604" s="12">
        <f>(General_Model!$E$6/General_Model!$E$7)-1/(1+General_Model!$E$26/((1.2+0.2*(General_Model!$E$26/A604)+0.35*SQRT(9.80665*(General_Model!$E$4/1000))/A604)*A604))-(A604^2/(2*9.80665*General_Model!$E$7))*((4*(0.3164/((General_Model!$E$14*A604*(General_Model!$E$4/1000)/General_Model!$E$15)^0.25))*General_Model!$E$7/(General_Model!$E$4/1000)+1)+(4*(0.3164/((General_Model!$E$14*A604*(General_Model!$E$4/1000)/General_Model!$E$15)^0.25))*General_Model!$E$7/(General_Model!$E$4/1000)+2)*(General_Model!$E$26/A604))</f>
        <v>-0.14961601449246775</v>
      </c>
      <c r="C604" s="13">
        <f t="shared" si="9"/>
        <v>0</v>
      </c>
    </row>
    <row r="605" spans="1:3" x14ac:dyDescent="0.25">
      <c r="A605" s="11">
        <v>0.60299999999999998</v>
      </c>
      <c r="B605" s="12">
        <f>(General_Model!$E$6/General_Model!$E$7)-1/(1+General_Model!$E$26/((1.2+0.2*(General_Model!$E$26/A605)+0.35*SQRT(9.80665*(General_Model!$E$4/1000))/A605)*A605))-(A605^2/(2*9.80665*General_Model!$E$7))*((4*(0.3164/((General_Model!$E$14*A605*(General_Model!$E$4/1000)/General_Model!$E$15)^0.25))*General_Model!$E$7/(General_Model!$E$4/1000)+1)+(4*(0.3164/((General_Model!$E$14*A605*(General_Model!$E$4/1000)/General_Model!$E$15)^0.25))*General_Model!$E$7/(General_Model!$E$4/1000)+2)*(General_Model!$E$26/A605))</f>
        <v>-0.1500745420734747</v>
      </c>
      <c r="C605" s="13">
        <f t="shared" si="9"/>
        <v>0</v>
      </c>
    </row>
    <row r="606" spans="1:3" x14ac:dyDescent="0.25">
      <c r="A606" s="11">
        <v>0.60399999999999998</v>
      </c>
      <c r="B606" s="12">
        <f>(General_Model!$E$6/General_Model!$E$7)-1/(1+General_Model!$E$26/((1.2+0.2*(General_Model!$E$26/A606)+0.35*SQRT(9.80665*(General_Model!$E$4/1000))/A606)*A606))-(A606^2/(2*9.80665*General_Model!$E$7))*((4*(0.3164/((General_Model!$E$14*A606*(General_Model!$E$4/1000)/General_Model!$E$15)^0.25))*General_Model!$E$7/(General_Model!$E$4/1000)+1)+(4*(0.3164/((General_Model!$E$14*A606*(General_Model!$E$4/1000)/General_Model!$E$15)^0.25))*General_Model!$E$7/(General_Model!$E$4/1000)+2)*(General_Model!$E$26/A606))</f>
        <v>-0.15053291247661721</v>
      </c>
      <c r="C606" s="13">
        <f t="shared" si="9"/>
        <v>0</v>
      </c>
    </row>
    <row r="607" spans="1:3" x14ac:dyDescent="0.25">
      <c r="A607" s="11">
        <v>0.60499999999999998</v>
      </c>
      <c r="B607" s="12">
        <f>(General_Model!$E$6/General_Model!$E$7)-1/(1+General_Model!$E$26/((1.2+0.2*(General_Model!$E$26/A607)+0.35*SQRT(9.80665*(General_Model!$E$4/1000))/A607)*A607))-(A607^2/(2*9.80665*General_Model!$E$7))*((4*(0.3164/((General_Model!$E$14*A607*(General_Model!$E$4/1000)/General_Model!$E$15)^0.25))*General_Model!$E$7/(General_Model!$E$4/1000)+1)+(4*(0.3164/((General_Model!$E$14*A607*(General_Model!$E$4/1000)/General_Model!$E$15)^0.25))*General_Model!$E$7/(General_Model!$E$4/1000)+2)*(General_Model!$E$26/A607))</f>
        <v>-0.15099112636435572</v>
      </c>
      <c r="C607" s="13">
        <f t="shared" si="9"/>
        <v>0</v>
      </c>
    </row>
    <row r="608" spans="1:3" x14ac:dyDescent="0.25">
      <c r="A608" s="11">
        <v>0.60599999999999998</v>
      </c>
      <c r="B608" s="12">
        <f>(General_Model!$E$6/General_Model!$E$7)-1/(1+General_Model!$E$26/((1.2+0.2*(General_Model!$E$26/A608)+0.35*SQRT(9.80665*(General_Model!$E$4/1000))/A608)*A608))-(A608^2/(2*9.80665*General_Model!$E$7))*((4*(0.3164/((General_Model!$E$14*A608*(General_Model!$E$4/1000)/General_Model!$E$15)^0.25))*General_Model!$E$7/(General_Model!$E$4/1000)+1)+(4*(0.3164/((General_Model!$E$14*A608*(General_Model!$E$4/1000)/General_Model!$E$15)^0.25))*General_Model!$E$7/(General_Model!$E$4/1000)+2)*(General_Model!$E$26/A608))</f>
        <v>-0.15144918439729838</v>
      </c>
      <c r="C608" s="13">
        <f t="shared" si="9"/>
        <v>0</v>
      </c>
    </row>
    <row r="609" spans="1:3" x14ac:dyDescent="0.25">
      <c r="A609" s="11">
        <v>0.60699999999999998</v>
      </c>
      <c r="B609" s="12">
        <f>(General_Model!$E$6/General_Model!$E$7)-1/(1+General_Model!$E$26/((1.2+0.2*(General_Model!$E$26/A609)+0.35*SQRT(9.80665*(General_Model!$E$4/1000))/A609)*A609))-(A609^2/(2*9.80665*General_Model!$E$7))*((4*(0.3164/((General_Model!$E$14*A609*(General_Model!$E$4/1000)/General_Model!$E$15)^0.25))*General_Model!$E$7/(General_Model!$E$4/1000)+1)+(4*(0.3164/((General_Model!$E$14*A609*(General_Model!$E$4/1000)/General_Model!$E$15)^0.25))*General_Model!$E$7/(General_Model!$E$4/1000)+2)*(General_Model!$E$26/A609))</f>
        <v>-0.15190708723420765</v>
      </c>
      <c r="C609" s="13">
        <f t="shared" si="9"/>
        <v>0</v>
      </c>
    </row>
    <row r="610" spans="1:3" x14ac:dyDescent="0.25">
      <c r="A610" s="11">
        <v>0.60799999999999998</v>
      </c>
      <c r="B610" s="12">
        <f>(General_Model!$E$6/General_Model!$E$7)-1/(1+General_Model!$E$26/((1.2+0.2*(General_Model!$E$26/A610)+0.35*SQRT(9.80665*(General_Model!$E$4/1000))/A610)*A610))-(A610^2/(2*9.80665*General_Model!$E$7))*((4*(0.3164/((General_Model!$E$14*A610*(General_Model!$E$4/1000)/General_Model!$E$15)^0.25))*General_Model!$E$7/(General_Model!$E$4/1000)+1)+(4*(0.3164/((General_Model!$E$14*A610*(General_Model!$E$4/1000)/General_Model!$E$15)^0.25))*General_Model!$E$7/(General_Model!$E$4/1000)+2)*(General_Model!$E$26/A610))</f>
        <v>-0.15236483553200636</v>
      </c>
      <c r="C610" s="13">
        <f t="shared" si="9"/>
        <v>0</v>
      </c>
    </row>
    <row r="611" spans="1:3" x14ac:dyDescent="0.25">
      <c r="A611" s="11">
        <v>0.60899999999999999</v>
      </c>
      <c r="B611" s="12">
        <f>(General_Model!$E$6/General_Model!$E$7)-1/(1+General_Model!$E$26/((1.2+0.2*(General_Model!$E$26/A611)+0.35*SQRT(9.80665*(General_Model!$E$4/1000))/A611)*A611))-(A611^2/(2*9.80665*General_Model!$E$7))*((4*(0.3164/((General_Model!$E$14*A611*(General_Model!$E$4/1000)/General_Model!$E$15)^0.25))*General_Model!$E$7/(General_Model!$E$4/1000)+1)+(4*(0.3164/((General_Model!$E$14*A611*(General_Model!$E$4/1000)/General_Model!$E$15)^0.25))*General_Model!$E$7/(General_Model!$E$4/1000)+2)*(General_Model!$E$26/A611))</f>
        <v>-0.15282242994578465</v>
      </c>
      <c r="C611" s="13">
        <f t="shared" si="9"/>
        <v>0</v>
      </c>
    </row>
    <row r="612" spans="1:3" x14ac:dyDescent="0.25">
      <c r="A612" s="11">
        <v>0.61</v>
      </c>
      <c r="B612" s="12">
        <f>(General_Model!$E$6/General_Model!$E$7)-1/(1+General_Model!$E$26/((1.2+0.2*(General_Model!$E$26/A612)+0.35*SQRT(9.80665*(General_Model!$E$4/1000))/A612)*A612))-(A612^2/(2*9.80665*General_Model!$E$7))*((4*(0.3164/((General_Model!$E$14*A612*(General_Model!$E$4/1000)/General_Model!$E$15)^0.25))*General_Model!$E$7/(General_Model!$E$4/1000)+1)+(4*(0.3164/((General_Model!$E$14*A612*(General_Model!$E$4/1000)/General_Model!$E$15)^0.25))*General_Model!$E$7/(General_Model!$E$4/1000)+2)*(General_Model!$E$26/A612))</f>
        <v>-0.15327987112880614</v>
      </c>
      <c r="C612" s="13">
        <f t="shared" si="9"/>
        <v>0</v>
      </c>
    </row>
    <row r="613" spans="1:3" x14ac:dyDescent="0.25">
      <c r="A613" s="11">
        <v>0.61099999999999999</v>
      </c>
      <c r="B613" s="12">
        <f>(General_Model!$E$6/General_Model!$E$7)-1/(1+General_Model!$E$26/((1.2+0.2*(General_Model!$E$26/A613)+0.35*SQRT(9.80665*(General_Model!$E$4/1000))/A613)*A613))-(A613^2/(2*9.80665*General_Model!$E$7))*((4*(0.3164/((General_Model!$E$14*A613*(General_Model!$E$4/1000)/General_Model!$E$15)^0.25))*General_Model!$E$7/(General_Model!$E$4/1000)+1)+(4*(0.3164/((General_Model!$E$14*A613*(General_Model!$E$4/1000)/General_Model!$E$15)^0.25))*General_Model!$E$7/(General_Model!$E$4/1000)+2)*(General_Model!$E$26/A613))</f>
        <v>-0.15373715973251384</v>
      </c>
      <c r="C613" s="13">
        <f t="shared" si="9"/>
        <v>0</v>
      </c>
    </row>
    <row r="614" spans="1:3" x14ac:dyDescent="0.25">
      <c r="A614" s="11">
        <v>0.61199999999999999</v>
      </c>
      <c r="B614" s="12">
        <f>(General_Model!$E$6/General_Model!$E$7)-1/(1+General_Model!$E$26/((1.2+0.2*(General_Model!$E$26/A614)+0.35*SQRT(9.80665*(General_Model!$E$4/1000))/A614)*A614))-(A614^2/(2*9.80665*General_Model!$E$7))*((4*(0.3164/((General_Model!$E$14*A614*(General_Model!$E$4/1000)/General_Model!$E$15)^0.25))*General_Model!$E$7/(General_Model!$E$4/1000)+1)+(4*(0.3164/((General_Model!$E$14*A614*(General_Model!$E$4/1000)/General_Model!$E$15)^0.25))*General_Model!$E$7/(General_Model!$E$4/1000)+2)*(General_Model!$E$26/A614))</f>
        <v>-0.1541942964065374</v>
      </c>
      <c r="C614" s="13">
        <f t="shared" si="9"/>
        <v>0</v>
      </c>
    </row>
    <row r="615" spans="1:3" x14ac:dyDescent="0.25">
      <c r="A615" s="11">
        <v>0.61299999999999999</v>
      </c>
      <c r="B615" s="12">
        <f>(General_Model!$E$6/General_Model!$E$7)-1/(1+General_Model!$E$26/((1.2+0.2*(General_Model!$E$26/A615)+0.35*SQRT(9.80665*(General_Model!$E$4/1000))/A615)*A615))-(A615^2/(2*9.80665*General_Model!$E$7))*((4*(0.3164/((General_Model!$E$14*A615*(General_Model!$E$4/1000)/General_Model!$E$15)^0.25))*General_Model!$E$7/(General_Model!$E$4/1000)+1)+(4*(0.3164/((General_Model!$E$14*A615*(General_Model!$E$4/1000)/General_Model!$E$15)^0.25))*General_Model!$E$7/(General_Model!$E$4/1000)+2)*(General_Model!$E$26/A615))</f>
        <v>-0.15465128179869819</v>
      </c>
      <c r="C615" s="13">
        <f t="shared" si="9"/>
        <v>0</v>
      </c>
    </row>
    <row r="616" spans="1:3" x14ac:dyDescent="0.25">
      <c r="A616" s="11">
        <v>0.61399999999999999</v>
      </c>
      <c r="B616" s="12">
        <f>(General_Model!$E$6/General_Model!$E$7)-1/(1+General_Model!$E$26/((1.2+0.2*(General_Model!$E$26/A616)+0.35*SQRT(9.80665*(General_Model!$E$4/1000))/A616)*A616))-(A616^2/(2*9.80665*General_Model!$E$7))*((4*(0.3164/((General_Model!$E$14*A616*(General_Model!$E$4/1000)/General_Model!$E$15)^0.25))*General_Model!$E$7/(General_Model!$E$4/1000)+1)+(4*(0.3164/((General_Model!$E$14*A616*(General_Model!$E$4/1000)/General_Model!$E$15)^0.25))*General_Model!$E$7/(General_Model!$E$4/1000)+2)*(General_Model!$E$26/A616))</f>
        <v>-0.15510811655501699</v>
      </c>
      <c r="C616" s="13">
        <f t="shared" si="9"/>
        <v>0</v>
      </c>
    </row>
    <row r="617" spans="1:3" x14ac:dyDescent="0.25">
      <c r="A617" s="11">
        <v>0.61499999999999999</v>
      </c>
      <c r="B617" s="12">
        <f>(General_Model!$E$6/General_Model!$E$7)-1/(1+General_Model!$E$26/((1.2+0.2*(General_Model!$E$26/A617)+0.35*SQRT(9.80665*(General_Model!$E$4/1000))/A617)*A617))-(A617^2/(2*9.80665*General_Model!$E$7))*((4*(0.3164/((General_Model!$E$14*A617*(General_Model!$E$4/1000)/General_Model!$E$15)^0.25))*General_Model!$E$7/(General_Model!$E$4/1000)+1)+(4*(0.3164/((General_Model!$E$14*A617*(General_Model!$E$4/1000)/General_Model!$E$15)^0.25))*General_Model!$E$7/(General_Model!$E$4/1000)+2)*(General_Model!$E$26/A617))</f>
        <v>-0.15556480131971931</v>
      </c>
      <c r="C617" s="13">
        <f t="shared" si="9"/>
        <v>0</v>
      </c>
    </row>
    <row r="618" spans="1:3" x14ac:dyDescent="0.25">
      <c r="A618" s="11">
        <v>0.61599999999999999</v>
      </c>
      <c r="B618" s="12">
        <f>(General_Model!$E$6/General_Model!$E$7)-1/(1+General_Model!$E$26/((1.2+0.2*(General_Model!$E$26/A618)+0.35*SQRT(9.80665*(General_Model!$E$4/1000))/A618)*A618))-(A618^2/(2*9.80665*General_Model!$E$7))*((4*(0.3164/((General_Model!$E$14*A618*(General_Model!$E$4/1000)/General_Model!$E$15)^0.25))*General_Model!$E$7/(General_Model!$E$4/1000)+1)+(4*(0.3164/((General_Model!$E$14*A618*(General_Model!$E$4/1000)/General_Model!$E$15)^0.25))*General_Model!$E$7/(General_Model!$E$4/1000)+2)*(General_Model!$E$26/A618))</f>
        <v>-0.15602133673524154</v>
      </c>
      <c r="C618" s="13">
        <f t="shared" si="9"/>
        <v>0</v>
      </c>
    </row>
    <row r="619" spans="1:3" x14ac:dyDescent="0.25">
      <c r="A619" s="11">
        <v>0.61699999999999999</v>
      </c>
      <c r="B619" s="12">
        <f>(General_Model!$E$6/General_Model!$E$7)-1/(1+General_Model!$E$26/((1.2+0.2*(General_Model!$E$26/A619)+0.35*SQRT(9.80665*(General_Model!$E$4/1000))/A619)*A619))-(A619^2/(2*9.80665*General_Model!$E$7))*((4*(0.3164/((General_Model!$E$14*A619*(General_Model!$E$4/1000)/General_Model!$E$15)^0.25))*General_Model!$E$7/(General_Model!$E$4/1000)+1)+(4*(0.3164/((General_Model!$E$14*A619*(General_Model!$E$4/1000)/General_Model!$E$15)^0.25))*General_Model!$E$7/(General_Model!$E$4/1000)+2)*(General_Model!$E$26/A619))</f>
        <v>-0.15647772344223765</v>
      </c>
      <c r="C619" s="13">
        <f t="shared" si="9"/>
        <v>0</v>
      </c>
    </row>
    <row r="620" spans="1:3" x14ac:dyDescent="0.25">
      <c r="A620" s="11">
        <v>0.61799999999999999</v>
      </c>
      <c r="B620" s="12">
        <f>(General_Model!$E$6/General_Model!$E$7)-1/(1+General_Model!$E$26/((1.2+0.2*(General_Model!$E$26/A620)+0.35*SQRT(9.80665*(General_Model!$E$4/1000))/A620)*A620))-(A620^2/(2*9.80665*General_Model!$E$7))*((4*(0.3164/((General_Model!$E$14*A620*(General_Model!$E$4/1000)/General_Model!$E$15)^0.25))*General_Model!$E$7/(General_Model!$E$4/1000)+1)+(4*(0.3164/((General_Model!$E$14*A620*(General_Model!$E$4/1000)/General_Model!$E$15)^0.25))*General_Model!$E$7/(General_Model!$E$4/1000)+2)*(General_Model!$E$26/A620))</f>
        <v>-0.15693396207958527</v>
      </c>
      <c r="C620" s="13">
        <f t="shared" si="9"/>
        <v>0</v>
      </c>
    </row>
    <row r="621" spans="1:3" x14ac:dyDescent="0.25">
      <c r="A621" s="11">
        <v>0.61899999999999999</v>
      </c>
      <c r="B621" s="12">
        <f>(General_Model!$E$6/General_Model!$E$7)-1/(1+General_Model!$E$26/((1.2+0.2*(General_Model!$E$26/A621)+0.35*SQRT(9.80665*(General_Model!$E$4/1000))/A621)*A621))-(A621^2/(2*9.80665*General_Model!$E$7))*((4*(0.3164/((General_Model!$E$14*A621*(General_Model!$E$4/1000)/General_Model!$E$15)^0.25))*General_Model!$E$7/(General_Model!$E$4/1000)+1)+(4*(0.3164/((General_Model!$E$14*A621*(General_Model!$E$4/1000)/General_Model!$E$15)^0.25))*General_Model!$E$7/(General_Model!$E$4/1000)+2)*(General_Model!$E$26/A621))</f>
        <v>-0.15739005328439118</v>
      </c>
      <c r="C621" s="13">
        <f t="shared" si="9"/>
        <v>0</v>
      </c>
    </row>
    <row r="622" spans="1:3" x14ac:dyDescent="0.25">
      <c r="A622" s="11">
        <v>0.62</v>
      </c>
      <c r="B622" s="12">
        <f>(General_Model!$E$6/General_Model!$E$7)-1/(1+General_Model!$E$26/((1.2+0.2*(General_Model!$E$26/A622)+0.35*SQRT(9.80665*(General_Model!$E$4/1000))/A622)*A622))-(A622^2/(2*9.80665*General_Model!$E$7))*((4*(0.3164/((General_Model!$E$14*A622*(General_Model!$E$4/1000)/General_Model!$E$15)^0.25))*General_Model!$E$7/(General_Model!$E$4/1000)+1)+(4*(0.3164/((General_Model!$E$14*A622*(General_Model!$E$4/1000)/General_Model!$E$15)^0.25))*General_Model!$E$7/(General_Model!$E$4/1000)+2)*(General_Model!$E$26/A622))</f>
        <v>-0.15784599769199847</v>
      </c>
      <c r="C622" s="13">
        <f t="shared" si="9"/>
        <v>0</v>
      </c>
    </row>
    <row r="623" spans="1:3" x14ac:dyDescent="0.25">
      <c r="A623" s="11">
        <v>0.621</v>
      </c>
      <c r="B623" s="12">
        <f>(General_Model!$E$6/General_Model!$E$7)-1/(1+General_Model!$E$26/((1.2+0.2*(General_Model!$E$26/A623)+0.35*SQRT(9.80665*(General_Model!$E$4/1000))/A623)*A623))-(A623^2/(2*9.80665*General_Model!$E$7))*((4*(0.3164/((General_Model!$E$14*A623*(General_Model!$E$4/1000)/General_Model!$E$15)^0.25))*General_Model!$E$7/(General_Model!$E$4/1000)+1)+(4*(0.3164/((General_Model!$E$14*A623*(General_Model!$E$4/1000)/General_Model!$E$15)^0.25))*General_Model!$E$7/(General_Model!$E$4/1000)+2)*(General_Model!$E$26/A623))</f>
        <v>-0.15830179593599203</v>
      </c>
      <c r="C623" s="13">
        <f t="shared" si="9"/>
        <v>0</v>
      </c>
    </row>
    <row r="624" spans="1:3" x14ac:dyDescent="0.25">
      <c r="A624" s="11">
        <v>0.622</v>
      </c>
      <c r="B624" s="12">
        <f>(General_Model!$E$6/General_Model!$E$7)-1/(1+General_Model!$E$26/((1.2+0.2*(General_Model!$E$26/A624)+0.35*SQRT(9.80665*(General_Model!$E$4/1000))/A624)*A624))-(A624^2/(2*9.80665*General_Model!$E$7))*((4*(0.3164/((General_Model!$E$14*A624*(General_Model!$E$4/1000)/General_Model!$E$15)^0.25))*General_Model!$E$7/(General_Model!$E$4/1000)+1)+(4*(0.3164/((General_Model!$E$14*A624*(General_Model!$E$4/1000)/General_Model!$E$15)^0.25))*General_Model!$E$7/(General_Model!$E$4/1000)+2)*(General_Model!$E$26/A624))</f>
        <v>-0.15875744864820446</v>
      </c>
      <c r="C624" s="13">
        <f t="shared" si="9"/>
        <v>0</v>
      </c>
    </row>
    <row r="625" spans="1:3" x14ac:dyDescent="0.25">
      <c r="A625" s="11">
        <v>0.623</v>
      </c>
      <c r="B625" s="12">
        <f>(General_Model!$E$6/General_Model!$E$7)-1/(1+General_Model!$E$26/((1.2+0.2*(General_Model!$E$26/A625)+0.35*SQRT(9.80665*(General_Model!$E$4/1000))/A625)*A625))-(A625^2/(2*9.80665*General_Model!$E$7))*((4*(0.3164/((General_Model!$E$14*A625*(General_Model!$E$4/1000)/General_Model!$E$15)^0.25))*General_Model!$E$7/(General_Model!$E$4/1000)+1)+(4*(0.3164/((General_Model!$E$14*A625*(General_Model!$E$4/1000)/General_Model!$E$15)^0.25))*General_Model!$E$7/(General_Model!$E$4/1000)+2)*(General_Model!$E$26/A625))</f>
        <v>-0.15921295645872241</v>
      </c>
      <c r="C625" s="13">
        <f t="shared" si="9"/>
        <v>0</v>
      </c>
    </row>
    <row r="626" spans="1:3" x14ac:dyDescent="0.25">
      <c r="A626" s="11">
        <v>0.624</v>
      </c>
      <c r="B626" s="12">
        <f>(General_Model!$E$6/General_Model!$E$7)-1/(1+General_Model!$E$26/((1.2+0.2*(General_Model!$E$26/A626)+0.35*SQRT(9.80665*(General_Model!$E$4/1000))/A626)*A626))-(A626^2/(2*9.80665*General_Model!$E$7))*((4*(0.3164/((General_Model!$E$14*A626*(General_Model!$E$4/1000)/General_Model!$E$15)^0.25))*General_Model!$E$7/(General_Model!$E$4/1000)+1)+(4*(0.3164/((General_Model!$E$14*A626*(General_Model!$E$4/1000)/General_Model!$E$15)^0.25))*General_Model!$E$7/(General_Model!$E$4/1000)+2)*(General_Model!$E$26/A626))</f>
        <v>-0.15966831999589276</v>
      </c>
      <c r="C626" s="13">
        <f t="shared" si="9"/>
        <v>0</v>
      </c>
    </row>
    <row r="627" spans="1:3" x14ac:dyDescent="0.25">
      <c r="A627" s="11">
        <v>0.625</v>
      </c>
      <c r="B627" s="12">
        <f>(General_Model!$E$6/General_Model!$E$7)-1/(1+General_Model!$E$26/((1.2+0.2*(General_Model!$E$26/A627)+0.35*SQRT(9.80665*(General_Model!$E$4/1000))/A627)*A627))-(A627^2/(2*9.80665*General_Model!$E$7))*((4*(0.3164/((General_Model!$E$14*A627*(General_Model!$E$4/1000)/General_Model!$E$15)^0.25))*General_Model!$E$7/(General_Model!$E$4/1000)+1)+(4*(0.3164/((General_Model!$E$14*A627*(General_Model!$E$4/1000)/General_Model!$E$15)^0.25))*General_Model!$E$7/(General_Model!$E$4/1000)+2)*(General_Model!$E$26/A627))</f>
        <v>-0.16012353988632808</v>
      </c>
      <c r="C627" s="13">
        <f t="shared" si="9"/>
        <v>0</v>
      </c>
    </row>
    <row r="628" spans="1:3" x14ac:dyDescent="0.25">
      <c r="A628" s="11">
        <v>0.626</v>
      </c>
      <c r="B628" s="12">
        <f>(General_Model!$E$6/General_Model!$E$7)-1/(1+General_Model!$E$26/((1.2+0.2*(General_Model!$E$26/A628)+0.35*SQRT(9.80665*(General_Model!$E$4/1000))/A628)*A628))-(A628^2/(2*9.80665*General_Model!$E$7))*((4*(0.3164/((General_Model!$E$14*A628*(General_Model!$E$4/1000)/General_Model!$E$15)^0.25))*General_Model!$E$7/(General_Model!$E$4/1000)+1)+(4*(0.3164/((General_Model!$E$14*A628*(General_Model!$E$4/1000)/General_Model!$E$15)^0.25))*General_Model!$E$7/(General_Model!$E$4/1000)+2)*(General_Model!$E$26/A628))</f>
        <v>-0.16057861675491303</v>
      </c>
      <c r="C628" s="13">
        <f t="shared" si="9"/>
        <v>0</v>
      </c>
    </row>
    <row r="629" spans="1:3" x14ac:dyDescent="0.25">
      <c r="A629" s="11">
        <v>0.627</v>
      </c>
      <c r="B629" s="12">
        <f>(General_Model!$E$6/General_Model!$E$7)-1/(1+General_Model!$E$26/((1.2+0.2*(General_Model!$E$26/A629)+0.35*SQRT(9.80665*(General_Model!$E$4/1000))/A629)*A629))-(A629^2/(2*9.80665*General_Model!$E$7))*((4*(0.3164/((General_Model!$E$14*A629*(General_Model!$E$4/1000)/General_Model!$E$15)^0.25))*General_Model!$E$7/(General_Model!$E$4/1000)+1)+(4*(0.3164/((General_Model!$E$14*A629*(General_Model!$E$4/1000)/General_Model!$E$15)^0.25))*General_Model!$E$7/(General_Model!$E$4/1000)+2)*(General_Model!$E$26/A629))</f>
        <v>-0.16103355122481033</v>
      </c>
      <c r="C629" s="13">
        <f t="shared" si="9"/>
        <v>0</v>
      </c>
    </row>
    <row r="630" spans="1:3" x14ac:dyDescent="0.25">
      <c r="A630" s="11">
        <v>0.628</v>
      </c>
      <c r="B630" s="12">
        <f>(General_Model!$E$6/General_Model!$E$7)-1/(1+General_Model!$E$26/((1.2+0.2*(General_Model!$E$26/A630)+0.35*SQRT(9.80665*(General_Model!$E$4/1000))/A630)*A630))-(A630^2/(2*9.80665*General_Model!$E$7))*((4*(0.3164/((General_Model!$E$14*A630*(General_Model!$E$4/1000)/General_Model!$E$15)^0.25))*General_Model!$E$7/(General_Model!$E$4/1000)+1)+(4*(0.3164/((General_Model!$E$14*A630*(General_Model!$E$4/1000)/General_Model!$E$15)^0.25))*General_Model!$E$7/(General_Model!$E$4/1000)+2)*(General_Model!$E$26/A630))</f>
        <v>-0.16148834391746608</v>
      </c>
      <c r="C630" s="13">
        <f t="shared" si="9"/>
        <v>0</v>
      </c>
    </row>
    <row r="631" spans="1:3" x14ac:dyDescent="0.25">
      <c r="A631" s="11">
        <v>0.629</v>
      </c>
      <c r="B631" s="12">
        <f>(General_Model!$E$6/General_Model!$E$7)-1/(1+General_Model!$E$26/((1.2+0.2*(General_Model!$E$26/A631)+0.35*SQRT(9.80665*(General_Model!$E$4/1000))/A631)*A631))-(A631^2/(2*9.80665*General_Model!$E$7))*((4*(0.3164/((General_Model!$E$14*A631*(General_Model!$E$4/1000)/General_Model!$E$15)^0.25))*General_Model!$E$7/(General_Model!$E$4/1000)+1)+(4*(0.3164/((General_Model!$E$14*A631*(General_Model!$E$4/1000)/General_Model!$E$15)^0.25))*General_Model!$E$7/(General_Model!$E$4/1000)+2)*(General_Model!$E$26/A631))</f>
        <v>-0.16194299545261648</v>
      </c>
      <c r="C631" s="13">
        <f t="shared" si="9"/>
        <v>0</v>
      </c>
    </row>
    <row r="632" spans="1:3" x14ac:dyDescent="0.25">
      <c r="A632" s="11">
        <v>0.63</v>
      </c>
      <c r="B632" s="12">
        <f>(General_Model!$E$6/General_Model!$E$7)-1/(1+General_Model!$E$26/((1.2+0.2*(General_Model!$E$26/A632)+0.35*SQRT(9.80665*(General_Model!$E$4/1000))/A632)*A632))-(A632^2/(2*9.80665*General_Model!$E$7))*((4*(0.3164/((General_Model!$E$14*A632*(General_Model!$E$4/1000)/General_Model!$E$15)^0.25))*General_Model!$E$7/(General_Model!$E$4/1000)+1)+(4*(0.3164/((General_Model!$E$14*A632*(General_Model!$E$4/1000)/General_Model!$E$15)^0.25))*General_Model!$E$7/(General_Model!$E$4/1000)+2)*(General_Model!$E$26/A632))</f>
        <v>-0.16239750644829321</v>
      </c>
      <c r="C632" s="13">
        <f t="shared" si="9"/>
        <v>0</v>
      </c>
    </row>
    <row r="633" spans="1:3" x14ac:dyDescent="0.25">
      <c r="A633" s="11">
        <v>0.63100000000000001</v>
      </c>
      <c r="B633" s="12">
        <f>(General_Model!$E$6/General_Model!$E$7)-1/(1+General_Model!$E$26/((1.2+0.2*(General_Model!$E$26/A633)+0.35*SQRT(9.80665*(General_Model!$E$4/1000))/A633)*A633))-(A633^2/(2*9.80665*General_Model!$E$7))*((4*(0.3164/((General_Model!$E$14*A633*(General_Model!$E$4/1000)/General_Model!$E$15)^0.25))*General_Model!$E$7/(General_Model!$E$4/1000)+1)+(4*(0.3164/((General_Model!$E$14*A633*(General_Model!$E$4/1000)/General_Model!$E$15)^0.25))*General_Model!$E$7/(General_Model!$E$4/1000)+2)*(General_Model!$E$26/A633))</f>
        <v>-0.16285187752082905</v>
      </c>
      <c r="C633" s="13">
        <f t="shared" si="9"/>
        <v>0</v>
      </c>
    </row>
    <row r="634" spans="1:3" x14ac:dyDescent="0.25">
      <c r="A634" s="11">
        <v>0.63200000000000001</v>
      </c>
      <c r="B634" s="12">
        <f>(General_Model!$E$6/General_Model!$E$7)-1/(1+General_Model!$E$26/((1.2+0.2*(General_Model!$E$26/A634)+0.35*SQRT(9.80665*(General_Model!$E$4/1000))/A634)*A634))-(A634^2/(2*9.80665*General_Model!$E$7))*((4*(0.3164/((General_Model!$E$14*A634*(General_Model!$E$4/1000)/General_Model!$E$15)^0.25))*General_Model!$E$7/(General_Model!$E$4/1000)+1)+(4*(0.3164/((General_Model!$E$14*A634*(General_Model!$E$4/1000)/General_Model!$E$15)^0.25))*General_Model!$E$7/(General_Model!$E$4/1000)+2)*(General_Model!$E$26/A634))</f>
        <v>-0.16330610928486458</v>
      </c>
      <c r="C634" s="13">
        <f t="shared" si="9"/>
        <v>0</v>
      </c>
    </row>
    <row r="635" spans="1:3" x14ac:dyDescent="0.25">
      <c r="A635" s="11">
        <v>0.63300000000000001</v>
      </c>
      <c r="B635" s="12">
        <f>(General_Model!$E$6/General_Model!$E$7)-1/(1+General_Model!$E$26/((1.2+0.2*(General_Model!$E$26/A635)+0.35*SQRT(9.80665*(General_Model!$E$4/1000))/A635)*A635))-(A635^2/(2*9.80665*General_Model!$E$7))*((4*(0.3164/((General_Model!$E$14*A635*(General_Model!$E$4/1000)/General_Model!$E$15)^0.25))*General_Model!$E$7/(General_Model!$E$4/1000)+1)+(4*(0.3164/((General_Model!$E$14*A635*(General_Model!$E$4/1000)/General_Model!$E$15)^0.25))*General_Model!$E$7/(General_Model!$E$4/1000)+2)*(General_Model!$E$26/A635))</f>
        <v>-0.16376020235335287</v>
      </c>
      <c r="C635" s="13">
        <f t="shared" si="9"/>
        <v>0</v>
      </c>
    </row>
    <row r="636" spans="1:3" x14ac:dyDescent="0.25">
      <c r="A636" s="11">
        <v>0.63400000000000001</v>
      </c>
      <c r="B636" s="12">
        <f>(General_Model!$E$6/General_Model!$E$7)-1/(1+General_Model!$E$26/((1.2+0.2*(General_Model!$E$26/A636)+0.35*SQRT(9.80665*(General_Model!$E$4/1000))/A636)*A636))-(A636^2/(2*9.80665*General_Model!$E$7))*((4*(0.3164/((General_Model!$E$14*A636*(General_Model!$E$4/1000)/General_Model!$E$15)^0.25))*General_Model!$E$7/(General_Model!$E$4/1000)+1)+(4*(0.3164/((General_Model!$E$14*A636*(General_Model!$E$4/1000)/General_Model!$E$15)^0.25))*General_Model!$E$7/(General_Model!$E$4/1000)+2)*(General_Model!$E$26/A636))</f>
        <v>-0.16421415733756617</v>
      </c>
      <c r="C636" s="13">
        <f t="shared" si="9"/>
        <v>0</v>
      </c>
    </row>
    <row r="637" spans="1:3" x14ac:dyDescent="0.25">
      <c r="A637" s="11">
        <v>0.63500000000000001</v>
      </c>
      <c r="B637" s="12">
        <f>(General_Model!$E$6/General_Model!$E$7)-1/(1+General_Model!$E$26/((1.2+0.2*(General_Model!$E$26/A637)+0.35*SQRT(9.80665*(General_Model!$E$4/1000))/A637)*A637))-(A637^2/(2*9.80665*General_Model!$E$7))*((4*(0.3164/((General_Model!$E$14*A637*(General_Model!$E$4/1000)/General_Model!$E$15)^0.25))*General_Model!$E$7/(General_Model!$E$4/1000)+1)+(4*(0.3164/((General_Model!$E$14*A637*(General_Model!$E$4/1000)/General_Model!$E$15)^0.25))*General_Model!$E$7/(General_Model!$E$4/1000)+2)*(General_Model!$E$26/A637))</f>
        <v>-0.16466797484710083</v>
      </c>
      <c r="C637" s="13">
        <f t="shared" si="9"/>
        <v>0</v>
      </c>
    </row>
    <row r="638" spans="1:3" x14ac:dyDescent="0.25">
      <c r="A638" s="11">
        <v>0.63600000000000001</v>
      </c>
      <c r="B638" s="12">
        <f>(General_Model!$E$6/General_Model!$E$7)-1/(1+General_Model!$E$26/((1.2+0.2*(General_Model!$E$26/A638)+0.35*SQRT(9.80665*(General_Model!$E$4/1000))/A638)*A638))-(A638^2/(2*9.80665*General_Model!$E$7))*((4*(0.3164/((General_Model!$E$14*A638*(General_Model!$E$4/1000)/General_Model!$E$15)^0.25))*General_Model!$E$7/(General_Model!$E$4/1000)+1)+(4*(0.3164/((General_Model!$E$14*A638*(General_Model!$E$4/1000)/General_Model!$E$15)^0.25))*General_Model!$E$7/(General_Model!$E$4/1000)+2)*(General_Model!$E$26/A638))</f>
        <v>-0.16512165548988367</v>
      </c>
      <c r="C638" s="13">
        <f t="shared" si="9"/>
        <v>0</v>
      </c>
    </row>
    <row r="639" spans="1:3" x14ac:dyDescent="0.25">
      <c r="A639" s="11">
        <v>0.63700000000000001</v>
      </c>
      <c r="B639" s="12">
        <f>(General_Model!$E$6/General_Model!$E$7)-1/(1+General_Model!$E$26/((1.2+0.2*(General_Model!$E$26/A639)+0.35*SQRT(9.80665*(General_Model!$E$4/1000))/A639)*A639))-(A639^2/(2*9.80665*General_Model!$E$7))*((4*(0.3164/((General_Model!$E$14*A639*(General_Model!$E$4/1000)/General_Model!$E$15)^0.25))*General_Model!$E$7/(General_Model!$E$4/1000)+1)+(4*(0.3164/((General_Model!$E$14*A639*(General_Model!$E$4/1000)/General_Model!$E$15)^0.25))*General_Model!$E$7/(General_Model!$E$4/1000)+2)*(General_Model!$E$26/A639))</f>
        <v>-0.16557519987217789</v>
      </c>
      <c r="C639" s="13">
        <f t="shared" si="9"/>
        <v>0</v>
      </c>
    </row>
    <row r="640" spans="1:3" x14ac:dyDescent="0.25">
      <c r="A640" s="11">
        <v>0.63800000000000001</v>
      </c>
      <c r="B640" s="12">
        <f>(General_Model!$E$6/General_Model!$E$7)-1/(1+General_Model!$E$26/((1.2+0.2*(General_Model!$E$26/A640)+0.35*SQRT(9.80665*(General_Model!$E$4/1000))/A640)*A640))-(A640^2/(2*9.80665*General_Model!$E$7))*((4*(0.3164/((General_Model!$E$14*A640*(General_Model!$E$4/1000)/General_Model!$E$15)^0.25))*General_Model!$E$7/(General_Model!$E$4/1000)+1)+(4*(0.3164/((General_Model!$E$14*A640*(General_Model!$E$4/1000)/General_Model!$E$15)^0.25))*General_Model!$E$7/(General_Model!$E$4/1000)+2)*(General_Model!$E$26/A640))</f>
        <v>-0.16602860859858759</v>
      </c>
      <c r="C640" s="13">
        <f t="shared" si="9"/>
        <v>0</v>
      </c>
    </row>
    <row r="641" spans="1:3" x14ac:dyDescent="0.25">
      <c r="A641" s="11">
        <v>0.63900000000000001</v>
      </c>
      <c r="B641" s="12">
        <f>(General_Model!$E$6/General_Model!$E$7)-1/(1+General_Model!$E$26/((1.2+0.2*(General_Model!$E$26/A641)+0.35*SQRT(9.80665*(General_Model!$E$4/1000))/A641)*A641))-(A641^2/(2*9.80665*General_Model!$E$7))*((4*(0.3164/((General_Model!$E$14*A641*(General_Model!$E$4/1000)/General_Model!$E$15)^0.25))*General_Model!$E$7/(General_Model!$E$4/1000)+1)+(4*(0.3164/((General_Model!$E$14*A641*(General_Model!$E$4/1000)/General_Model!$E$15)^0.25))*General_Model!$E$7/(General_Model!$E$4/1000)+2)*(General_Model!$E$26/A641))</f>
        <v>-0.16648188227206451</v>
      </c>
      <c r="C641" s="13">
        <f t="shared" si="9"/>
        <v>0</v>
      </c>
    </row>
    <row r="642" spans="1:3" x14ac:dyDescent="0.25">
      <c r="A642" s="11">
        <v>0.64</v>
      </c>
      <c r="B642" s="12">
        <f>(General_Model!$E$6/General_Model!$E$7)-1/(1+General_Model!$E$26/((1.2+0.2*(General_Model!$E$26/A642)+0.35*SQRT(9.80665*(General_Model!$E$4/1000))/A642)*A642))-(A642^2/(2*9.80665*General_Model!$E$7))*((4*(0.3164/((General_Model!$E$14*A642*(General_Model!$E$4/1000)/General_Model!$E$15)^0.25))*General_Model!$E$7/(General_Model!$E$4/1000)+1)+(4*(0.3164/((General_Model!$E$14*A642*(General_Model!$E$4/1000)/General_Model!$E$15)^0.25))*General_Model!$E$7/(General_Model!$E$4/1000)+2)*(General_Model!$E$26/A642))</f>
        <v>-0.1669350214939132</v>
      </c>
      <c r="C642" s="13">
        <f t="shared" si="9"/>
        <v>0</v>
      </c>
    </row>
    <row r="643" spans="1:3" x14ac:dyDescent="0.25">
      <c r="A643" s="11">
        <v>0.64100000000000001</v>
      </c>
      <c r="B643" s="12">
        <f>(General_Model!$E$6/General_Model!$E$7)-1/(1+General_Model!$E$26/((1.2+0.2*(General_Model!$E$26/A643)+0.35*SQRT(9.80665*(General_Model!$E$4/1000))/A643)*A643))-(A643^2/(2*9.80665*General_Model!$E$7))*((4*(0.3164/((General_Model!$E$14*A643*(General_Model!$E$4/1000)/General_Model!$E$15)^0.25))*General_Model!$E$7/(General_Model!$E$4/1000)+1)+(4*(0.3164/((General_Model!$E$14*A643*(General_Model!$E$4/1000)/General_Model!$E$15)^0.25))*General_Model!$E$7/(General_Model!$E$4/1000)+2)*(General_Model!$E$26/A643))</f>
        <v>-0.16738802686379703</v>
      </c>
      <c r="C643" s="13">
        <f t="shared" ref="C643:C706" si="10">IF(B643*B644&lt;=0,1,0)</f>
        <v>0</v>
      </c>
    </row>
    <row r="644" spans="1:3" x14ac:dyDescent="0.25">
      <c r="A644" s="11">
        <v>0.64200000000000002</v>
      </c>
      <c r="B644" s="12">
        <f>(General_Model!$E$6/General_Model!$E$7)-1/(1+General_Model!$E$26/((1.2+0.2*(General_Model!$E$26/A644)+0.35*SQRT(9.80665*(General_Model!$E$4/1000))/A644)*A644))-(A644^2/(2*9.80665*General_Model!$E$7))*((4*(0.3164/((General_Model!$E$14*A644*(General_Model!$E$4/1000)/General_Model!$E$15)^0.25))*General_Model!$E$7/(General_Model!$E$4/1000)+1)+(4*(0.3164/((General_Model!$E$14*A644*(General_Model!$E$4/1000)/General_Model!$E$15)^0.25))*General_Model!$E$7/(General_Model!$E$4/1000)+2)*(General_Model!$E$26/A644))</f>
        <v>-0.16784089897974286</v>
      </c>
      <c r="C644" s="13">
        <f t="shared" si="10"/>
        <v>0</v>
      </c>
    </row>
    <row r="645" spans="1:3" x14ac:dyDescent="0.25">
      <c r="A645" s="11">
        <v>0.64300000000000002</v>
      </c>
      <c r="B645" s="12">
        <f>(General_Model!$E$6/General_Model!$E$7)-1/(1+General_Model!$E$26/((1.2+0.2*(General_Model!$E$26/A645)+0.35*SQRT(9.80665*(General_Model!$E$4/1000))/A645)*A645))-(A645^2/(2*9.80665*General_Model!$E$7))*((4*(0.3164/((General_Model!$E$14*A645*(General_Model!$E$4/1000)/General_Model!$E$15)^0.25))*General_Model!$E$7/(General_Model!$E$4/1000)+1)+(4*(0.3164/((General_Model!$E$14*A645*(General_Model!$E$4/1000)/General_Model!$E$15)^0.25))*General_Model!$E$7/(General_Model!$E$4/1000)+2)*(General_Model!$E$26/A645))</f>
        <v>-0.16829363843814776</v>
      </c>
      <c r="C645" s="13">
        <f t="shared" si="10"/>
        <v>0</v>
      </c>
    </row>
    <row r="646" spans="1:3" x14ac:dyDescent="0.25">
      <c r="A646" s="11">
        <v>0.64400000000000002</v>
      </c>
      <c r="B646" s="12">
        <f>(General_Model!$E$6/General_Model!$E$7)-1/(1+General_Model!$E$26/((1.2+0.2*(General_Model!$E$26/A646)+0.35*SQRT(9.80665*(General_Model!$E$4/1000))/A646)*A646))-(A646^2/(2*9.80665*General_Model!$E$7))*((4*(0.3164/((General_Model!$E$14*A646*(General_Model!$E$4/1000)/General_Model!$E$15)^0.25))*General_Model!$E$7/(General_Model!$E$4/1000)+1)+(4*(0.3164/((General_Model!$E$14*A646*(General_Model!$E$4/1000)/General_Model!$E$15)^0.25))*General_Model!$E$7/(General_Model!$E$4/1000)+2)*(General_Model!$E$26/A646))</f>
        <v>-0.16874624583378356</v>
      </c>
      <c r="C646" s="13">
        <f t="shared" si="10"/>
        <v>0</v>
      </c>
    </row>
    <row r="647" spans="1:3" x14ac:dyDescent="0.25">
      <c r="A647" s="11">
        <v>0.64500000000000002</v>
      </c>
      <c r="B647" s="12">
        <f>(General_Model!$E$6/General_Model!$E$7)-1/(1+General_Model!$E$26/((1.2+0.2*(General_Model!$E$26/A647)+0.35*SQRT(9.80665*(General_Model!$E$4/1000))/A647)*A647))-(A647^2/(2*9.80665*General_Model!$E$7))*((4*(0.3164/((General_Model!$E$14*A647*(General_Model!$E$4/1000)/General_Model!$E$15)^0.25))*General_Model!$E$7/(General_Model!$E$4/1000)+1)+(4*(0.3164/((General_Model!$E$14*A647*(General_Model!$E$4/1000)/General_Model!$E$15)^0.25))*General_Model!$E$7/(General_Model!$E$4/1000)+2)*(General_Model!$E$26/A647))</f>
        <v>-0.16919872175980322</v>
      </c>
      <c r="C647" s="13">
        <f t="shared" si="10"/>
        <v>0</v>
      </c>
    </row>
    <row r="648" spans="1:3" x14ac:dyDescent="0.25">
      <c r="A648" s="11">
        <v>0.64600000000000002</v>
      </c>
      <c r="B648" s="12">
        <f>(General_Model!$E$6/General_Model!$E$7)-1/(1+General_Model!$E$26/((1.2+0.2*(General_Model!$E$26/A648)+0.35*SQRT(9.80665*(General_Model!$E$4/1000))/A648)*A648))-(A648^2/(2*9.80665*General_Model!$E$7))*((4*(0.3164/((General_Model!$E$14*A648*(General_Model!$E$4/1000)/General_Model!$E$15)^0.25))*General_Model!$E$7/(General_Model!$E$4/1000)+1)+(4*(0.3164/((General_Model!$E$14*A648*(General_Model!$E$4/1000)/General_Model!$E$15)^0.25))*General_Model!$E$7/(General_Model!$E$4/1000)+2)*(General_Model!$E$26/A648))</f>
        <v>-0.16965106680774533</v>
      </c>
      <c r="C648" s="13">
        <f t="shared" si="10"/>
        <v>0</v>
      </c>
    </row>
    <row r="649" spans="1:3" x14ac:dyDescent="0.25">
      <c r="A649" s="11">
        <v>0.64700000000000002</v>
      </c>
      <c r="B649" s="12">
        <f>(General_Model!$E$6/General_Model!$E$7)-1/(1+General_Model!$E$26/((1.2+0.2*(General_Model!$E$26/A649)+0.35*SQRT(9.80665*(General_Model!$E$4/1000))/A649)*A649))-(A649^2/(2*9.80665*General_Model!$E$7))*((4*(0.3164/((General_Model!$E$14*A649*(General_Model!$E$4/1000)/General_Model!$E$15)^0.25))*General_Model!$E$7/(General_Model!$E$4/1000)+1)+(4*(0.3164/((General_Model!$E$14*A649*(General_Model!$E$4/1000)/General_Model!$E$15)^0.25))*General_Model!$E$7/(General_Model!$E$4/1000)+2)*(General_Model!$E$26/A649))</f>
        <v>-0.17010328156754057</v>
      </c>
      <c r="C649" s="13">
        <f t="shared" si="10"/>
        <v>0</v>
      </c>
    </row>
    <row r="650" spans="1:3" x14ac:dyDescent="0.25">
      <c r="A650" s="11">
        <v>0.64800000000000002</v>
      </c>
      <c r="B650" s="12">
        <f>(General_Model!$E$6/General_Model!$E$7)-1/(1+General_Model!$E$26/((1.2+0.2*(General_Model!$E$26/A650)+0.35*SQRT(9.80665*(General_Model!$E$4/1000))/A650)*A650))-(A650^2/(2*9.80665*General_Model!$E$7))*((4*(0.3164/((General_Model!$E$14*A650*(General_Model!$E$4/1000)/General_Model!$E$15)^0.25))*General_Model!$E$7/(General_Model!$E$4/1000)+1)+(4*(0.3164/((General_Model!$E$14*A650*(General_Model!$E$4/1000)/General_Model!$E$15)^0.25))*General_Model!$E$7/(General_Model!$E$4/1000)+2)*(General_Model!$E$26/A650))</f>
        <v>-0.17055536662751633</v>
      </c>
      <c r="C650" s="13">
        <f t="shared" si="10"/>
        <v>0</v>
      </c>
    </row>
    <row r="651" spans="1:3" x14ac:dyDescent="0.25">
      <c r="A651" s="11">
        <v>0.64900000000000002</v>
      </c>
      <c r="B651" s="12">
        <f>(General_Model!$E$6/General_Model!$E$7)-1/(1+General_Model!$E$26/((1.2+0.2*(General_Model!$E$26/A651)+0.35*SQRT(9.80665*(General_Model!$E$4/1000))/A651)*A651))-(A651^2/(2*9.80665*General_Model!$E$7))*((4*(0.3164/((General_Model!$E$14*A651*(General_Model!$E$4/1000)/General_Model!$E$15)^0.25))*General_Model!$E$7/(General_Model!$E$4/1000)+1)+(4*(0.3164/((General_Model!$E$14*A651*(General_Model!$E$4/1000)/General_Model!$E$15)^0.25))*General_Model!$E$7/(General_Model!$E$4/1000)+2)*(General_Model!$E$26/A651))</f>
        <v>-0.17100732257440307</v>
      </c>
      <c r="C651" s="13">
        <f t="shared" si="10"/>
        <v>0</v>
      </c>
    </row>
    <row r="652" spans="1:3" x14ac:dyDescent="0.25">
      <c r="A652" s="11">
        <v>0.65</v>
      </c>
      <c r="B652" s="12">
        <f>(General_Model!$E$6/General_Model!$E$7)-1/(1+General_Model!$E$26/((1.2+0.2*(General_Model!$E$26/A652)+0.35*SQRT(9.80665*(General_Model!$E$4/1000))/A652)*A652))-(A652^2/(2*9.80665*General_Model!$E$7))*((4*(0.3164/((General_Model!$E$14*A652*(General_Model!$E$4/1000)/General_Model!$E$15)^0.25))*General_Model!$E$7/(General_Model!$E$4/1000)+1)+(4*(0.3164/((General_Model!$E$14*A652*(General_Model!$E$4/1000)/General_Model!$E$15)^0.25))*General_Model!$E$7/(General_Model!$E$4/1000)+2)*(General_Model!$E$26/A652))</f>
        <v>-0.17145914999333867</v>
      </c>
      <c r="C652" s="13">
        <f t="shared" si="10"/>
        <v>0</v>
      </c>
    </row>
    <row r="653" spans="1:3" x14ac:dyDescent="0.25">
      <c r="A653" s="11">
        <v>0.65100000000000002</v>
      </c>
      <c r="B653" s="12">
        <f>(General_Model!$E$6/General_Model!$E$7)-1/(1+General_Model!$E$26/((1.2+0.2*(General_Model!$E$26/A653)+0.35*SQRT(9.80665*(General_Model!$E$4/1000))/A653)*A653))-(A653^2/(2*9.80665*General_Model!$E$7))*((4*(0.3164/((General_Model!$E$14*A653*(General_Model!$E$4/1000)/General_Model!$E$15)^0.25))*General_Model!$E$7/(General_Model!$E$4/1000)+1)+(4*(0.3164/((General_Model!$E$14*A653*(General_Model!$E$4/1000)/General_Model!$E$15)^0.25))*General_Model!$E$7/(General_Model!$E$4/1000)+2)*(General_Model!$E$26/A653))</f>
        <v>-0.17191084946787449</v>
      </c>
      <c r="C653" s="13">
        <f t="shared" si="10"/>
        <v>0</v>
      </c>
    </row>
    <row r="654" spans="1:3" x14ac:dyDescent="0.25">
      <c r="A654" s="11">
        <v>0.65200000000000002</v>
      </c>
      <c r="B654" s="12">
        <f>(General_Model!$E$6/General_Model!$E$7)-1/(1+General_Model!$E$26/((1.2+0.2*(General_Model!$E$26/A654)+0.35*SQRT(9.80665*(General_Model!$E$4/1000))/A654)*A654))-(A654^2/(2*9.80665*General_Model!$E$7))*((4*(0.3164/((General_Model!$E$14*A654*(General_Model!$E$4/1000)/General_Model!$E$15)^0.25))*General_Model!$E$7/(General_Model!$E$4/1000)+1)+(4*(0.3164/((General_Model!$E$14*A654*(General_Model!$E$4/1000)/General_Model!$E$15)^0.25))*General_Model!$E$7/(General_Model!$E$4/1000)+2)*(General_Model!$E$26/A654))</f>
        <v>-0.17236242157998038</v>
      </c>
      <c r="C654" s="13">
        <f t="shared" si="10"/>
        <v>0</v>
      </c>
    </row>
    <row r="655" spans="1:3" x14ac:dyDescent="0.25">
      <c r="A655" s="11">
        <v>0.65300000000000002</v>
      </c>
      <c r="B655" s="12">
        <f>(General_Model!$E$6/General_Model!$E$7)-1/(1+General_Model!$E$26/((1.2+0.2*(General_Model!$E$26/A655)+0.35*SQRT(9.80665*(General_Model!$E$4/1000))/A655)*A655))-(A655^2/(2*9.80665*General_Model!$E$7))*((4*(0.3164/((General_Model!$E$14*A655*(General_Model!$E$4/1000)/General_Model!$E$15)^0.25))*General_Model!$E$7/(General_Model!$E$4/1000)+1)+(4*(0.3164/((General_Model!$E$14*A655*(General_Model!$E$4/1000)/General_Model!$E$15)^0.25))*General_Model!$E$7/(General_Model!$E$4/1000)+2)*(General_Model!$E$26/A655))</f>
        <v>-0.17281386691005046</v>
      </c>
      <c r="C655" s="13">
        <f t="shared" si="10"/>
        <v>0</v>
      </c>
    </row>
    <row r="656" spans="1:3" x14ac:dyDescent="0.25">
      <c r="A656" s="11">
        <v>0.65400000000000003</v>
      </c>
      <c r="B656" s="12">
        <f>(General_Model!$E$6/General_Model!$E$7)-1/(1+General_Model!$E$26/((1.2+0.2*(General_Model!$E$26/A656)+0.35*SQRT(9.80665*(General_Model!$E$4/1000))/A656)*A656))-(A656^2/(2*9.80665*General_Model!$E$7))*((4*(0.3164/((General_Model!$E$14*A656*(General_Model!$E$4/1000)/General_Model!$E$15)^0.25))*General_Model!$E$7/(General_Model!$E$4/1000)+1)+(4*(0.3164/((General_Model!$E$14*A656*(General_Model!$E$4/1000)/General_Model!$E$15)^0.25))*General_Model!$E$7/(General_Model!$E$4/1000)+2)*(General_Model!$E$26/A656))</f>
        <v>-0.17326518603690771</v>
      </c>
      <c r="C656" s="13">
        <f t="shared" si="10"/>
        <v>0</v>
      </c>
    </row>
    <row r="657" spans="1:3" x14ac:dyDescent="0.25">
      <c r="A657" s="11">
        <v>0.65500000000000003</v>
      </c>
      <c r="B657" s="12">
        <f>(General_Model!$E$6/General_Model!$E$7)-1/(1+General_Model!$E$26/((1.2+0.2*(General_Model!$E$26/A657)+0.35*SQRT(9.80665*(General_Model!$E$4/1000))/A657)*A657))-(A657^2/(2*9.80665*General_Model!$E$7))*((4*(0.3164/((General_Model!$E$14*A657*(General_Model!$E$4/1000)/General_Model!$E$15)^0.25))*General_Model!$E$7/(General_Model!$E$4/1000)+1)+(4*(0.3164/((General_Model!$E$14*A657*(General_Model!$E$4/1000)/General_Model!$E$15)^0.25))*General_Model!$E$7/(General_Model!$E$4/1000)+2)*(General_Model!$E$26/A657))</f>
        <v>-0.17371637953781</v>
      </c>
      <c r="C657" s="13">
        <f t="shared" si="10"/>
        <v>0</v>
      </c>
    </row>
    <row r="658" spans="1:3" x14ac:dyDescent="0.25">
      <c r="A658" s="11">
        <v>0.65600000000000003</v>
      </c>
      <c r="B658" s="12">
        <f>(General_Model!$E$6/General_Model!$E$7)-1/(1+General_Model!$E$26/((1.2+0.2*(General_Model!$E$26/A658)+0.35*SQRT(9.80665*(General_Model!$E$4/1000))/A658)*A658))-(A658^2/(2*9.80665*General_Model!$E$7))*((4*(0.3164/((General_Model!$E$14*A658*(General_Model!$E$4/1000)/General_Model!$E$15)^0.25))*General_Model!$E$7/(General_Model!$E$4/1000)+1)+(4*(0.3164/((General_Model!$E$14*A658*(General_Model!$E$4/1000)/General_Model!$E$15)^0.25))*General_Model!$E$7/(General_Model!$E$4/1000)+2)*(General_Model!$E$26/A658))</f>
        <v>-0.17416744798845504</v>
      </c>
      <c r="C658" s="13">
        <f t="shared" si="10"/>
        <v>0</v>
      </c>
    </row>
    <row r="659" spans="1:3" x14ac:dyDescent="0.25">
      <c r="A659" s="11">
        <v>0.65700000000000003</v>
      </c>
      <c r="B659" s="12">
        <f>(General_Model!$E$6/General_Model!$E$7)-1/(1+General_Model!$E$26/((1.2+0.2*(General_Model!$E$26/A659)+0.35*SQRT(9.80665*(General_Model!$E$4/1000))/A659)*A659))-(A659^2/(2*9.80665*General_Model!$E$7))*((4*(0.3164/((General_Model!$E$14*A659*(General_Model!$E$4/1000)/General_Model!$E$15)^0.25))*General_Model!$E$7/(General_Model!$E$4/1000)+1)+(4*(0.3164/((General_Model!$E$14*A659*(General_Model!$E$4/1000)/General_Model!$E$15)^0.25))*General_Model!$E$7/(General_Model!$E$4/1000)+2)*(General_Model!$E$26/A659))</f>
        <v>-0.17461839196298551</v>
      </c>
      <c r="C659" s="13">
        <f t="shared" si="10"/>
        <v>0</v>
      </c>
    </row>
    <row r="660" spans="1:3" x14ac:dyDescent="0.25">
      <c r="A660" s="11">
        <v>0.65800000000000003</v>
      </c>
      <c r="B660" s="12">
        <f>(General_Model!$E$6/General_Model!$E$7)-1/(1+General_Model!$E$26/((1.2+0.2*(General_Model!$E$26/A660)+0.35*SQRT(9.80665*(General_Model!$E$4/1000))/A660)*A660))-(A660^2/(2*9.80665*General_Model!$E$7))*((4*(0.3164/((General_Model!$E$14*A660*(General_Model!$E$4/1000)/General_Model!$E$15)^0.25))*General_Model!$E$7/(General_Model!$E$4/1000)+1)+(4*(0.3164/((General_Model!$E$14*A660*(General_Model!$E$4/1000)/General_Model!$E$15)^0.25))*General_Model!$E$7/(General_Model!$E$4/1000)+2)*(General_Model!$E$26/A660))</f>
        <v>-0.17506921203399445</v>
      </c>
      <c r="C660" s="13">
        <f t="shared" si="10"/>
        <v>0</v>
      </c>
    </row>
    <row r="661" spans="1:3" x14ac:dyDescent="0.25">
      <c r="A661" s="11">
        <v>0.65900000000000003</v>
      </c>
      <c r="B661" s="12">
        <f>(General_Model!$E$6/General_Model!$E$7)-1/(1+General_Model!$E$26/((1.2+0.2*(General_Model!$E$26/A661)+0.35*SQRT(9.80665*(General_Model!$E$4/1000))/A661)*A661))-(A661^2/(2*9.80665*General_Model!$E$7))*((4*(0.3164/((General_Model!$E$14*A661*(General_Model!$E$4/1000)/General_Model!$E$15)^0.25))*General_Model!$E$7/(General_Model!$E$4/1000)+1)+(4*(0.3164/((General_Model!$E$14*A661*(General_Model!$E$4/1000)/General_Model!$E$15)^0.25))*General_Model!$E$7/(General_Model!$E$4/1000)+2)*(General_Model!$E$26/A661))</f>
        <v>-0.17551990877253043</v>
      </c>
      <c r="C661" s="13">
        <f t="shared" si="10"/>
        <v>0</v>
      </c>
    </row>
    <row r="662" spans="1:3" x14ac:dyDescent="0.25">
      <c r="A662" s="11">
        <v>0.66</v>
      </c>
      <c r="B662" s="12">
        <f>(General_Model!$E$6/General_Model!$E$7)-1/(1+General_Model!$E$26/((1.2+0.2*(General_Model!$E$26/A662)+0.35*SQRT(9.80665*(General_Model!$E$4/1000))/A662)*A662))-(A662^2/(2*9.80665*General_Model!$E$7))*((4*(0.3164/((General_Model!$E$14*A662*(General_Model!$E$4/1000)/General_Model!$E$15)^0.25))*General_Model!$E$7/(General_Model!$E$4/1000)+1)+(4*(0.3164/((General_Model!$E$14*A662*(General_Model!$E$4/1000)/General_Model!$E$15)^0.25))*General_Model!$E$7/(General_Model!$E$4/1000)+2)*(General_Model!$E$26/A662))</f>
        <v>-0.17597048274810284</v>
      </c>
      <c r="C662" s="13">
        <f t="shared" si="10"/>
        <v>0</v>
      </c>
    </row>
    <row r="663" spans="1:3" x14ac:dyDescent="0.25">
      <c r="A663" s="11">
        <v>0.66100000000000003</v>
      </c>
      <c r="B663" s="12">
        <f>(General_Model!$E$6/General_Model!$E$7)-1/(1+General_Model!$E$26/((1.2+0.2*(General_Model!$E$26/A663)+0.35*SQRT(9.80665*(General_Model!$E$4/1000))/A663)*A663))-(A663^2/(2*9.80665*General_Model!$E$7))*((4*(0.3164/((General_Model!$E$14*A663*(General_Model!$E$4/1000)/General_Model!$E$15)^0.25))*General_Model!$E$7/(General_Model!$E$4/1000)+1)+(4*(0.3164/((General_Model!$E$14*A663*(General_Model!$E$4/1000)/General_Model!$E$15)^0.25))*General_Model!$E$7/(General_Model!$E$4/1000)+2)*(General_Model!$E$26/A663))</f>
        <v>-0.1764209345286866</v>
      </c>
      <c r="C663" s="13">
        <f t="shared" si="10"/>
        <v>0</v>
      </c>
    </row>
    <row r="664" spans="1:3" x14ac:dyDescent="0.25">
      <c r="A664" s="11">
        <v>0.66200000000000003</v>
      </c>
      <c r="B664" s="12">
        <f>(General_Model!$E$6/General_Model!$E$7)-1/(1+General_Model!$E$26/((1.2+0.2*(General_Model!$E$26/A664)+0.35*SQRT(9.80665*(General_Model!$E$4/1000))/A664)*A664))-(A664^2/(2*9.80665*General_Model!$E$7))*((4*(0.3164/((General_Model!$E$14*A664*(General_Model!$E$4/1000)/General_Model!$E$15)^0.25))*General_Model!$E$7/(General_Model!$E$4/1000)+1)+(4*(0.3164/((General_Model!$E$14*A664*(General_Model!$E$4/1000)/General_Model!$E$15)^0.25))*General_Model!$E$7/(General_Model!$E$4/1000)+2)*(General_Model!$E$26/A664))</f>
        <v>-0.17687126468072795</v>
      </c>
      <c r="C664" s="13">
        <f t="shared" si="10"/>
        <v>0</v>
      </c>
    </row>
    <row r="665" spans="1:3" x14ac:dyDescent="0.25">
      <c r="A665" s="11">
        <v>0.66300000000000003</v>
      </c>
      <c r="B665" s="12">
        <f>(General_Model!$E$6/General_Model!$E$7)-1/(1+General_Model!$E$26/((1.2+0.2*(General_Model!$E$26/A665)+0.35*SQRT(9.80665*(General_Model!$E$4/1000))/A665)*A665))-(A665^2/(2*9.80665*General_Model!$E$7))*((4*(0.3164/((General_Model!$E$14*A665*(General_Model!$E$4/1000)/General_Model!$E$15)^0.25))*General_Model!$E$7/(General_Model!$E$4/1000)+1)+(4*(0.3164/((General_Model!$E$14*A665*(General_Model!$E$4/1000)/General_Model!$E$15)^0.25))*General_Model!$E$7/(General_Model!$E$4/1000)+2)*(General_Model!$E$26/A665))</f>
        <v>-0.17732147376914897</v>
      </c>
      <c r="C665" s="13">
        <f t="shared" si="10"/>
        <v>0</v>
      </c>
    </row>
    <row r="666" spans="1:3" x14ac:dyDescent="0.25">
      <c r="A666" s="11">
        <v>0.66400000000000003</v>
      </c>
      <c r="B666" s="12">
        <f>(General_Model!$E$6/General_Model!$E$7)-1/(1+General_Model!$E$26/((1.2+0.2*(General_Model!$E$26/A666)+0.35*SQRT(9.80665*(General_Model!$E$4/1000))/A666)*A666))-(A666^2/(2*9.80665*General_Model!$E$7))*((4*(0.3164/((General_Model!$E$14*A666*(General_Model!$E$4/1000)/General_Model!$E$15)^0.25))*General_Model!$E$7/(General_Model!$E$4/1000)+1)+(4*(0.3164/((General_Model!$E$14*A666*(General_Model!$E$4/1000)/General_Model!$E$15)^0.25))*General_Model!$E$7/(General_Model!$E$4/1000)+2)*(General_Model!$E$26/A666))</f>
        <v>-0.17777156235735347</v>
      </c>
      <c r="C666" s="13">
        <f t="shared" si="10"/>
        <v>0</v>
      </c>
    </row>
    <row r="667" spans="1:3" x14ac:dyDescent="0.25">
      <c r="A667" s="11">
        <v>0.66500000000000004</v>
      </c>
      <c r="B667" s="12">
        <f>(General_Model!$E$6/General_Model!$E$7)-1/(1+General_Model!$E$26/((1.2+0.2*(General_Model!$E$26/A667)+0.35*SQRT(9.80665*(General_Model!$E$4/1000))/A667)*A667))-(A667^2/(2*9.80665*General_Model!$E$7))*((4*(0.3164/((General_Model!$E$14*A667*(General_Model!$E$4/1000)/General_Model!$E$15)^0.25))*General_Model!$E$7/(General_Model!$E$4/1000)+1)+(4*(0.3164/((General_Model!$E$14*A667*(General_Model!$E$4/1000)/General_Model!$E$15)^0.25))*General_Model!$E$7/(General_Model!$E$4/1000)+2)*(General_Model!$E$26/A667))</f>
        <v>-0.17822153100723093</v>
      </c>
      <c r="C667" s="13">
        <f t="shared" si="10"/>
        <v>0</v>
      </c>
    </row>
    <row r="668" spans="1:3" x14ac:dyDescent="0.25">
      <c r="A668" s="11">
        <v>0.66600000000000004</v>
      </c>
      <c r="B668" s="12">
        <f>(General_Model!$E$6/General_Model!$E$7)-1/(1+General_Model!$E$26/((1.2+0.2*(General_Model!$E$26/A668)+0.35*SQRT(9.80665*(General_Model!$E$4/1000))/A668)*A668))-(A668^2/(2*9.80665*General_Model!$E$7))*((4*(0.3164/((General_Model!$E$14*A668*(General_Model!$E$4/1000)/General_Model!$E$15)^0.25))*General_Model!$E$7/(General_Model!$E$4/1000)+1)+(4*(0.3164/((General_Model!$E$14*A668*(General_Model!$E$4/1000)/General_Model!$E$15)^0.25))*General_Model!$E$7/(General_Model!$E$4/1000)+2)*(General_Model!$E$26/A668))</f>
        <v>-0.17867138027916249</v>
      </c>
      <c r="C668" s="13">
        <f t="shared" si="10"/>
        <v>0</v>
      </c>
    </row>
    <row r="669" spans="1:3" x14ac:dyDescent="0.25">
      <c r="A669" s="11">
        <v>0.66700000000000004</v>
      </c>
      <c r="B669" s="12">
        <f>(General_Model!$E$6/General_Model!$E$7)-1/(1+General_Model!$E$26/((1.2+0.2*(General_Model!$E$26/A669)+0.35*SQRT(9.80665*(General_Model!$E$4/1000))/A669)*A669))-(A669^2/(2*9.80665*General_Model!$E$7))*((4*(0.3164/((General_Model!$E$14*A669*(General_Model!$E$4/1000)/General_Model!$E$15)^0.25))*General_Model!$E$7/(General_Model!$E$4/1000)+1)+(4*(0.3164/((General_Model!$E$14*A669*(General_Model!$E$4/1000)/General_Model!$E$15)^0.25))*General_Model!$E$7/(General_Model!$E$4/1000)+2)*(General_Model!$E$26/A669))</f>
        <v>-0.17912111073202577</v>
      </c>
      <c r="C669" s="13">
        <f t="shared" si="10"/>
        <v>0</v>
      </c>
    </row>
    <row r="670" spans="1:3" x14ac:dyDescent="0.25">
      <c r="A670" s="11">
        <v>0.66800000000000004</v>
      </c>
      <c r="B670" s="12">
        <f>(General_Model!$E$6/General_Model!$E$7)-1/(1+General_Model!$E$26/((1.2+0.2*(General_Model!$E$26/A670)+0.35*SQRT(9.80665*(General_Model!$E$4/1000))/A670)*A670))-(A670^2/(2*9.80665*General_Model!$E$7))*((4*(0.3164/((General_Model!$E$14*A670*(General_Model!$E$4/1000)/General_Model!$E$15)^0.25))*General_Model!$E$7/(General_Model!$E$4/1000)+1)+(4*(0.3164/((General_Model!$E$14*A670*(General_Model!$E$4/1000)/General_Model!$E$15)^0.25))*General_Model!$E$7/(General_Model!$E$4/1000)+2)*(General_Model!$E$26/A670))</f>
        <v>-0.17957072292320006</v>
      </c>
      <c r="C670" s="13">
        <f t="shared" si="10"/>
        <v>0</v>
      </c>
    </row>
    <row r="671" spans="1:3" x14ac:dyDescent="0.25">
      <c r="A671" s="11">
        <v>0.66900000000000004</v>
      </c>
      <c r="B671" s="12">
        <f>(General_Model!$E$6/General_Model!$E$7)-1/(1+General_Model!$E$26/((1.2+0.2*(General_Model!$E$26/A671)+0.35*SQRT(9.80665*(General_Model!$E$4/1000))/A671)*A671))-(A671^2/(2*9.80665*General_Model!$E$7))*((4*(0.3164/((General_Model!$E$14*A671*(General_Model!$E$4/1000)/General_Model!$E$15)^0.25))*General_Model!$E$7/(General_Model!$E$4/1000)+1)+(4*(0.3164/((General_Model!$E$14*A671*(General_Model!$E$4/1000)/General_Model!$E$15)^0.25))*General_Model!$E$7/(General_Model!$E$4/1000)+2)*(General_Model!$E$26/A671))</f>
        <v>-0.1800202174085701</v>
      </c>
      <c r="C671" s="13">
        <f t="shared" si="10"/>
        <v>0</v>
      </c>
    </row>
    <row r="672" spans="1:3" x14ac:dyDescent="0.25">
      <c r="A672" s="11">
        <v>0.67</v>
      </c>
      <c r="B672" s="12">
        <f>(General_Model!$E$6/General_Model!$E$7)-1/(1+General_Model!$E$26/((1.2+0.2*(General_Model!$E$26/A672)+0.35*SQRT(9.80665*(General_Model!$E$4/1000))/A672)*A672))-(A672^2/(2*9.80665*General_Model!$E$7))*((4*(0.3164/((General_Model!$E$14*A672*(General_Model!$E$4/1000)/General_Model!$E$15)^0.25))*General_Model!$E$7/(General_Model!$E$4/1000)+1)+(4*(0.3164/((General_Model!$E$14*A672*(General_Model!$E$4/1000)/General_Model!$E$15)^0.25))*General_Model!$E$7/(General_Model!$E$4/1000)+2)*(General_Model!$E$26/A672))</f>
        <v>-0.18046959474253291</v>
      </c>
      <c r="C672" s="13">
        <f t="shared" si="10"/>
        <v>0</v>
      </c>
    </row>
    <row r="673" spans="1:3" x14ac:dyDescent="0.25">
      <c r="A673" s="11">
        <v>0.67100000000000004</v>
      </c>
      <c r="B673" s="12">
        <f>(General_Model!$E$6/General_Model!$E$7)-1/(1+General_Model!$E$26/((1.2+0.2*(General_Model!$E$26/A673)+0.35*SQRT(9.80665*(General_Model!$E$4/1000))/A673)*A673))-(A673^2/(2*9.80665*General_Model!$E$7))*((4*(0.3164/((General_Model!$E$14*A673*(General_Model!$E$4/1000)/General_Model!$E$15)^0.25))*General_Model!$E$7/(General_Model!$E$4/1000)+1)+(4*(0.3164/((General_Model!$E$14*A673*(General_Model!$E$4/1000)/General_Model!$E$15)^0.25))*General_Model!$E$7/(General_Model!$E$4/1000)+2)*(General_Model!$E$26/A673))</f>
        <v>-0.18091885547800163</v>
      </c>
      <c r="C673" s="13">
        <f t="shared" si="10"/>
        <v>0</v>
      </c>
    </row>
    <row r="674" spans="1:3" x14ac:dyDescent="0.25">
      <c r="A674" s="11">
        <v>0.67200000000000004</v>
      </c>
      <c r="B674" s="12">
        <f>(General_Model!$E$6/General_Model!$E$7)-1/(1+General_Model!$E$26/((1.2+0.2*(General_Model!$E$26/A674)+0.35*SQRT(9.80665*(General_Model!$E$4/1000))/A674)*A674))-(A674^2/(2*9.80665*General_Model!$E$7))*((4*(0.3164/((General_Model!$E$14*A674*(General_Model!$E$4/1000)/General_Model!$E$15)^0.25))*General_Model!$E$7/(General_Model!$E$4/1000)+1)+(4*(0.3164/((General_Model!$E$14*A674*(General_Model!$E$4/1000)/General_Model!$E$15)^0.25))*General_Model!$E$7/(General_Model!$E$4/1000)+2)*(General_Model!$E$26/A674))</f>
        <v>-0.18136800016641028</v>
      </c>
      <c r="C674" s="13">
        <f t="shared" si="10"/>
        <v>0</v>
      </c>
    </row>
    <row r="675" spans="1:3" x14ac:dyDescent="0.25">
      <c r="A675" s="11">
        <v>0.67300000000000004</v>
      </c>
      <c r="B675" s="12">
        <f>(General_Model!$E$6/General_Model!$E$7)-1/(1+General_Model!$E$26/((1.2+0.2*(General_Model!$E$26/A675)+0.35*SQRT(9.80665*(General_Model!$E$4/1000))/A675)*A675))-(A675^2/(2*9.80665*General_Model!$E$7))*((4*(0.3164/((General_Model!$E$14*A675*(General_Model!$E$4/1000)/General_Model!$E$15)^0.25))*General_Model!$E$7/(General_Model!$E$4/1000)+1)+(4*(0.3164/((General_Model!$E$14*A675*(General_Model!$E$4/1000)/General_Model!$E$15)^0.25))*General_Model!$E$7/(General_Model!$E$4/1000)+2)*(General_Model!$E$26/A675))</f>
        <v>-0.18181702935771996</v>
      </c>
      <c r="C675" s="13">
        <f t="shared" si="10"/>
        <v>0</v>
      </c>
    </row>
    <row r="676" spans="1:3" x14ac:dyDescent="0.25">
      <c r="A676" s="11">
        <v>0.67400000000000004</v>
      </c>
      <c r="B676" s="12">
        <f>(General_Model!$E$6/General_Model!$E$7)-1/(1+General_Model!$E$26/((1.2+0.2*(General_Model!$E$26/A676)+0.35*SQRT(9.80665*(General_Model!$E$4/1000))/A676)*A676))-(A676^2/(2*9.80665*General_Model!$E$7))*((4*(0.3164/((General_Model!$E$14*A676*(General_Model!$E$4/1000)/General_Model!$E$15)^0.25))*General_Model!$E$7/(General_Model!$E$4/1000)+1)+(4*(0.3164/((General_Model!$E$14*A676*(General_Model!$E$4/1000)/General_Model!$E$15)^0.25))*General_Model!$E$7/(General_Model!$E$4/1000)+2)*(General_Model!$E$26/A676))</f>
        <v>-0.18226594360042184</v>
      </c>
      <c r="C676" s="13">
        <f t="shared" si="10"/>
        <v>0</v>
      </c>
    </row>
    <row r="677" spans="1:3" x14ac:dyDescent="0.25">
      <c r="A677" s="11">
        <v>0.67500000000000004</v>
      </c>
      <c r="B677" s="12">
        <f>(General_Model!$E$6/General_Model!$E$7)-1/(1+General_Model!$E$26/((1.2+0.2*(General_Model!$E$26/A677)+0.35*SQRT(9.80665*(General_Model!$E$4/1000))/A677)*A677))-(A677^2/(2*9.80665*General_Model!$E$7))*((4*(0.3164/((General_Model!$E$14*A677*(General_Model!$E$4/1000)/General_Model!$E$15)^0.25))*General_Model!$E$7/(General_Model!$E$4/1000)+1)+(4*(0.3164/((General_Model!$E$14*A677*(General_Model!$E$4/1000)/General_Model!$E$15)^0.25))*General_Model!$E$7/(General_Model!$E$4/1000)+2)*(General_Model!$E$26/A677))</f>
        <v>-0.18271474344154387</v>
      </c>
      <c r="C677" s="13">
        <f t="shared" si="10"/>
        <v>0</v>
      </c>
    </row>
    <row r="678" spans="1:3" x14ac:dyDescent="0.25">
      <c r="A678" s="11">
        <v>0.67600000000000005</v>
      </c>
      <c r="B678" s="12">
        <f>(General_Model!$E$6/General_Model!$E$7)-1/(1+General_Model!$E$26/((1.2+0.2*(General_Model!$E$26/A678)+0.35*SQRT(9.80665*(General_Model!$E$4/1000))/A678)*A678))-(A678^2/(2*9.80665*General_Model!$E$7))*((4*(0.3164/((General_Model!$E$14*A678*(General_Model!$E$4/1000)/General_Model!$E$15)^0.25))*General_Model!$E$7/(General_Model!$E$4/1000)+1)+(4*(0.3164/((General_Model!$E$14*A678*(General_Model!$E$4/1000)/General_Model!$E$15)^0.25))*General_Model!$E$7/(General_Model!$E$4/1000)+2)*(General_Model!$E$26/A678))</f>
        <v>-0.18316342942665409</v>
      </c>
      <c r="C678" s="13">
        <f t="shared" si="10"/>
        <v>0</v>
      </c>
    </row>
    <row r="679" spans="1:3" x14ac:dyDescent="0.25">
      <c r="A679" s="11">
        <v>0.67700000000000005</v>
      </c>
      <c r="B679" s="12">
        <f>(General_Model!$E$6/General_Model!$E$7)-1/(1+General_Model!$E$26/((1.2+0.2*(General_Model!$E$26/A679)+0.35*SQRT(9.80665*(General_Model!$E$4/1000))/A679)*A679))-(A679^2/(2*9.80665*General_Model!$E$7))*((4*(0.3164/((General_Model!$E$14*A679*(General_Model!$E$4/1000)/General_Model!$E$15)^0.25))*General_Model!$E$7/(General_Model!$E$4/1000)+1)+(4*(0.3164/((General_Model!$E$14*A679*(General_Model!$E$4/1000)/General_Model!$E$15)^0.25))*General_Model!$E$7/(General_Model!$E$4/1000)+2)*(General_Model!$E$26/A679))</f>
        <v>-0.18361200209986683</v>
      </c>
      <c r="C679" s="13">
        <f t="shared" si="10"/>
        <v>0</v>
      </c>
    </row>
    <row r="680" spans="1:3" x14ac:dyDescent="0.25">
      <c r="A680" s="11">
        <v>0.67800000000000005</v>
      </c>
      <c r="B680" s="12">
        <f>(General_Model!$E$6/General_Model!$E$7)-1/(1+General_Model!$E$26/((1.2+0.2*(General_Model!$E$26/A680)+0.35*SQRT(9.80665*(General_Model!$E$4/1000))/A680)*A680))-(A680^2/(2*9.80665*General_Model!$E$7))*((4*(0.3164/((General_Model!$E$14*A680*(General_Model!$E$4/1000)/General_Model!$E$15)^0.25))*General_Model!$E$7/(General_Model!$E$4/1000)+1)+(4*(0.3164/((General_Model!$E$14*A680*(General_Model!$E$4/1000)/General_Model!$E$15)^0.25))*General_Model!$E$7/(General_Model!$E$4/1000)+2)*(General_Model!$E$26/A680))</f>
        <v>-0.18406046200384663</v>
      </c>
      <c r="C680" s="13">
        <f t="shared" si="10"/>
        <v>0</v>
      </c>
    </row>
    <row r="681" spans="1:3" x14ac:dyDescent="0.25">
      <c r="A681" s="11">
        <v>0.67900000000000005</v>
      </c>
      <c r="B681" s="12">
        <f>(General_Model!$E$6/General_Model!$E$7)-1/(1+General_Model!$E$26/((1.2+0.2*(General_Model!$E$26/A681)+0.35*SQRT(9.80665*(General_Model!$E$4/1000))/A681)*A681))-(A681^2/(2*9.80665*General_Model!$E$7))*((4*(0.3164/((General_Model!$E$14*A681*(General_Model!$E$4/1000)/General_Model!$E$15)^0.25))*General_Model!$E$7/(General_Model!$E$4/1000)+1)+(4*(0.3164/((General_Model!$E$14*A681*(General_Model!$E$4/1000)/General_Model!$E$15)^0.25))*General_Model!$E$7/(General_Model!$E$4/1000)+2)*(General_Model!$E$26/A681))</f>
        <v>-0.18450880967981337</v>
      </c>
      <c r="C681" s="13">
        <f t="shared" si="10"/>
        <v>0</v>
      </c>
    </row>
    <row r="682" spans="1:3" x14ac:dyDescent="0.25">
      <c r="A682" s="11">
        <v>0.68</v>
      </c>
      <c r="B682" s="12">
        <f>(General_Model!$E$6/General_Model!$E$7)-1/(1+General_Model!$E$26/((1.2+0.2*(General_Model!$E$26/A682)+0.35*SQRT(9.80665*(General_Model!$E$4/1000))/A682)*A682))-(A682^2/(2*9.80665*General_Model!$E$7))*((4*(0.3164/((General_Model!$E$14*A682*(General_Model!$E$4/1000)/General_Model!$E$15)^0.25))*General_Model!$E$7/(General_Model!$E$4/1000)+1)+(4*(0.3164/((General_Model!$E$14*A682*(General_Model!$E$4/1000)/General_Model!$E$15)^0.25))*General_Model!$E$7/(General_Model!$E$4/1000)+2)*(General_Model!$E$26/A682))</f>
        <v>-0.18495704566754689</v>
      </c>
      <c r="C682" s="13">
        <f t="shared" si="10"/>
        <v>0</v>
      </c>
    </row>
    <row r="683" spans="1:3" x14ac:dyDescent="0.25">
      <c r="A683" s="11">
        <v>0.68100000000000005</v>
      </c>
      <c r="B683" s="12">
        <f>(General_Model!$E$6/General_Model!$E$7)-1/(1+General_Model!$E$26/((1.2+0.2*(General_Model!$E$26/A683)+0.35*SQRT(9.80665*(General_Model!$E$4/1000))/A683)*A683))-(A683^2/(2*9.80665*General_Model!$E$7))*((4*(0.3164/((General_Model!$E$14*A683*(General_Model!$E$4/1000)/General_Model!$E$15)^0.25))*General_Model!$E$7/(General_Model!$E$4/1000)+1)+(4*(0.3164/((General_Model!$E$14*A683*(General_Model!$E$4/1000)/General_Model!$E$15)^0.25))*General_Model!$E$7/(General_Model!$E$4/1000)+2)*(General_Model!$E$26/A683))</f>
        <v>-0.18540517050539204</v>
      </c>
      <c r="C683" s="13">
        <f t="shared" si="10"/>
        <v>0</v>
      </c>
    </row>
    <row r="684" spans="1:3" x14ac:dyDescent="0.25">
      <c r="A684" s="11">
        <v>0.68200000000000005</v>
      </c>
      <c r="B684" s="12">
        <f>(General_Model!$E$6/General_Model!$E$7)-1/(1+General_Model!$E$26/((1.2+0.2*(General_Model!$E$26/A684)+0.35*SQRT(9.80665*(General_Model!$E$4/1000))/A684)*A684))-(A684^2/(2*9.80665*General_Model!$E$7))*((4*(0.3164/((General_Model!$E$14*A684*(General_Model!$E$4/1000)/General_Model!$E$15)^0.25))*General_Model!$E$7/(General_Model!$E$4/1000)+1)+(4*(0.3164/((General_Model!$E$14*A684*(General_Model!$E$4/1000)/General_Model!$E$15)^0.25))*General_Model!$E$7/(General_Model!$E$4/1000)+2)*(General_Model!$E$26/A684))</f>
        <v>-0.18585318473026297</v>
      </c>
      <c r="C684" s="13">
        <f t="shared" si="10"/>
        <v>0</v>
      </c>
    </row>
    <row r="685" spans="1:3" x14ac:dyDescent="0.25">
      <c r="A685" s="11">
        <v>0.68300000000000005</v>
      </c>
      <c r="B685" s="12">
        <f>(General_Model!$E$6/General_Model!$E$7)-1/(1+General_Model!$E$26/((1.2+0.2*(General_Model!$E$26/A685)+0.35*SQRT(9.80665*(General_Model!$E$4/1000))/A685)*A685))-(A685^2/(2*9.80665*General_Model!$E$7))*((4*(0.3164/((General_Model!$E$14*A685*(General_Model!$E$4/1000)/General_Model!$E$15)^0.25))*General_Model!$E$7/(General_Model!$E$4/1000)+1)+(4*(0.3164/((General_Model!$E$14*A685*(General_Model!$E$4/1000)/General_Model!$E$15)^0.25))*General_Model!$E$7/(General_Model!$E$4/1000)+2)*(General_Model!$E$26/A685))</f>
        <v>-0.18630108887764818</v>
      </c>
      <c r="C685" s="13">
        <f t="shared" si="10"/>
        <v>0</v>
      </c>
    </row>
    <row r="686" spans="1:3" x14ac:dyDescent="0.25">
      <c r="A686" s="11">
        <v>0.68400000000000005</v>
      </c>
      <c r="B686" s="12">
        <f>(General_Model!$E$6/General_Model!$E$7)-1/(1+General_Model!$E$26/((1.2+0.2*(General_Model!$E$26/A686)+0.35*SQRT(9.80665*(General_Model!$E$4/1000))/A686)*A686))-(A686^2/(2*9.80665*General_Model!$E$7))*((4*(0.3164/((General_Model!$E$14*A686*(General_Model!$E$4/1000)/General_Model!$E$15)^0.25))*General_Model!$E$7/(General_Model!$E$4/1000)+1)+(4*(0.3164/((General_Model!$E$14*A686*(General_Model!$E$4/1000)/General_Model!$E$15)^0.25))*General_Model!$E$7/(General_Model!$E$4/1000)+2)*(General_Model!$E$26/A686))</f>
        <v>-0.18674888348161545</v>
      </c>
      <c r="C686" s="13">
        <f t="shared" si="10"/>
        <v>0</v>
      </c>
    </row>
    <row r="687" spans="1:3" x14ac:dyDescent="0.25">
      <c r="A687" s="11">
        <v>0.68500000000000005</v>
      </c>
      <c r="B687" s="12">
        <f>(General_Model!$E$6/General_Model!$E$7)-1/(1+General_Model!$E$26/((1.2+0.2*(General_Model!$E$26/A687)+0.35*SQRT(9.80665*(General_Model!$E$4/1000))/A687)*A687))-(A687^2/(2*9.80665*General_Model!$E$7))*((4*(0.3164/((General_Model!$E$14*A687*(General_Model!$E$4/1000)/General_Model!$E$15)^0.25))*General_Model!$E$7/(General_Model!$E$4/1000)+1)+(4*(0.3164/((General_Model!$E$14*A687*(General_Model!$E$4/1000)/General_Model!$E$15)^0.25))*General_Model!$E$7/(General_Model!$E$4/1000)+2)*(General_Model!$E$26/A687))</f>
        <v>-0.18719656907481597</v>
      </c>
      <c r="C687" s="13">
        <f t="shared" si="10"/>
        <v>0</v>
      </c>
    </row>
    <row r="688" spans="1:3" x14ac:dyDescent="0.25">
      <c r="A688" s="11">
        <v>0.68600000000000005</v>
      </c>
      <c r="B688" s="12">
        <f>(General_Model!$E$6/General_Model!$E$7)-1/(1+General_Model!$E$26/((1.2+0.2*(General_Model!$E$26/A688)+0.35*SQRT(9.80665*(General_Model!$E$4/1000))/A688)*A688))-(A688^2/(2*9.80665*General_Model!$E$7))*((4*(0.3164/((General_Model!$E$14*A688*(General_Model!$E$4/1000)/General_Model!$E$15)^0.25))*General_Model!$E$7/(General_Model!$E$4/1000)+1)+(4*(0.3164/((General_Model!$E$14*A688*(General_Model!$E$4/1000)/General_Model!$E$15)^0.25))*General_Model!$E$7/(General_Model!$E$4/1000)+2)*(General_Model!$E$26/A688))</f>
        <v>-0.18764414618848912</v>
      </c>
      <c r="C688" s="13">
        <f t="shared" si="10"/>
        <v>0</v>
      </c>
    </row>
    <row r="689" spans="1:3" x14ac:dyDescent="0.25">
      <c r="A689" s="11">
        <v>0.68700000000000006</v>
      </c>
      <c r="B689" s="12">
        <f>(General_Model!$E$6/General_Model!$E$7)-1/(1+General_Model!$E$26/((1.2+0.2*(General_Model!$E$26/A689)+0.35*SQRT(9.80665*(General_Model!$E$4/1000))/A689)*A689))-(A689^2/(2*9.80665*General_Model!$E$7))*((4*(0.3164/((General_Model!$E$14*A689*(General_Model!$E$4/1000)/General_Model!$E$15)^0.25))*General_Model!$E$7/(General_Model!$E$4/1000)+1)+(4*(0.3164/((General_Model!$E$14*A689*(General_Model!$E$4/1000)/General_Model!$E$15)^0.25))*General_Model!$E$7/(General_Model!$E$4/1000)+2)*(General_Model!$E$26/A689))</f>
        <v>-0.18809161535246771</v>
      </c>
      <c r="C689" s="13">
        <f t="shared" si="10"/>
        <v>0</v>
      </c>
    </row>
    <row r="690" spans="1:3" x14ac:dyDescent="0.25">
      <c r="A690" s="11">
        <v>0.68800000000000006</v>
      </c>
      <c r="B690" s="12">
        <f>(General_Model!$E$6/General_Model!$E$7)-1/(1+General_Model!$E$26/((1.2+0.2*(General_Model!$E$26/A690)+0.35*SQRT(9.80665*(General_Model!$E$4/1000))/A690)*A690))-(A690^2/(2*9.80665*General_Model!$E$7))*((4*(0.3164/((General_Model!$E$14*A690*(General_Model!$E$4/1000)/General_Model!$E$15)^0.25))*General_Model!$E$7/(General_Model!$E$4/1000)+1)+(4*(0.3164/((General_Model!$E$14*A690*(General_Model!$E$4/1000)/General_Model!$E$15)^0.25))*General_Model!$E$7/(General_Model!$E$4/1000)+2)*(General_Model!$E$26/A690))</f>
        <v>-0.18853897709518164</v>
      </c>
      <c r="C690" s="13">
        <f t="shared" si="10"/>
        <v>0</v>
      </c>
    </row>
    <row r="691" spans="1:3" x14ac:dyDescent="0.25">
      <c r="A691" s="11">
        <v>0.68900000000000006</v>
      </c>
      <c r="B691" s="12">
        <f>(General_Model!$E$6/General_Model!$E$7)-1/(1+General_Model!$E$26/((1.2+0.2*(General_Model!$E$26/A691)+0.35*SQRT(9.80665*(General_Model!$E$4/1000))/A691)*A691))-(A691^2/(2*9.80665*General_Model!$E$7))*((4*(0.3164/((General_Model!$E$14*A691*(General_Model!$E$4/1000)/General_Model!$E$15)^0.25))*General_Model!$E$7/(General_Model!$E$4/1000)+1)+(4*(0.3164/((General_Model!$E$14*A691*(General_Model!$E$4/1000)/General_Model!$E$15)^0.25))*General_Model!$E$7/(General_Model!$E$4/1000)+2)*(General_Model!$E$26/A691))</f>
        <v>-0.18898623194366351</v>
      </c>
      <c r="C691" s="13">
        <f t="shared" si="10"/>
        <v>0</v>
      </c>
    </row>
    <row r="692" spans="1:3" x14ac:dyDescent="0.25">
      <c r="A692" s="11">
        <v>0.69000000000000006</v>
      </c>
      <c r="B692" s="12">
        <f>(General_Model!$E$6/General_Model!$E$7)-1/(1+General_Model!$E$26/((1.2+0.2*(General_Model!$E$26/A692)+0.35*SQRT(9.80665*(General_Model!$E$4/1000))/A692)*A692))-(A692^2/(2*9.80665*General_Model!$E$7))*((4*(0.3164/((General_Model!$E$14*A692*(General_Model!$E$4/1000)/General_Model!$E$15)^0.25))*General_Model!$E$7/(General_Model!$E$4/1000)+1)+(4*(0.3164/((General_Model!$E$14*A692*(General_Model!$E$4/1000)/General_Model!$E$15)^0.25))*General_Model!$E$7/(General_Model!$E$4/1000)+2)*(General_Model!$E$26/A692))</f>
        <v>-0.18943338042355246</v>
      </c>
      <c r="C692" s="13">
        <f t="shared" si="10"/>
        <v>0</v>
      </c>
    </row>
    <row r="693" spans="1:3" x14ac:dyDescent="0.25">
      <c r="A693" s="11">
        <v>0.69100000000000006</v>
      </c>
      <c r="B693" s="12">
        <f>(General_Model!$E$6/General_Model!$E$7)-1/(1+General_Model!$E$26/((1.2+0.2*(General_Model!$E$26/A693)+0.35*SQRT(9.80665*(General_Model!$E$4/1000))/A693)*A693))-(A693^2/(2*9.80665*General_Model!$E$7))*((4*(0.3164/((General_Model!$E$14*A693*(General_Model!$E$4/1000)/General_Model!$E$15)^0.25))*General_Model!$E$7/(General_Model!$E$4/1000)+1)+(4*(0.3164/((General_Model!$E$14*A693*(General_Model!$E$4/1000)/General_Model!$E$15)^0.25))*General_Model!$E$7/(General_Model!$E$4/1000)+2)*(General_Model!$E$26/A693))</f>
        <v>-0.18988042305909919</v>
      </c>
      <c r="C693" s="13">
        <f t="shared" si="10"/>
        <v>0</v>
      </c>
    </row>
    <row r="694" spans="1:3" x14ac:dyDescent="0.25">
      <c r="A694" s="11">
        <v>0.69200000000000006</v>
      </c>
      <c r="B694" s="12">
        <f>(General_Model!$E$6/General_Model!$E$7)-1/(1+General_Model!$E$26/((1.2+0.2*(General_Model!$E$26/A694)+0.35*SQRT(9.80665*(General_Model!$E$4/1000))/A694)*A694))-(A694^2/(2*9.80665*General_Model!$E$7))*((4*(0.3164/((General_Model!$E$14*A694*(General_Model!$E$4/1000)/General_Model!$E$15)^0.25))*General_Model!$E$7/(General_Model!$E$4/1000)+1)+(4*(0.3164/((General_Model!$E$14*A694*(General_Model!$E$4/1000)/General_Model!$E$15)^0.25))*General_Model!$E$7/(General_Model!$E$4/1000)+2)*(General_Model!$E$26/A694))</f>
        <v>-0.19032736037317011</v>
      </c>
      <c r="C694" s="13">
        <f t="shared" si="10"/>
        <v>0</v>
      </c>
    </row>
    <row r="695" spans="1:3" x14ac:dyDescent="0.25">
      <c r="A695" s="11">
        <v>0.69300000000000006</v>
      </c>
      <c r="B695" s="12">
        <f>(General_Model!$E$6/General_Model!$E$7)-1/(1+General_Model!$E$26/((1.2+0.2*(General_Model!$E$26/A695)+0.35*SQRT(9.80665*(General_Model!$E$4/1000))/A695)*A695))-(A695^2/(2*9.80665*General_Model!$E$7))*((4*(0.3164/((General_Model!$E$14*A695*(General_Model!$E$4/1000)/General_Model!$E$15)^0.25))*General_Model!$E$7/(General_Model!$E$4/1000)+1)+(4*(0.3164/((General_Model!$E$14*A695*(General_Model!$E$4/1000)/General_Model!$E$15)^0.25))*General_Model!$E$7/(General_Model!$E$4/1000)+2)*(General_Model!$E$26/A695))</f>
        <v>-0.19077419288725228</v>
      </c>
      <c r="C695" s="13">
        <f t="shared" si="10"/>
        <v>0</v>
      </c>
    </row>
    <row r="696" spans="1:3" x14ac:dyDescent="0.25">
      <c r="A696" s="11">
        <v>0.69400000000000006</v>
      </c>
      <c r="B696" s="12">
        <f>(General_Model!$E$6/General_Model!$E$7)-1/(1+General_Model!$E$26/((1.2+0.2*(General_Model!$E$26/A696)+0.35*SQRT(9.80665*(General_Model!$E$4/1000))/A696)*A696))-(A696^2/(2*9.80665*General_Model!$E$7))*((4*(0.3164/((General_Model!$E$14*A696*(General_Model!$E$4/1000)/General_Model!$E$15)^0.25))*General_Model!$E$7/(General_Model!$E$4/1000)+1)+(4*(0.3164/((General_Model!$E$14*A696*(General_Model!$E$4/1000)/General_Model!$E$15)^0.25))*General_Model!$E$7/(General_Model!$E$4/1000)+2)*(General_Model!$E$26/A696))</f>
        <v>-0.19122092112145772</v>
      </c>
      <c r="C696" s="13">
        <f t="shared" si="10"/>
        <v>0</v>
      </c>
    </row>
    <row r="697" spans="1:3" x14ac:dyDescent="0.25">
      <c r="A697" s="11">
        <v>0.69500000000000006</v>
      </c>
      <c r="B697" s="12">
        <f>(General_Model!$E$6/General_Model!$E$7)-1/(1+General_Model!$E$26/((1.2+0.2*(General_Model!$E$26/A697)+0.35*SQRT(9.80665*(General_Model!$E$4/1000))/A697)*A697))-(A697^2/(2*9.80665*General_Model!$E$7))*((4*(0.3164/((General_Model!$E$14*A697*(General_Model!$E$4/1000)/General_Model!$E$15)^0.25))*General_Model!$E$7/(General_Model!$E$4/1000)+1)+(4*(0.3164/((General_Model!$E$14*A697*(General_Model!$E$4/1000)/General_Model!$E$15)^0.25))*General_Model!$E$7/(General_Model!$E$4/1000)+2)*(General_Model!$E$26/A697))</f>
        <v>-0.19166754559452814</v>
      </c>
      <c r="C697" s="13">
        <f t="shared" si="10"/>
        <v>0</v>
      </c>
    </row>
    <row r="698" spans="1:3" x14ac:dyDescent="0.25">
      <c r="A698" s="11">
        <v>0.69600000000000006</v>
      </c>
      <c r="B698" s="12">
        <f>(General_Model!$E$6/General_Model!$E$7)-1/(1+General_Model!$E$26/((1.2+0.2*(General_Model!$E$26/A698)+0.35*SQRT(9.80665*(General_Model!$E$4/1000))/A698)*A698))-(A698^2/(2*9.80665*General_Model!$E$7))*((4*(0.3164/((General_Model!$E$14*A698*(General_Model!$E$4/1000)/General_Model!$E$15)^0.25))*General_Model!$E$7/(General_Model!$E$4/1000)+1)+(4*(0.3164/((General_Model!$E$14*A698*(General_Model!$E$4/1000)/General_Model!$E$15)^0.25))*General_Model!$E$7/(General_Model!$E$4/1000)+2)*(General_Model!$E$26/A698))</f>
        <v>-0.19211406682383897</v>
      </c>
      <c r="C698" s="13">
        <f t="shared" si="10"/>
        <v>0</v>
      </c>
    </row>
    <row r="699" spans="1:3" x14ac:dyDescent="0.25">
      <c r="A699" s="11">
        <v>0.69700000000000006</v>
      </c>
      <c r="B699" s="12">
        <f>(General_Model!$E$6/General_Model!$E$7)-1/(1+General_Model!$E$26/((1.2+0.2*(General_Model!$E$26/A699)+0.35*SQRT(9.80665*(General_Model!$E$4/1000))/A699)*A699))-(A699^2/(2*9.80665*General_Model!$E$7))*((4*(0.3164/((General_Model!$E$14*A699*(General_Model!$E$4/1000)/General_Model!$E$15)^0.25))*General_Model!$E$7/(General_Model!$E$4/1000)+1)+(4*(0.3164/((General_Model!$E$14*A699*(General_Model!$E$4/1000)/General_Model!$E$15)^0.25))*General_Model!$E$7/(General_Model!$E$4/1000)+2)*(General_Model!$E$26/A699))</f>
        <v>-0.19256048532540418</v>
      </c>
      <c r="C699" s="13">
        <f t="shared" si="10"/>
        <v>0</v>
      </c>
    </row>
    <row r="700" spans="1:3" x14ac:dyDescent="0.25">
      <c r="A700" s="11">
        <v>0.69800000000000006</v>
      </c>
      <c r="B700" s="12">
        <f>(General_Model!$E$6/General_Model!$E$7)-1/(1+General_Model!$E$26/((1.2+0.2*(General_Model!$E$26/A700)+0.35*SQRT(9.80665*(General_Model!$E$4/1000))/A700)*A700))-(A700^2/(2*9.80665*General_Model!$E$7))*((4*(0.3164/((General_Model!$E$14*A700*(General_Model!$E$4/1000)/General_Model!$E$15)^0.25))*General_Model!$E$7/(General_Model!$E$4/1000)+1)+(4*(0.3164/((General_Model!$E$14*A700*(General_Model!$E$4/1000)/General_Model!$E$15)^0.25))*General_Model!$E$7/(General_Model!$E$4/1000)+2)*(General_Model!$E$26/A700))</f>
        <v>-0.19300680161388079</v>
      </c>
      <c r="C700" s="13">
        <f t="shared" si="10"/>
        <v>0</v>
      </c>
    </row>
    <row r="701" spans="1:3" x14ac:dyDescent="0.25">
      <c r="A701" s="11">
        <v>0.69900000000000007</v>
      </c>
      <c r="B701" s="12">
        <f>(General_Model!$E$6/General_Model!$E$7)-1/(1+General_Model!$E$26/((1.2+0.2*(General_Model!$E$26/A701)+0.35*SQRT(9.80665*(General_Model!$E$4/1000))/A701)*A701))-(A701^2/(2*9.80665*General_Model!$E$7))*((4*(0.3164/((General_Model!$E$14*A701*(General_Model!$E$4/1000)/General_Model!$E$15)^0.25))*General_Model!$E$7/(General_Model!$E$4/1000)+1)+(4*(0.3164/((General_Model!$E$14*A701*(General_Model!$E$4/1000)/General_Model!$E$15)^0.25))*General_Model!$E$7/(General_Model!$E$4/1000)+2)*(General_Model!$E$26/A701))</f>
        <v>-0.19345301620257299</v>
      </c>
      <c r="C701" s="13">
        <f t="shared" si="10"/>
        <v>0</v>
      </c>
    </row>
    <row r="702" spans="1:3" x14ac:dyDescent="0.25">
      <c r="A702" s="11">
        <v>0.70000000000000007</v>
      </c>
      <c r="B702" s="12">
        <f>(General_Model!$E$6/General_Model!$E$7)-1/(1+General_Model!$E$26/((1.2+0.2*(General_Model!$E$26/A702)+0.35*SQRT(9.80665*(General_Model!$E$4/1000))/A702)*A702))-(A702^2/(2*9.80665*General_Model!$E$7))*((4*(0.3164/((General_Model!$E$14*A702*(General_Model!$E$4/1000)/General_Model!$E$15)^0.25))*General_Model!$E$7/(General_Model!$E$4/1000)+1)+(4*(0.3164/((General_Model!$E$14*A702*(General_Model!$E$4/1000)/General_Model!$E$15)^0.25))*General_Model!$E$7/(General_Model!$E$4/1000)+2)*(General_Model!$E$26/A702))</f>
        <v>-0.19389912960343653</v>
      </c>
      <c r="C702" s="13">
        <f t="shared" si="10"/>
        <v>0</v>
      </c>
    </row>
    <row r="703" spans="1:3" x14ac:dyDescent="0.25">
      <c r="A703" s="11">
        <v>0.70100000000000007</v>
      </c>
      <c r="B703" s="12">
        <f>(General_Model!$E$6/General_Model!$E$7)-1/(1+General_Model!$E$26/((1.2+0.2*(General_Model!$E$26/A703)+0.35*SQRT(9.80665*(General_Model!$E$4/1000))/A703)*A703))-(A703^2/(2*9.80665*General_Model!$E$7))*((4*(0.3164/((General_Model!$E$14*A703*(General_Model!$E$4/1000)/General_Model!$E$15)^0.25))*General_Model!$E$7/(General_Model!$E$4/1000)+1)+(4*(0.3164/((General_Model!$E$14*A703*(General_Model!$E$4/1000)/General_Model!$E$15)^0.25))*General_Model!$E$7/(General_Model!$E$4/1000)+2)*(General_Model!$E$26/A703))</f>
        <v>-0.194345142327084</v>
      </c>
      <c r="C703" s="13">
        <f t="shared" si="10"/>
        <v>0</v>
      </c>
    </row>
    <row r="704" spans="1:3" x14ac:dyDescent="0.25">
      <c r="A704" s="11">
        <v>0.70200000000000007</v>
      </c>
      <c r="B704" s="12">
        <f>(General_Model!$E$6/General_Model!$E$7)-1/(1+General_Model!$E$26/((1.2+0.2*(General_Model!$E$26/A704)+0.35*SQRT(9.80665*(General_Model!$E$4/1000))/A704)*A704))-(A704^2/(2*9.80665*General_Model!$E$7))*((4*(0.3164/((General_Model!$E$14*A704*(General_Model!$E$4/1000)/General_Model!$E$15)^0.25))*General_Model!$E$7/(General_Model!$E$4/1000)+1)+(4*(0.3164/((General_Model!$E$14*A704*(General_Model!$E$4/1000)/General_Model!$E$15)^0.25))*General_Model!$E$7/(General_Model!$E$4/1000)+2)*(General_Model!$E$26/A704))</f>
        <v>-0.19479105488278781</v>
      </c>
      <c r="C704" s="13">
        <f t="shared" si="10"/>
        <v>0</v>
      </c>
    </row>
    <row r="705" spans="1:3" x14ac:dyDescent="0.25">
      <c r="A705" s="11">
        <v>0.70300000000000007</v>
      </c>
      <c r="B705" s="12">
        <f>(General_Model!$E$6/General_Model!$E$7)-1/(1+General_Model!$E$26/((1.2+0.2*(General_Model!$E$26/A705)+0.35*SQRT(9.80665*(General_Model!$E$4/1000))/A705)*A705))-(A705^2/(2*9.80665*General_Model!$E$7))*((4*(0.3164/((General_Model!$E$14*A705*(General_Model!$E$4/1000)/General_Model!$E$15)^0.25))*General_Model!$E$7/(General_Model!$E$4/1000)+1)+(4*(0.3164/((General_Model!$E$14*A705*(General_Model!$E$4/1000)/General_Model!$E$15)^0.25))*General_Model!$E$7/(General_Model!$E$4/1000)+2)*(General_Model!$E$26/A705))</f>
        <v>-0.19523686777848545</v>
      </c>
      <c r="C705" s="13">
        <f t="shared" si="10"/>
        <v>0</v>
      </c>
    </row>
    <row r="706" spans="1:3" x14ac:dyDescent="0.25">
      <c r="A706" s="11">
        <v>0.70400000000000007</v>
      </c>
      <c r="B706" s="12">
        <f>(General_Model!$E$6/General_Model!$E$7)-1/(1+General_Model!$E$26/((1.2+0.2*(General_Model!$E$26/A706)+0.35*SQRT(9.80665*(General_Model!$E$4/1000))/A706)*A706))-(A706^2/(2*9.80665*General_Model!$E$7))*((4*(0.3164/((General_Model!$E$14*A706*(General_Model!$E$4/1000)/General_Model!$E$15)^0.25))*General_Model!$E$7/(General_Model!$E$4/1000)+1)+(4*(0.3164/((General_Model!$E$14*A706*(General_Model!$E$4/1000)/General_Model!$E$15)^0.25))*General_Model!$E$7/(General_Model!$E$4/1000)+2)*(General_Model!$E$26/A706))</f>
        <v>-0.19568258152078399</v>
      </c>
      <c r="C706" s="13">
        <f t="shared" si="10"/>
        <v>0</v>
      </c>
    </row>
    <row r="707" spans="1:3" x14ac:dyDescent="0.25">
      <c r="A707" s="11">
        <v>0.70499999999999996</v>
      </c>
      <c r="B707" s="12">
        <f>(General_Model!$E$6/General_Model!$E$7)-1/(1+General_Model!$E$26/((1.2+0.2*(General_Model!$E$26/A707)+0.35*SQRT(9.80665*(General_Model!$E$4/1000))/A707)*A707))-(A707^2/(2*9.80665*General_Model!$E$7))*((4*(0.3164/((General_Model!$E$14*A707*(General_Model!$E$4/1000)/General_Model!$E$15)^0.25))*General_Model!$E$7/(General_Model!$E$4/1000)+1)+(4*(0.3164/((General_Model!$E$14*A707*(General_Model!$E$4/1000)/General_Model!$E$15)^0.25))*General_Model!$E$7/(General_Model!$E$4/1000)+2)*(General_Model!$E$26/A707))</f>
        <v>-0.19612819661496328</v>
      </c>
      <c r="C707" s="13">
        <f t="shared" ref="C707:C770" si="11">IF(B707*B708&lt;=0,1,0)</f>
        <v>0</v>
      </c>
    </row>
    <row r="708" spans="1:3" x14ac:dyDescent="0.25">
      <c r="A708" s="11">
        <v>0.70599999999999996</v>
      </c>
      <c r="B708" s="12">
        <f>(General_Model!$E$6/General_Model!$E$7)-1/(1+General_Model!$E$26/((1.2+0.2*(General_Model!$E$26/A708)+0.35*SQRT(9.80665*(General_Model!$E$4/1000))/A708)*A708))-(A708^2/(2*9.80665*General_Model!$E$7))*((4*(0.3164/((General_Model!$E$14*A708*(General_Model!$E$4/1000)/General_Model!$E$15)^0.25))*General_Model!$E$7/(General_Model!$E$4/1000)+1)+(4*(0.3164/((General_Model!$E$14*A708*(General_Model!$E$4/1000)/General_Model!$E$15)^0.25))*General_Model!$E$7/(General_Model!$E$4/1000)+2)*(General_Model!$E$26/A708))</f>
        <v>-0.19657371356498204</v>
      </c>
      <c r="C708" s="13">
        <f t="shared" si="11"/>
        <v>0</v>
      </c>
    </row>
    <row r="709" spans="1:3" x14ac:dyDescent="0.25">
      <c r="A709" s="11">
        <v>0.70699999999999996</v>
      </c>
      <c r="B709" s="12">
        <f>(General_Model!$E$6/General_Model!$E$7)-1/(1+General_Model!$E$26/((1.2+0.2*(General_Model!$E$26/A709)+0.35*SQRT(9.80665*(General_Model!$E$4/1000))/A709)*A709))-(A709^2/(2*9.80665*General_Model!$E$7))*((4*(0.3164/((General_Model!$E$14*A709*(General_Model!$E$4/1000)/General_Model!$E$15)^0.25))*General_Model!$E$7/(General_Model!$E$4/1000)+1)+(4*(0.3164/((General_Model!$E$14*A709*(General_Model!$E$4/1000)/General_Model!$E$15)^0.25))*General_Model!$E$7/(General_Model!$E$4/1000)+2)*(General_Model!$E$26/A709))</f>
        <v>-0.19701913287348041</v>
      </c>
      <c r="C709" s="13">
        <f t="shared" si="11"/>
        <v>0</v>
      </c>
    </row>
    <row r="710" spans="1:3" x14ac:dyDescent="0.25">
      <c r="A710" s="11">
        <v>0.70799999999999996</v>
      </c>
      <c r="B710" s="12">
        <f>(General_Model!$E$6/General_Model!$E$7)-1/(1+General_Model!$E$26/((1.2+0.2*(General_Model!$E$26/A710)+0.35*SQRT(9.80665*(General_Model!$E$4/1000))/A710)*A710))-(A710^2/(2*9.80665*General_Model!$E$7))*((4*(0.3164/((General_Model!$E$14*A710*(General_Model!$E$4/1000)/General_Model!$E$15)^0.25))*General_Model!$E$7/(General_Model!$E$4/1000)+1)+(4*(0.3164/((General_Model!$E$14*A710*(General_Model!$E$4/1000)/General_Model!$E$15)^0.25))*General_Model!$E$7/(General_Model!$E$4/1000)+2)*(General_Model!$E$26/A710))</f>
        <v>-0.19746445504178531</v>
      </c>
      <c r="C710" s="13">
        <f t="shared" si="11"/>
        <v>0</v>
      </c>
    </row>
    <row r="711" spans="1:3" x14ac:dyDescent="0.25">
      <c r="A711" s="11">
        <v>0.70899999999999996</v>
      </c>
      <c r="B711" s="12">
        <f>(General_Model!$E$6/General_Model!$E$7)-1/(1+General_Model!$E$26/((1.2+0.2*(General_Model!$E$26/A711)+0.35*SQRT(9.80665*(General_Model!$E$4/1000))/A711)*A711))-(A711^2/(2*9.80665*General_Model!$E$7))*((4*(0.3164/((General_Model!$E$14*A711*(General_Model!$E$4/1000)/General_Model!$E$15)^0.25))*General_Model!$E$7/(General_Model!$E$4/1000)+1)+(4*(0.3164/((General_Model!$E$14*A711*(General_Model!$E$4/1000)/General_Model!$E$15)^0.25))*General_Model!$E$7/(General_Model!$E$4/1000)+2)*(General_Model!$E$26/A711))</f>
        <v>-0.19790968056991415</v>
      </c>
      <c r="C711" s="13">
        <f t="shared" si="11"/>
        <v>0</v>
      </c>
    </row>
    <row r="712" spans="1:3" x14ac:dyDescent="0.25">
      <c r="A712" s="11">
        <v>0.71</v>
      </c>
      <c r="B712" s="12">
        <f>(General_Model!$E$6/General_Model!$E$7)-1/(1+General_Model!$E$26/((1.2+0.2*(General_Model!$E$26/A712)+0.35*SQRT(9.80665*(General_Model!$E$4/1000))/A712)*A712))-(A712^2/(2*9.80665*General_Model!$E$7))*((4*(0.3164/((General_Model!$E$14*A712*(General_Model!$E$4/1000)/General_Model!$E$15)^0.25))*General_Model!$E$7/(General_Model!$E$4/1000)+1)+(4*(0.3164/((General_Model!$E$14*A712*(General_Model!$E$4/1000)/General_Model!$E$15)^0.25))*General_Model!$E$7/(General_Model!$E$4/1000)+2)*(General_Model!$E$26/A712))</f>
        <v>-0.19835480995657942</v>
      </c>
      <c r="C712" s="13">
        <f t="shared" si="11"/>
        <v>0</v>
      </c>
    </row>
    <row r="713" spans="1:3" x14ac:dyDescent="0.25">
      <c r="A713" s="11">
        <v>0.71099999999999997</v>
      </c>
      <c r="B713" s="12">
        <f>(General_Model!$E$6/General_Model!$E$7)-1/(1+General_Model!$E$26/((1.2+0.2*(General_Model!$E$26/A713)+0.35*SQRT(9.80665*(General_Model!$E$4/1000))/A713)*A713))-(A713^2/(2*9.80665*General_Model!$E$7))*((4*(0.3164/((General_Model!$E$14*A713*(General_Model!$E$4/1000)/General_Model!$E$15)^0.25))*General_Model!$E$7/(General_Model!$E$4/1000)+1)+(4*(0.3164/((General_Model!$E$14*A713*(General_Model!$E$4/1000)/General_Model!$E$15)^0.25))*General_Model!$E$7/(General_Model!$E$4/1000)+2)*(General_Model!$E$26/A713))</f>
        <v>-0.19879984369919282</v>
      </c>
      <c r="C713" s="13">
        <f t="shared" si="11"/>
        <v>0</v>
      </c>
    </row>
    <row r="714" spans="1:3" x14ac:dyDescent="0.25">
      <c r="A714" s="11">
        <v>0.71199999999999997</v>
      </c>
      <c r="B714" s="12">
        <f>(General_Model!$E$6/General_Model!$E$7)-1/(1+General_Model!$E$26/((1.2+0.2*(General_Model!$E$26/A714)+0.35*SQRT(9.80665*(General_Model!$E$4/1000))/A714)*A714))-(A714^2/(2*9.80665*General_Model!$E$7))*((4*(0.3164/((General_Model!$E$14*A714*(General_Model!$E$4/1000)/General_Model!$E$15)^0.25))*General_Model!$E$7/(General_Model!$E$4/1000)+1)+(4*(0.3164/((General_Model!$E$14*A714*(General_Model!$E$4/1000)/General_Model!$E$15)^0.25))*General_Model!$E$7/(General_Model!$E$4/1000)+2)*(General_Model!$E$26/A714))</f>
        <v>-0.19924478229386913</v>
      </c>
      <c r="C714" s="13">
        <f t="shared" si="11"/>
        <v>0</v>
      </c>
    </row>
    <row r="715" spans="1:3" x14ac:dyDescent="0.25">
      <c r="A715" s="11">
        <v>0.71299999999999997</v>
      </c>
      <c r="B715" s="12">
        <f>(General_Model!$E$6/General_Model!$E$7)-1/(1+General_Model!$E$26/((1.2+0.2*(General_Model!$E$26/A715)+0.35*SQRT(9.80665*(General_Model!$E$4/1000))/A715)*A715))-(A715^2/(2*9.80665*General_Model!$E$7))*((4*(0.3164/((General_Model!$E$14*A715*(General_Model!$E$4/1000)/General_Model!$E$15)^0.25))*General_Model!$E$7/(General_Model!$E$4/1000)+1)+(4*(0.3164/((General_Model!$E$14*A715*(General_Model!$E$4/1000)/General_Model!$E$15)^0.25))*General_Model!$E$7/(General_Model!$E$4/1000)+2)*(General_Model!$E$26/A715))</f>
        <v>-0.19968962623543121</v>
      </c>
      <c r="C715" s="13">
        <f t="shared" si="11"/>
        <v>0</v>
      </c>
    </row>
    <row r="716" spans="1:3" x14ac:dyDescent="0.25">
      <c r="A716" s="11">
        <v>0.71399999999999997</v>
      </c>
      <c r="B716" s="12">
        <f>(General_Model!$E$6/General_Model!$E$7)-1/(1+General_Model!$E$26/((1.2+0.2*(General_Model!$E$26/A716)+0.35*SQRT(9.80665*(General_Model!$E$4/1000))/A716)*A716))-(A716^2/(2*9.80665*General_Model!$E$7))*((4*(0.3164/((General_Model!$E$14*A716*(General_Model!$E$4/1000)/General_Model!$E$15)^0.25))*General_Model!$E$7/(General_Model!$E$4/1000)+1)+(4*(0.3164/((General_Model!$E$14*A716*(General_Model!$E$4/1000)/General_Model!$E$15)^0.25))*General_Model!$E$7/(General_Model!$E$4/1000)+2)*(General_Model!$E$26/A716))</f>
        <v>-0.2001343760174133</v>
      </c>
      <c r="C716" s="13">
        <f t="shared" si="11"/>
        <v>0</v>
      </c>
    </row>
    <row r="717" spans="1:3" x14ac:dyDescent="0.25">
      <c r="A717" s="11">
        <v>0.71499999999999997</v>
      </c>
      <c r="B717" s="12">
        <f>(General_Model!$E$6/General_Model!$E$7)-1/(1+General_Model!$E$26/((1.2+0.2*(General_Model!$E$26/A717)+0.35*SQRT(9.80665*(General_Model!$E$4/1000))/A717)*A717))-(A717^2/(2*9.80665*General_Model!$E$7))*((4*(0.3164/((General_Model!$E$14*A717*(General_Model!$E$4/1000)/General_Model!$E$15)^0.25))*General_Model!$E$7/(General_Model!$E$4/1000)+1)+(4*(0.3164/((General_Model!$E$14*A717*(General_Model!$E$4/1000)/General_Model!$E$15)^0.25))*General_Model!$E$7/(General_Model!$E$4/1000)+2)*(General_Model!$E$26/A717))</f>
        <v>-0.20057903213206571</v>
      </c>
      <c r="C717" s="13">
        <f t="shared" si="11"/>
        <v>0</v>
      </c>
    </row>
    <row r="718" spans="1:3" x14ac:dyDescent="0.25">
      <c r="A718" s="11">
        <v>0.71599999999999997</v>
      </c>
      <c r="B718" s="12">
        <f>(General_Model!$E$6/General_Model!$E$7)-1/(1+General_Model!$E$26/((1.2+0.2*(General_Model!$E$26/A718)+0.35*SQRT(9.80665*(General_Model!$E$4/1000))/A718)*A718))-(A718^2/(2*9.80665*General_Model!$E$7))*((4*(0.3164/((General_Model!$E$14*A718*(General_Model!$E$4/1000)/General_Model!$E$15)^0.25))*General_Model!$E$7/(General_Model!$E$4/1000)+1)+(4*(0.3164/((General_Model!$E$14*A718*(General_Model!$E$4/1000)/General_Model!$E$15)^0.25))*General_Model!$E$7/(General_Model!$E$4/1000)+2)*(General_Model!$E$26/A718))</f>
        <v>-0.2010235950703585</v>
      </c>
      <c r="C718" s="13">
        <f t="shared" si="11"/>
        <v>0</v>
      </c>
    </row>
    <row r="719" spans="1:3" x14ac:dyDescent="0.25">
      <c r="A719" s="11">
        <v>0.71699999999999997</v>
      </c>
      <c r="B719" s="12">
        <f>(General_Model!$E$6/General_Model!$E$7)-1/(1+General_Model!$E$26/((1.2+0.2*(General_Model!$E$26/A719)+0.35*SQRT(9.80665*(General_Model!$E$4/1000))/A719)*A719))-(A719^2/(2*9.80665*General_Model!$E$7))*((4*(0.3164/((General_Model!$E$14*A719*(General_Model!$E$4/1000)/General_Model!$E$15)^0.25))*General_Model!$E$7/(General_Model!$E$4/1000)+1)+(4*(0.3164/((General_Model!$E$14*A719*(General_Model!$E$4/1000)/General_Model!$E$15)^0.25))*General_Model!$E$7/(General_Model!$E$4/1000)+2)*(General_Model!$E$26/A719))</f>
        <v>-0.20146806532198619</v>
      </c>
      <c r="C719" s="13">
        <f t="shared" si="11"/>
        <v>0</v>
      </c>
    </row>
    <row r="720" spans="1:3" x14ac:dyDescent="0.25">
      <c r="A720" s="11">
        <v>0.71799999999999997</v>
      </c>
      <c r="B720" s="12">
        <f>(General_Model!$E$6/General_Model!$E$7)-1/(1+General_Model!$E$26/((1.2+0.2*(General_Model!$E$26/A720)+0.35*SQRT(9.80665*(General_Model!$E$4/1000))/A720)*A720))-(A720^2/(2*9.80665*General_Model!$E$7))*((4*(0.3164/((General_Model!$E$14*A720*(General_Model!$E$4/1000)/General_Model!$E$15)^0.25))*General_Model!$E$7/(General_Model!$E$4/1000)+1)+(4*(0.3164/((General_Model!$E$14*A720*(General_Model!$E$4/1000)/General_Model!$E$15)^0.25))*General_Model!$E$7/(General_Model!$E$4/1000)+2)*(General_Model!$E$26/A720))</f>
        <v>-0.20191244337537168</v>
      </c>
      <c r="C720" s="13">
        <f t="shared" si="11"/>
        <v>0</v>
      </c>
    </row>
    <row r="721" spans="1:3" x14ac:dyDescent="0.25">
      <c r="A721" s="11">
        <v>0.71899999999999997</v>
      </c>
      <c r="B721" s="12">
        <f>(General_Model!$E$6/General_Model!$E$7)-1/(1+General_Model!$E$26/((1.2+0.2*(General_Model!$E$26/A721)+0.35*SQRT(9.80665*(General_Model!$E$4/1000))/A721)*A721))-(A721^2/(2*9.80665*General_Model!$E$7))*((4*(0.3164/((General_Model!$E$14*A721*(General_Model!$E$4/1000)/General_Model!$E$15)^0.25))*General_Model!$E$7/(General_Model!$E$4/1000)+1)+(4*(0.3164/((General_Model!$E$14*A721*(General_Model!$E$4/1000)/General_Model!$E$15)^0.25))*General_Model!$E$7/(General_Model!$E$4/1000)+2)*(General_Model!$E$26/A721))</f>
        <v>-0.20235672971767024</v>
      </c>
      <c r="C721" s="13">
        <f t="shared" si="11"/>
        <v>0</v>
      </c>
    </row>
    <row r="722" spans="1:3" x14ac:dyDescent="0.25">
      <c r="A722" s="11">
        <v>0.72</v>
      </c>
      <c r="B722" s="12">
        <f>(General_Model!$E$6/General_Model!$E$7)-1/(1+General_Model!$E$26/((1.2+0.2*(General_Model!$E$26/A722)+0.35*SQRT(9.80665*(General_Model!$E$4/1000))/A722)*A722))-(A722^2/(2*9.80665*General_Model!$E$7))*((4*(0.3164/((General_Model!$E$14*A722*(General_Model!$E$4/1000)/General_Model!$E$15)^0.25))*General_Model!$E$7/(General_Model!$E$4/1000)+1)+(4*(0.3164/((General_Model!$E$14*A722*(General_Model!$E$4/1000)/General_Model!$E$15)^0.25))*General_Model!$E$7/(General_Model!$E$4/1000)+2)*(General_Model!$E$26/A722))</f>
        <v>-0.2028009248347733</v>
      </c>
      <c r="C722" s="13">
        <f t="shared" si="11"/>
        <v>0</v>
      </c>
    </row>
    <row r="723" spans="1:3" x14ac:dyDescent="0.25">
      <c r="A723" s="11">
        <v>0.72099999999999997</v>
      </c>
      <c r="B723" s="12">
        <f>(General_Model!$E$6/General_Model!$E$7)-1/(1+General_Model!$E$26/((1.2+0.2*(General_Model!$E$26/A723)+0.35*SQRT(9.80665*(General_Model!$E$4/1000))/A723)*A723))-(A723^2/(2*9.80665*General_Model!$E$7))*((4*(0.3164/((General_Model!$E$14*A723*(General_Model!$E$4/1000)/General_Model!$E$15)^0.25))*General_Model!$E$7/(General_Model!$E$4/1000)+1)+(4*(0.3164/((General_Model!$E$14*A723*(General_Model!$E$4/1000)/General_Model!$E$15)^0.25))*General_Model!$E$7/(General_Model!$E$4/1000)+2)*(General_Model!$E$26/A723))</f>
        <v>-0.20324502921131293</v>
      </c>
      <c r="C723" s="13">
        <f t="shared" si="11"/>
        <v>0</v>
      </c>
    </row>
    <row r="724" spans="1:3" x14ac:dyDescent="0.25">
      <c r="A724" s="11">
        <v>0.72199999999999998</v>
      </c>
      <c r="B724" s="12">
        <f>(General_Model!$E$6/General_Model!$E$7)-1/(1+General_Model!$E$26/((1.2+0.2*(General_Model!$E$26/A724)+0.35*SQRT(9.80665*(General_Model!$E$4/1000))/A724)*A724))-(A724^2/(2*9.80665*General_Model!$E$7))*((4*(0.3164/((General_Model!$E$14*A724*(General_Model!$E$4/1000)/General_Model!$E$15)^0.25))*General_Model!$E$7/(General_Model!$E$4/1000)+1)+(4*(0.3164/((General_Model!$E$14*A724*(General_Model!$E$4/1000)/General_Model!$E$15)^0.25))*General_Model!$E$7/(General_Model!$E$4/1000)+2)*(General_Model!$E$26/A724))</f>
        <v>-0.20368904333066615</v>
      </c>
      <c r="C724" s="13">
        <f t="shared" si="11"/>
        <v>0</v>
      </c>
    </row>
    <row r="725" spans="1:3" x14ac:dyDescent="0.25">
      <c r="A725" s="11">
        <v>0.72299999999999998</v>
      </c>
      <c r="B725" s="12">
        <f>(General_Model!$E$6/General_Model!$E$7)-1/(1+General_Model!$E$26/((1.2+0.2*(General_Model!$E$26/A725)+0.35*SQRT(9.80665*(General_Model!$E$4/1000))/A725)*A725))-(A725^2/(2*9.80665*General_Model!$E$7))*((4*(0.3164/((General_Model!$E$14*A725*(General_Model!$E$4/1000)/General_Model!$E$15)^0.25))*General_Model!$E$7/(General_Model!$E$4/1000)+1)+(4*(0.3164/((General_Model!$E$14*A725*(General_Model!$E$4/1000)/General_Model!$E$15)^0.25))*General_Model!$E$7/(General_Model!$E$4/1000)+2)*(General_Model!$E$26/A725))</f>
        <v>-0.20413296767495823</v>
      </c>
      <c r="C725" s="13">
        <f t="shared" si="11"/>
        <v>0</v>
      </c>
    </row>
    <row r="726" spans="1:3" x14ac:dyDescent="0.25">
      <c r="A726" s="11">
        <v>0.72399999999999998</v>
      </c>
      <c r="B726" s="12">
        <f>(General_Model!$E$6/General_Model!$E$7)-1/(1+General_Model!$E$26/((1.2+0.2*(General_Model!$E$26/A726)+0.35*SQRT(9.80665*(General_Model!$E$4/1000))/A726)*A726))-(A726^2/(2*9.80665*General_Model!$E$7))*((4*(0.3164/((General_Model!$E$14*A726*(General_Model!$E$4/1000)/General_Model!$E$15)^0.25))*General_Model!$E$7/(General_Model!$E$4/1000)+1)+(4*(0.3164/((General_Model!$E$14*A726*(General_Model!$E$4/1000)/General_Model!$E$15)^0.25))*General_Model!$E$7/(General_Model!$E$4/1000)+2)*(General_Model!$E$26/A726))</f>
        <v>-0.20457680272506709</v>
      </c>
      <c r="C726" s="13">
        <f t="shared" si="11"/>
        <v>0</v>
      </c>
    </row>
    <row r="727" spans="1:3" x14ac:dyDescent="0.25">
      <c r="A727" s="11">
        <v>0.72499999999999998</v>
      </c>
      <c r="B727" s="12">
        <f>(General_Model!$E$6/General_Model!$E$7)-1/(1+General_Model!$E$26/((1.2+0.2*(General_Model!$E$26/A727)+0.35*SQRT(9.80665*(General_Model!$E$4/1000))/A727)*A727))-(A727^2/(2*9.80665*General_Model!$E$7))*((4*(0.3164/((General_Model!$E$14*A727*(General_Model!$E$4/1000)/General_Model!$E$15)^0.25))*General_Model!$E$7/(General_Model!$E$4/1000)+1)+(4*(0.3164/((General_Model!$E$14*A727*(General_Model!$E$4/1000)/General_Model!$E$15)^0.25))*General_Model!$E$7/(General_Model!$E$4/1000)+2)*(General_Model!$E$26/A727))</f>
        <v>-0.20502054896062755</v>
      </c>
      <c r="C727" s="13">
        <f t="shared" si="11"/>
        <v>0</v>
      </c>
    </row>
    <row r="728" spans="1:3" x14ac:dyDescent="0.25">
      <c r="A728" s="11">
        <v>0.72599999999999998</v>
      </c>
      <c r="B728" s="12">
        <f>(General_Model!$E$6/General_Model!$E$7)-1/(1+General_Model!$E$26/((1.2+0.2*(General_Model!$E$26/A728)+0.35*SQRT(9.80665*(General_Model!$E$4/1000))/A728)*A728))-(A728^2/(2*9.80665*General_Model!$E$7))*((4*(0.3164/((General_Model!$E$14*A728*(General_Model!$E$4/1000)/General_Model!$E$15)^0.25))*General_Model!$E$7/(General_Model!$E$4/1000)+1)+(4*(0.3164/((General_Model!$E$14*A728*(General_Model!$E$4/1000)/General_Model!$E$15)^0.25))*General_Model!$E$7/(General_Model!$E$4/1000)+2)*(General_Model!$E$26/A728))</f>
        <v>-0.20546420686003464</v>
      </c>
      <c r="C728" s="13">
        <f t="shared" si="11"/>
        <v>0</v>
      </c>
    </row>
    <row r="729" spans="1:3" x14ac:dyDescent="0.25">
      <c r="A729" s="11">
        <v>0.72699999999999998</v>
      </c>
      <c r="B729" s="12">
        <f>(General_Model!$E$6/General_Model!$E$7)-1/(1+General_Model!$E$26/((1.2+0.2*(General_Model!$E$26/A729)+0.35*SQRT(9.80665*(General_Model!$E$4/1000))/A729)*A729))-(A729^2/(2*9.80665*General_Model!$E$7))*((4*(0.3164/((General_Model!$E$14*A729*(General_Model!$E$4/1000)/General_Model!$E$15)^0.25))*General_Model!$E$7/(General_Model!$E$4/1000)+1)+(4*(0.3164/((General_Model!$E$14*A729*(General_Model!$E$4/1000)/General_Model!$E$15)^0.25))*General_Model!$E$7/(General_Model!$E$4/1000)+2)*(General_Model!$E$26/A729))</f>
        <v>-0.20590777690044851</v>
      </c>
      <c r="C729" s="13">
        <f t="shared" si="11"/>
        <v>0</v>
      </c>
    </row>
    <row r="730" spans="1:3" x14ac:dyDescent="0.25">
      <c r="A730" s="11">
        <v>0.72799999999999998</v>
      </c>
      <c r="B730" s="12">
        <f>(General_Model!$E$6/General_Model!$E$7)-1/(1+General_Model!$E$26/((1.2+0.2*(General_Model!$E$26/A730)+0.35*SQRT(9.80665*(General_Model!$E$4/1000))/A730)*A730))-(A730^2/(2*9.80665*General_Model!$E$7))*((4*(0.3164/((General_Model!$E$14*A730*(General_Model!$E$4/1000)/General_Model!$E$15)^0.25))*General_Model!$E$7/(General_Model!$E$4/1000)+1)+(4*(0.3164/((General_Model!$E$14*A730*(General_Model!$E$4/1000)/General_Model!$E$15)^0.25))*General_Model!$E$7/(General_Model!$E$4/1000)+2)*(General_Model!$E$26/A730))</f>
        <v>-0.2063512595577974</v>
      </c>
      <c r="C730" s="13">
        <f t="shared" si="11"/>
        <v>0</v>
      </c>
    </row>
    <row r="731" spans="1:3" x14ac:dyDescent="0.25">
      <c r="A731" s="11">
        <v>0.72899999999999998</v>
      </c>
      <c r="B731" s="12">
        <f>(General_Model!$E$6/General_Model!$E$7)-1/(1+General_Model!$E$26/((1.2+0.2*(General_Model!$E$26/A731)+0.35*SQRT(9.80665*(General_Model!$E$4/1000))/A731)*A731))-(A731^2/(2*9.80665*General_Model!$E$7))*((4*(0.3164/((General_Model!$E$14*A731*(General_Model!$E$4/1000)/General_Model!$E$15)^0.25))*General_Model!$E$7/(General_Model!$E$4/1000)+1)+(4*(0.3164/((General_Model!$E$14*A731*(General_Model!$E$4/1000)/General_Model!$E$15)^0.25))*General_Model!$E$7/(General_Model!$E$4/1000)+2)*(General_Model!$E$26/A731))</f>
        <v>-0.20679465530678204</v>
      </c>
      <c r="C731" s="13">
        <f t="shared" si="11"/>
        <v>0</v>
      </c>
    </row>
    <row r="732" spans="1:3" x14ac:dyDescent="0.25">
      <c r="A732" s="11">
        <v>0.73</v>
      </c>
      <c r="B732" s="12">
        <f>(General_Model!$E$6/General_Model!$E$7)-1/(1+General_Model!$E$26/((1.2+0.2*(General_Model!$E$26/A732)+0.35*SQRT(9.80665*(General_Model!$E$4/1000))/A732)*A732))-(A732^2/(2*9.80665*General_Model!$E$7))*((4*(0.3164/((General_Model!$E$14*A732*(General_Model!$E$4/1000)/General_Model!$E$15)^0.25))*General_Model!$E$7/(General_Model!$E$4/1000)+1)+(4*(0.3164/((General_Model!$E$14*A732*(General_Model!$E$4/1000)/General_Model!$E$15)^0.25))*General_Model!$E$7/(General_Model!$E$4/1000)+2)*(General_Model!$E$26/A732))</f>
        <v>-0.20723796462088001</v>
      </c>
      <c r="C732" s="13">
        <f t="shared" si="11"/>
        <v>0</v>
      </c>
    </row>
    <row r="733" spans="1:3" x14ac:dyDescent="0.25">
      <c r="A733" s="11">
        <v>0.73099999999999998</v>
      </c>
      <c r="B733" s="12">
        <f>(General_Model!$E$6/General_Model!$E$7)-1/(1+General_Model!$E$26/((1.2+0.2*(General_Model!$E$26/A733)+0.35*SQRT(9.80665*(General_Model!$E$4/1000))/A733)*A733))-(A733^2/(2*9.80665*General_Model!$E$7))*((4*(0.3164/((General_Model!$E$14*A733*(General_Model!$E$4/1000)/General_Model!$E$15)^0.25))*General_Model!$E$7/(General_Model!$E$4/1000)+1)+(4*(0.3164/((General_Model!$E$14*A733*(General_Model!$E$4/1000)/General_Model!$E$15)^0.25))*General_Model!$E$7/(General_Model!$E$4/1000)+2)*(General_Model!$E$26/A733))</f>
        <v>-0.20768118797234894</v>
      </c>
      <c r="C733" s="13">
        <f t="shared" si="11"/>
        <v>0</v>
      </c>
    </row>
    <row r="734" spans="1:3" x14ac:dyDescent="0.25">
      <c r="A734" s="11">
        <v>0.73199999999999998</v>
      </c>
      <c r="B734" s="12">
        <f>(General_Model!$E$6/General_Model!$E$7)-1/(1+General_Model!$E$26/((1.2+0.2*(General_Model!$E$26/A734)+0.35*SQRT(9.80665*(General_Model!$E$4/1000))/A734)*A734))-(A734^2/(2*9.80665*General_Model!$E$7))*((4*(0.3164/((General_Model!$E$14*A734*(General_Model!$E$4/1000)/General_Model!$E$15)^0.25))*General_Model!$E$7/(General_Model!$E$4/1000)+1)+(4*(0.3164/((General_Model!$E$14*A734*(General_Model!$E$4/1000)/General_Model!$E$15)^0.25))*General_Model!$E$7/(General_Model!$E$4/1000)+2)*(General_Model!$E$26/A734))</f>
        <v>-0.20812432583223067</v>
      </c>
      <c r="C734" s="13">
        <f t="shared" si="11"/>
        <v>0</v>
      </c>
    </row>
    <row r="735" spans="1:3" x14ac:dyDescent="0.25">
      <c r="A735" s="11">
        <v>0.73299999999999998</v>
      </c>
      <c r="B735" s="12">
        <f>(General_Model!$E$6/General_Model!$E$7)-1/(1+General_Model!$E$26/((1.2+0.2*(General_Model!$E$26/A735)+0.35*SQRT(9.80665*(General_Model!$E$4/1000))/A735)*A735))-(A735^2/(2*9.80665*General_Model!$E$7))*((4*(0.3164/((General_Model!$E$14*A735*(General_Model!$E$4/1000)/General_Model!$E$15)^0.25))*General_Model!$E$7/(General_Model!$E$4/1000)+1)+(4*(0.3164/((General_Model!$E$14*A735*(General_Model!$E$4/1000)/General_Model!$E$15)^0.25))*General_Model!$E$7/(General_Model!$E$4/1000)+2)*(General_Model!$E$26/A735))</f>
        <v>-0.20856737867035496</v>
      </c>
      <c r="C735" s="13">
        <f t="shared" si="11"/>
        <v>0</v>
      </c>
    </row>
    <row r="736" spans="1:3" x14ac:dyDescent="0.25">
      <c r="A736" s="11">
        <v>0.73399999999999999</v>
      </c>
      <c r="B736" s="12">
        <f>(General_Model!$E$6/General_Model!$E$7)-1/(1+General_Model!$E$26/((1.2+0.2*(General_Model!$E$26/A736)+0.35*SQRT(9.80665*(General_Model!$E$4/1000))/A736)*A736))-(A736^2/(2*9.80665*General_Model!$E$7))*((4*(0.3164/((General_Model!$E$14*A736*(General_Model!$E$4/1000)/General_Model!$E$15)^0.25))*General_Model!$E$7/(General_Model!$E$4/1000)+1)+(4*(0.3164/((General_Model!$E$14*A736*(General_Model!$E$4/1000)/General_Model!$E$15)^0.25))*General_Model!$E$7/(General_Model!$E$4/1000)+2)*(General_Model!$E$26/A736))</f>
        <v>-0.20901034695534379</v>
      </c>
      <c r="C736" s="13">
        <f t="shared" si="11"/>
        <v>0</v>
      </c>
    </row>
    <row r="737" spans="1:3" x14ac:dyDescent="0.25">
      <c r="A737" s="11">
        <v>0.73499999999999999</v>
      </c>
      <c r="B737" s="12">
        <f>(General_Model!$E$6/General_Model!$E$7)-1/(1+General_Model!$E$26/((1.2+0.2*(General_Model!$E$26/A737)+0.35*SQRT(9.80665*(General_Model!$E$4/1000))/A737)*A737))-(A737^2/(2*9.80665*General_Model!$E$7))*((4*(0.3164/((General_Model!$E$14*A737*(General_Model!$E$4/1000)/General_Model!$E$15)^0.25))*General_Model!$E$7/(General_Model!$E$4/1000)+1)+(4*(0.3164/((General_Model!$E$14*A737*(General_Model!$E$4/1000)/General_Model!$E$15)^0.25))*General_Model!$E$7/(General_Model!$E$4/1000)+2)*(General_Model!$E$26/A737))</f>
        <v>-0.20945323115461512</v>
      </c>
      <c r="C737" s="13">
        <f t="shared" si="11"/>
        <v>0</v>
      </c>
    </row>
    <row r="738" spans="1:3" x14ac:dyDescent="0.25">
      <c r="A738" s="11">
        <v>0.73599999999999999</v>
      </c>
      <c r="B738" s="12">
        <f>(General_Model!$E$6/General_Model!$E$7)-1/(1+General_Model!$E$26/((1.2+0.2*(General_Model!$E$26/A738)+0.35*SQRT(9.80665*(General_Model!$E$4/1000))/A738)*A738))-(A738^2/(2*9.80665*General_Model!$E$7))*((4*(0.3164/((General_Model!$E$14*A738*(General_Model!$E$4/1000)/General_Model!$E$15)^0.25))*General_Model!$E$7/(General_Model!$E$4/1000)+1)+(4*(0.3164/((General_Model!$E$14*A738*(General_Model!$E$4/1000)/General_Model!$E$15)^0.25))*General_Model!$E$7/(General_Model!$E$4/1000)+2)*(General_Model!$E$26/A738))</f>
        <v>-0.20989603173438617</v>
      </c>
      <c r="C738" s="13">
        <f t="shared" si="11"/>
        <v>0</v>
      </c>
    </row>
    <row r="739" spans="1:3" x14ac:dyDescent="0.25">
      <c r="A739" s="11">
        <v>0.73699999999999999</v>
      </c>
      <c r="B739" s="12">
        <f>(General_Model!$E$6/General_Model!$E$7)-1/(1+General_Model!$E$26/((1.2+0.2*(General_Model!$E$26/A739)+0.35*SQRT(9.80665*(General_Model!$E$4/1000))/A739)*A739))-(A739^2/(2*9.80665*General_Model!$E$7))*((4*(0.3164/((General_Model!$E$14*A739*(General_Model!$E$4/1000)/General_Model!$E$15)^0.25))*General_Model!$E$7/(General_Model!$E$4/1000)+1)+(4*(0.3164/((General_Model!$E$14*A739*(General_Model!$E$4/1000)/General_Model!$E$15)^0.25))*General_Model!$E$7/(General_Model!$E$4/1000)+2)*(General_Model!$E$26/A739))</f>
        <v>-0.21033874915967773</v>
      </c>
      <c r="C739" s="13">
        <f t="shared" si="11"/>
        <v>0</v>
      </c>
    </row>
    <row r="740" spans="1:3" x14ac:dyDescent="0.25">
      <c r="A740" s="11">
        <v>0.73799999999999999</v>
      </c>
      <c r="B740" s="12">
        <f>(General_Model!$E$6/General_Model!$E$7)-1/(1+General_Model!$E$26/((1.2+0.2*(General_Model!$E$26/A740)+0.35*SQRT(9.80665*(General_Model!$E$4/1000))/A740)*A740))-(A740^2/(2*9.80665*General_Model!$E$7))*((4*(0.3164/((General_Model!$E$14*A740*(General_Model!$E$4/1000)/General_Model!$E$15)^0.25))*General_Model!$E$7/(General_Model!$E$4/1000)+1)+(4*(0.3164/((General_Model!$E$14*A740*(General_Model!$E$4/1000)/General_Model!$E$15)^0.25))*General_Model!$E$7/(General_Model!$E$4/1000)+2)*(General_Model!$E$26/A740))</f>
        <v>-0.21078138389431805</v>
      </c>
      <c r="C740" s="13">
        <f t="shared" si="11"/>
        <v>0</v>
      </c>
    </row>
    <row r="741" spans="1:3" x14ac:dyDescent="0.25">
      <c r="A741" s="11">
        <v>0.73899999999999999</v>
      </c>
      <c r="B741" s="12">
        <f>(General_Model!$E$6/General_Model!$E$7)-1/(1+General_Model!$E$26/((1.2+0.2*(General_Model!$E$26/A741)+0.35*SQRT(9.80665*(General_Model!$E$4/1000))/A741)*A741))-(A741^2/(2*9.80665*General_Model!$E$7))*((4*(0.3164/((General_Model!$E$14*A741*(General_Model!$E$4/1000)/General_Model!$E$15)^0.25))*General_Model!$E$7/(General_Model!$E$4/1000)+1)+(4*(0.3164/((General_Model!$E$14*A741*(General_Model!$E$4/1000)/General_Model!$E$15)^0.25))*General_Model!$E$7/(General_Model!$E$4/1000)+2)*(General_Model!$E$26/A741))</f>
        <v>-0.21122393640094625</v>
      </c>
      <c r="C741" s="13">
        <f t="shared" si="11"/>
        <v>0</v>
      </c>
    </row>
    <row r="742" spans="1:3" x14ac:dyDescent="0.25">
      <c r="A742" s="11">
        <v>0.74</v>
      </c>
      <c r="B742" s="12">
        <f>(General_Model!$E$6/General_Model!$E$7)-1/(1+General_Model!$E$26/((1.2+0.2*(General_Model!$E$26/A742)+0.35*SQRT(9.80665*(General_Model!$E$4/1000))/A742)*A742))-(A742^2/(2*9.80665*General_Model!$E$7))*((4*(0.3164/((General_Model!$E$14*A742*(General_Model!$E$4/1000)/General_Model!$E$15)^0.25))*General_Model!$E$7/(General_Model!$E$4/1000)+1)+(4*(0.3164/((General_Model!$E$14*A742*(General_Model!$E$4/1000)/General_Model!$E$15)^0.25))*General_Model!$E$7/(General_Model!$E$4/1000)+2)*(General_Model!$E$26/A742))</f>
        <v>-0.21166640714101639</v>
      </c>
      <c r="C742" s="13">
        <f t="shared" si="11"/>
        <v>0</v>
      </c>
    </row>
    <row r="743" spans="1:3" x14ac:dyDescent="0.25">
      <c r="A743" s="11">
        <v>0.74099999999999999</v>
      </c>
      <c r="B743" s="12">
        <f>(General_Model!$E$6/General_Model!$E$7)-1/(1+General_Model!$E$26/((1.2+0.2*(General_Model!$E$26/A743)+0.35*SQRT(9.80665*(General_Model!$E$4/1000))/A743)*A743))-(A743^2/(2*9.80665*General_Model!$E$7))*((4*(0.3164/((General_Model!$E$14*A743*(General_Model!$E$4/1000)/General_Model!$E$15)^0.25))*General_Model!$E$7/(General_Model!$E$4/1000)+1)+(4*(0.3164/((General_Model!$E$14*A743*(General_Model!$E$4/1000)/General_Model!$E$15)^0.25))*General_Model!$E$7/(General_Model!$E$4/1000)+2)*(General_Model!$E$26/A743))</f>
        <v>-0.21210879657480103</v>
      </c>
      <c r="C743" s="13">
        <f t="shared" si="11"/>
        <v>0</v>
      </c>
    </row>
    <row r="744" spans="1:3" x14ac:dyDescent="0.25">
      <c r="A744" s="11">
        <v>0.74199999999999999</v>
      </c>
      <c r="B744" s="12">
        <f>(General_Model!$E$6/General_Model!$E$7)-1/(1+General_Model!$E$26/((1.2+0.2*(General_Model!$E$26/A744)+0.35*SQRT(9.80665*(General_Model!$E$4/1000))/A744)*A744))-(A744^2/(2*9.80665*General_Model!$E$7))*((4*(0.3164/((General_Model!$E$14*A744*(General_Model!$E$4/1000)/General_Model!$E$15)^0.25))*General_Model!$E$7/(General_Model!$E$4/1000)+1)+(4*(0.3164/((General_Model!$E$14*A744*(General_Model!$E$4/1000)/General_Model!$E$15)^0.25))*General_Model!$E$7/(General_Model!$E$4/1000)+2)*(General_Model!$E$26/A744))</f>
        <v>-0.21255110516139517</v>
      </c>
      <c r="C744" s="13">
        <f t="shared" si="11"/>
        <v>0</v>
      </c>
    </row>
    <row r="745" spans="1:3" x14ac:dyDescent="0.25">
      <c r="A745" s="11">
        <v>0.74299999999999999</v>
      </c>
      <c r="B745" s="12">
        <f>(General_Model!$E$6/General_Model!$E$7)-1/(1+General_Model!$E$26/((1.2+0.2*(General_Model!$E$26/A745)+0.35*SQRT(9.80665*(General_Model!$E$4/1000))/A745)*A745))-(A745^2/(2*9.80665*General_Model!$E$7))*((4*(0.3164/((General_Model!$E$14*A745*(General_Model!$E$4/1000)/General_Model!$E$15)^0.25))*General_Model!$E$7/(General_Model!$E$4/1000)+1)+(4*(0.3164/((General_Model!$E$14*A745*(General_Model!$E$4/1000)/General_Model!$E$15)^0.25))*General_Model!$E$7/(General_Model!$E$4/1000)+2)*(General_Model!$E$26/A745))</f>
        <v>-0.21299333335872001</v>
      </c>
      <c r="C745" s="13">
        <f t="shared" si="11"/>
        <v>0</v>
      </c>
    </row>
    <row r="746" spans="1:3" x14ac:dyDescent="0.25">
      <c r="A746" s="11">
        <v>0.74399999999999999</v>
      </c>
      <c r="B746" s="12">
        <f>(General_Model!$E$6/General_Model!$E$7)-1/(1+General_Model!$E$26/((1.2+0.2*(General_Model!$E$26/A746)+0.35*SQRT(9.80665*(General_Model!$E$4/1000))/A746)*A746))-(A746^2/(2*9.80665*General_Model!$E$7))*((4*(0.3164/((General_Model!$E$14*A746*(General_Model!$E$4/1000)/General_Model!$E$15)^0.25))*General_Model!$E$7/(General_Model!$E$4/1000)+1)+(4*(0.3164/((General_Model!$E$14*A746*(General_Model!$E$4/1000)/General_Model!$E$15)^0.25))*General_Model!$E$7/(General_Model!$E$4/1000)+2)*(General_Model!$E$26/A746))</f>
        <v>-0.21343548162352638</v>
      </c>
      <c r="C746" s="13">
        <f t="shared" si="11"/>
        <v>0</v>
      </c>
    </row>
    <row r="747" spans="1:3" x14ac:dyDescent="0.25">
      <c r="A747" s="11">
        <v>0.745</v>
      </c>
      <c r="B747" s="12">
        <f>(General_Model!$E$6/General_Model!$E$7)-1/(1+General_Model!$E$26/((1.2+0.2*(General_Model!$E$26/A747)+0.35*SQRT(9.80665*(General_Model!$E$4/1000))/A747)*A747))-(A747^2/(2*9.80665*General_Model!$E$7))*((4*(0.3164/((General_Model!$E$14*A747*(General_Model!$E$4/1000)/General_Model!$E$15)^0.25))*General_Model!$E$7/(General_Model!$E$4/1000)+1)+(4*(0.3164/((General_Model!$E$14*A747*(General_Model!$E$4/1000)/General_Model!$E$15)^0.25))*General_Model!$E$7/(General_Model!$E$4/1000)+2)*(General_Model!$E$26/A747))</f>
        <v>-0.21387755041139847</v>
      </c>
      <c r="C747" s="13">
        <f t="shared" si="11"/>
        <v>0</v>
      </c>
    </row>
    <row r="748" spans="1:3" x14ac:dyDescent="0.25">
      <c r="A748" s="11">
        <v>0.746</v>
      </c>
      <c r="B748" s="12">
        <f>(General_Model!$E$6/General_Model!$E$7)-1/(1+General_Model!$E$26/((1.2+0.2*(General_Model!$E$26/A748)+0.35*SQRT(9.80665*(General_Model!$E$4/1000))/A748)*A748))-(A748^2/(2*9.80665*General_Model!$E$7))*((4*(0.3164/((General_Model!$E$14*A748*(General_Model!$E$4/1000)/General_Model!$E$15)^0.25))*General_Model!$E$7/(General_Model!$E$4/1000)+1)+(4*(0.3164/((General_Model!$E$14*A748*(General_Model!$E$4/1000)/General_Model!$E$15)^0.25))*General_Model!$E$7/(General_Model!$E$4/1000)+2)*(General_Model!$E$26/A748))</f>
        <v>-0.21431954017675819</v>
      </c>
      <c r="C748" s="13">
        <f t="shared" si="11"/>
        <v>0</v>
      </c>
    </row>
    <row r="749" spans="1:3" x14ac:dyDescent="0.25">
      <c r="A749" s="11">
        <v>0.747</v>
      </c>
      <c r="B749" s="12">
        <f>(General_Model!$E$6/General_Model!$E$7)-1/(1+General_Model!$E$26/((1.2+0.2*(General_Model!$E$26/A749)+0.35*SQRT(9.80665*(General_Model!$E$4/1000))/A749)*A749))-(A749^2/(2*9.80665*General_Model!$E$7))*((4*(0.3164/((General_Model!$E$14*A749*(General_Model!$E$4/1000)/General_Model!$E$15)^0.25))*General_Model!$E$7/(General_Model!$E$4/1000)+1)+(4*(0.3164/((General_Model!$E$14*A749*(General_Model!$E$4/1000)/General_Model!$E$15)^0.25))*General_Model!$E$7/(General_Model!$E$4/1000)+2)*(General_Model!$E$26/A749))</f>
        <v>-0.21476145137286778</v>
      </c>
      <c r="C749" s="13">
        <f t="shared" si="11"/>
        <v>0</v>
      </c>
    </row>
    <row r="750" spans="1:3" x14ac:dyDescent="0.25">
      <c r="A750" s="11">
        <v>0.748</v>
      </c>
      <c r="B750" s="12">
        <f>(General_Model!$E$6/General_Model!$E$7)-1/(1+General_Model!$E$26/((1.2+0.2*(General_Model!$E$26/A750)+0.35*SQRT(9.80665*(General_Model!$E$4/1000))/A750)*A750))-(A750^2/(2*9.80665*General_Model!$E$7))*((4*(0.3164/((General_Model!$E$14*A750*(General_Model!$E$4/1000)/General_Model!$E$15)^0.25))*General_Model!$E$7/(General_Model!$E$4/1000)+1)+(4*(0.3164/((General_Model!$E$14*A750*(General_Model!$E$4/1000)/General_Model!$E$15)^0.25))*General_Model!$E$7/(General_Model!$E$4/1000)+2)*(General_Model!$E$26/A750))</f>
        <v>-0.21520328445183418</v>
      </c>
      <c r="C750" s="13">
        <f t="shared" si="11"/>
        <v>0</v>
      </c>
    </row>
    <row r="751" spans="1:3" x14ac:dyDescent="0.25">
      <c r="A751" s="11">
        <v>0.749</v>
      </c>
      <c r="B751" s="12">
        <f>(General_Model!$E$6/General_Model!$E$7)-1/(1+General_Model!$E$26/((1.2+0.2*(General_Model!$E$26/A751)+0.35*SQRT(9.80665*(General_Model!$E$4/1000))/A751)*A751))-(A751^2/(2*9.80665*General_Model!$E$7))*((4*(0.3164/((General_Model!$E$14*A751*(General_Model!$E$4/1000)/General_Model!$E$15)^0.25))*General_Model!$E$7/(General_Model!$E$4/1000)+1)+(4*(0.3164/((General_Model!$E$14*A751*(General_Model!$E$4/1000)/General_Model!$E$15)^0.25))*General_Model!$E$7/(General_Model!$E$4/1000)+2)*(General_Model!$E$26/A751))</f>
        <v>-0.21564503986461284</v>
      </c>
      <c r="C751" s="13">
        <f t="shared" si="11"/>
        <v>0</v>
      </c>
    </row>
    <row r="752" spans="1:3" x14ac:dyDescent="0.25">
      <c r="A752" s="11">
        <v>0.75</v>
      </c>
      <c r="B752" s="12">
        <f>(General_Model!$E$6/General_Model!$E$7)-1/(1+General_Model!$E$26/((1.2+0.2*(General_Model!$E$26/A752)+0.35*SQRT(9.80665*(General_Model!$E$4/1000))/A752)*A752))-(A752^2/(2*9.80665*General_Model!$E$7))*((4*(0.3164/((General_Model!$E$14*A752*(General_Model!$E$4/1000)/General_Model!$E$15)^0.25))*General_Model!$E$7/(General_Model!$E$4/1000)+1)+(4*(0.3164/((General_Model!$E$14*A752*(General_Model!$E$4/1000)/General_Model!$E$15)^0.25))*General_Model!$E$7/(General_Model!$E$4/1000)+2)*(General_Model!$E$26/A752))</f>
        <v>-0.21608671806101054</v>
      </c>
      <c r="C752" s="13">
        <f t="shared" si="11"/>
        <v>0</v>
      </c>
    </row>
    <row r="753" spans="1:3" x14ac:dyDescent="0.25">
      <c r="A753" s="11">
        <v>0.751</v>
      </c>
      <c r="B753" s="12">
        <f>(General_Model!$E$6/General_Model!$E$7)-1/(1+General_Model!$E$26/((1.2+0.2*(General_Model!$E$26/A753)+0.35*SQRT(9.80665*(General_Model!$E$4/1000))/A753)*A753))-(A753^2/(2*9.80665*General_Model!$E$7))*((4*(0.3164/((General_Model!$E$14*A753*(General_Model!$E$4/1000)/General_Model!$E$15)^0.25))*General_Model!$E$7/(General_Model!$E$4/1000)+1)+(4*(0.3164/((General_Model!$E$14*A753*(General_Model!$E$4/1000)/General_Model!$E$15)^0.25))*General_Model!$E$7/(General_Model!$E$4/1000)+2)*(General_Model!$E$26/A753))</f>
        <v>-0.21652831948968973</v>
      </c>
      <c r="C753" s="13">
        <f t="shared" si="11"/>
        <v>0</v>
      </c>
    </row>
    <row r="754" spans="1:3" x14ac:dyDescent="0.25">
      <c r="A754" s="11">
        <v>0.752</v>
      </c>
      <c r="B754" s="12">
        <f>(General_Model!$E$6/General_Model!$E$7)-1/(1+General_Model!$E$26/((1.2+0.2*(General_Model!$E$26/A754)+0.35*SQRT(9.80665*(General_Model!$E$4/1000))/A754)*A754))-(A754^2/(2*9.80665*General_Model!$E$7))*((4*(0.3164/((General_Model!$E$14*A754*(General_Model!$E$4/1000)/General_Model!$E$15)^0.25))*General_Model!$E$7/(General_Model!$E$4/1000)+1)+(4*(0.3164/((General_Model!$E$14*A754*(General_Model!$E$4/1000)/General_Model!$E$15)^0.25))*General_Model!$E$7/(General_Model!$E$4/1000)+2)*(General_Model!$E$26/A754))</f>
        <v>-0.21696984459817217</v>
      </c>
      <c r="C754" s="13">
        <f t="shared" si="11"/>
        <v>0</v>
      </c>
    </row>
    <row r="755" spans="1:3" x14ac:dyDescent="0.25">
      <c r="A755" s="11">
        <v>0.753</v>
      </c>
      <c r="B755" s="12">
        <f>(General_Model!$E$6/General_Model!$E$7)-1/(1+General_Model!$E$26/((1.2+0.2*(General_Model!$E$26/A755)+0.35*SQRT(9.80665*(General_Model!$E$4/1000))/A755)*A755))-(A755^2/(2*9.80665*General_Model!$E$7))*((4*(0.3164/((General_Model!$E$14*A755*(General_Model!$E$4/1000)/General_Model!$E$15)^0.25))*General_Model!$E$7/(General_Model!$E$4/1000)+1)+(4*(0.3164/((General_Model!$E$14*A755*(General_Model!$E$4/1000)/General_Model!$E$15)^0.25))*General_Model!$E$7/(General_Model!$E$4/1000)+2)*(General_Model!$E$26/A755))</f>
        <v>-0.21741129383284161</v>
      </c>
      <c r="C755" s="13">
        <f t="shared" si="11"/>
        <v>0</v>
      </c>
    </row>
    <row r="756" spans="1:3" x14ac:dyDescent="0.25">
      <c r="A756" s="11">
        <v>0.754</v>
      </c>
      <c r="B756" s="12">
        <f>(General_Model!$E$6/General_Model!$E$7)-1/(1+General_Model!$E$26/((1.2+0.2*(General_Model!$E$26/A756)+0.35*SQRT(9.80665*(General_Model!$E$4/1000))/A756)*A756))-(A756^2/(2*9.80665*General_Model!$E$7))*((4*(0.3164/((General_Model!$E$14*A756*(General_Model!$E$4/1000)/General_Model!$E$15)^0.25))*General_Model!$E$7/(General_Model!$E$4/1000)+1)+(4*(0.3164/((General_Model!$E$14*A756*(General_Model!$E$4/1000)/General_Model!$E$15)^0.25))*General_Model!$E$7/(General_Model!$E$4/1000)+2)*(General_Model!$E$26/A756))</f>
        <v>-0.21785266763894867</v>
      </c>
      <c r="C756" s="13">
        <f t="shared" si="11"/>
        <v>0</v>
      </c>
    </row>
    <row r="757" spans="1:3" x14ac:dyDescent="0.25">
      <c r="A757" s="11">
        <v>0.755</v>
      </c>
      <c r="B757" s="12">
        <f>(General_Model!$E$6/General_Model!$E$7)-1/(1+General_Model!$E$26/((1.2+0.2*(General_Model!$E$26/A757)+0.35*SQRT(9.80665*(General_Model!$E$4/1000))/A757)*A757))-(A757^2/(2*9.80665*General_Model!$E$7))*((4*(0.3164/((General_Model!$E$14*A757*(General_Model!$E$4/1000)/General_Model!$E$15)^0.25))*General_Model!$E$7/(General_Model!$E$4/1000)+1)+(4*(0.3164/((General_Model!$E$14*A757*(General_Model!$E$4/1000)/General_Model!$E$15)^0.25))*General_Model!$E$7/(General_Model!$E$4/1000)+2)*(General_Model!$E$26/A757))</f>
        <v>-0.21829396646061353</v>
      </c>
      <c r="C757" s="13">
        <f t="shared" si="11"/>
        <v>0</v>
      </c>
    </row>
    <row r="758" spans="1:3" x14ac:dyDescent="0.25">
      <c r="A758" s="11">
        <v>0.75600000000000001</v>
      </c>
      <c r="B758" s="12">
        <f>(General_Model!$E$6/General_Model!$E$7)-1/(1+General_Model!$E$26/((1.2+0.2*(General_Model!$E$26/A758)+0.35*SQRT(9.80665*(General_Model!$E$4/1000))/A758)*A758))-(A758^2/(2*9.80665*General_Model!$E$7))*((4*(0.3164/((General_Model!$E$14*A758*(General_Model!$E$4/1000)/General_Model!$E$15)^0.25))*General_Model!$E$7/(General_Model!$E$4/1000)+1)+(4*(0.3164/((General_Model!$E$14*A758*(General_Model!$E$4/1000)/General_Model!$E$15)^0.25))*General_Model!$E$7/(General_Model!$E$4/1000)+2)*(General_Model!$E$26/A758))</f>
        <v>-0.21873519074082967</v>
      </c>
      <c r="C758" s="13">
        <f t="shared" si="11"/>
        <v>0</v>
      </c>
    </row>
    <row r="759" spans="1:3" x14ac:dyDescent="0.25">
      <c r="A759" s="11">
        <v>0.75700000000000001</v>
      </c>
      <c r="B759" s="12">
        <f>(General_Model!$E$6/General_Model!$E$7)-1/(1+General_Model!$E$26/((1.2+0.2*(General_Model!$E$26/A759)+0.35*SQRT(9.80665*(General_Model!$E$4/1000))/A759)*A759))-(A759^2/(2*9.80665*General_Model!$E$7))*((4*(0.3164/((General_Model!$E$14*A759*(General_Model!$E$4/1000)/General_Model!$E$15)^0.25))*General_Model!$E$7/(General_Model!$E$4/1000)+1)+(4*(0.3164/((General_Model!$E$14*A759*(General_Model!$E$4/1000)/General_Model!$E$15)^0.25))*General_Model!$E$7/(General_Model!$E$4/1000)+2)*(General_Model!$E$26/A759))</f>
        <v>-0.21917634092146726</v>
      </c>
      <c r="C759" s="13">
        <f t="shared" si="11"/>
        <v>0</v>
      </c>
    </row>
    <row r="760" spans="1:3" x14ac:dyDescent="0.25">
      <c r="A760" s="11">
        <v>0.75800000000000001</v>
      </c>
      <c r="B760" s="12">
        <f>(General_Model!$E$6/General_Model!$E$7)-1/(1+General_Model!$E$26/((1.2+0.2*(General_Model!$E$26/A760)+0.35*SQRT(9.80665*(General_Model!$E$4/1000))/A760)*A760))-(A760^2/(2*9.80665*General_Model!$E$7))*((4*(0.3164/((General_Model!$E$14*A760*(General_Model!$E$4/1000)/General_Model!$E$15)^0.25))*General_Model!$E$7/(General_Model!$E$4/1000)+1)+(4*(0.3164/((General_Model!$E$14*A760*(General_Model!$E$4/1000)/General_Model!$E$15)^0.25))*General_Model!$E$7/(General_Model!$E$4/1000)+2)*(General_Model!$E$26/A760))</f>
        <v>-0.21961741744327734</v>
      </c>
      <c r="C760" s="13">
        <f t="shared" si="11"/>
        <v>0</v>
      </c>
    </row>
    <row r="761" spans="1:3" x14ac:dyDescent="0.25">
      <c r="A761" s="11">
        <v>0.75900000000000001</v>
      </c>
      <c r="B761" s="12">
        <f>(General_Model!$E$6/General_Model!$E$7)-1/(1+General_Model!$E$26/((1.2+0.2*(General_Model!$E$26/A761)+0.35*SQRT(9.80665*(General_Model!$E$4/1000))/A761)*A761))-(A761^2/(2*9.80665*General_Model!$E$7))*((4*(0.3164/((General_Model!$E$14*A761*(General_Model!$E$4/1000)/General_Model!$E$15)^0.25))*General_Model!$E$7/(General_Model!$E$4/1000)+1)+(4*(0.3164/((General_Model!$E$14*A761*(General_Model!$E$4/1000)/General_Model!$E$15)^0.25))*General_Model!$E$7/(General_Model!$E$4/1000)+2)*(General_Model!$E$26/A761))</f>
        <v>-0.22005842074589443</v>
      </c>
      <c r="C761" s="13">
        <f t="shared" si="11"/>
        <v>0</v>
      </c>
    </row>
    <row r="762" spans="1:3" x14ac:dyDescent="0.25">
      <c r="A762" s="11">
        <v>0.76</v>
      </c>
      <c r="B762" s="12">
        <f>(General_Model!$E$6/General_Model!$E$7)-1/(1+General_Model!$E$26/((1.2+0.2*(General_Model!$E$26/A762)+0.35*SQRT(9.80665*(General_Model!$E$4/1000))/A762)*A762))-(A762^2/(2*9.80665*General_Model!$E$7))*((4*(0.3164/((General_Model!$E$14*A762*(General_Model!$E$4/1000)/General_Model!$E$15)^0.25))*General_Model!$E$7/(General_Model!$E$4/1000)+1)+(4*(0.3164/((General_Model!$E$14*A762*(General_Model!$E$4/1000)/General_Model!$E$15)^0.25))*General_Model!$E$7/(General_Model!$E$4/1000)+2)*(General_Model!$E$26/A762))</f>
        <v>-0.22049935126784093</v>
      </c>
      <c r="C762" s="13">
        <f t="shared" si="11"/>
        <v>0</v>
      </c>
    </row>
    <row r="763" spans="1:3" x14ac:dyDescent="0.25">
      <c r="A763" s="11">
        <v>0.76100000000000001</v>
      </c>
      <c r="B763" s="12">
        <f>(General_Model!$E$6/General_Model!$E$7)-1/(1+General_Model!$E$26/((1.2+0.2*(General_Model!$E$26/A763)+0.35*SQRT(9.80665*(General_Model!$E$4/1000))/A763)*A763))-(A763^2/(2*9.80665*General_Model!$E$7))*((4*(0.3164/((General_Model!$E$14*A763*(General_Model!$E$4/1000)/General_Model!$E$15)^0.25))*General_Model!$E$7/(General_Model!$E$4/1000)+1)+(4*(0.3164/((General_Model!$E$14*A763*(General_Model!$E$4/1000)/General_Model!$E$15)^0.25))*General_Model!$E$7/(General_Model!$E$4/1000)+2)*(General_Model!$E$26/A763))</f>
        <v>-0.22094020944652931</v>
      </c>
      <c r="C763" s="13">
        <f t="shared" si="11"/>
        <v>0</v>
      </c>
    </row>
    <row r="764" spans="1:3" x14ac:dyDescent="0.25">
      <c r="A764" s="11">
        <v>0.76200000000000001</v>
      </c>
      <c r="B764" s="12">
        <f>(General_Model!$E$6/General_Model!$E$7)-1/(1+General_Model!$E$26/((1.2+0.2*(General_Model!$E$26/A764)+0.35*SQRT(9.80665*(General_Model!$E$4/1000))/A764)*A764))-(A764^2/(2*9.80665*General_Model!$E$7))*((4*(0.3164/((General_Model!$E$14*A764*(General_Model!$E$4/1000)/General_Model!$E$15)^0.25))*General_Model!$E$7/(General_Model!$E$4/1000)+1)+(4*(0.3164/((General_Model!$E$14*A764*(General_Model!$E$4/1000)/General_Model!$E$15)^0.25))*General_Model!$E$7/(General_Model!$E$4/1000)+2)*(General_Model!$E$26/A764))</f>
        <v>-0.22138099571826766</v>
      </c>
      <c r="C764" s="13">
        <f t="shared" si="11"/>
        <v>0</v>
      </c>
    </row>
    <row r="765" spans="1:3" x14ac:dyDescent="0.25">
      <c r="A765" s="11">
        <v>0.76300000000000001</v>
      </c>
      <c r="B765" s="12">
        <f>(General_Model!$E$6/General_Model!$E$7)-1/(1+General_Model!$E$26/((1.2+0.2*(General_Model!$E$26/A765)+0.35*SQRT(9.80665*(General_Model!$E$4/1000))/A765)*A765))-(A765^2/(2*9.80665*General_Model!$E$7))*((4*(0.3164/((General_Model!$E$14*A765*(General_Model!$E$4/1000)/General_Model!$E$15)^0.25))*General_Model!$E$7/(General_Model!$E$4/1000)+1)+(4*(0.3164/((General_Model!$E$14*A765*(General_Model!$E$4/1000)/General_Model!$E$15)^0.25))*General_Model!$E$7/(General_Model!$E$4/1000)+2)*(General_Model!$E$26/A765))</f>
        <v>-0.22182171051826077</v>
      </c>
      <c r="C765" s="13">
        <f t="shared" si="11"/>
        <v>0</v>
      </c>
    </row>
    <row r="766" spans="1:3" x14ac:dyDescent="0.25">
      <c r="A766" s="11">
        <v>0.76400000000000001</v>
      </c>
      <c r="B766" s="12">
        <f>(General_Model!$E$6/General_Model!$E$7)-1/(1+General_Model!$E$26/((1.2+0.2*(General_Model!$E$26/A766)+0.35*SQRT(9.80665*(General_Model!$E$4/1000))/A766)*A766))-(A766^2/(2*9.80665*General_Model!$E$7))*((4*(0.3164/((General_Model!$E$14*A766*(General_Model!$E$4/1000)/General_Model!$E$15)^0.25))*General_Model!$E$7/(General_Model!$E$4/1000)+1)+(4*(0.3164/((General_Model!$E$14*A766*(General_Model!$E$4/1000)/General_Model!$E$15)^0.25))*General_Model!$E$7/(General_Model!$E$4/1000)+2)*(General_Model!$E$26/A766))</f>
        <v>-0.22226235428061533</v>
      </c>
      <c r="C766" s="13">
        <f t="shared" si="11"/>
        <v>0</v>
      </c>
    </row>
    <row r="767" spans="1:3" x14ac:dyDescent="0.25">
      <c r="A767" s="11">
        <v>0.76500000000000001</v>
      </c>
      <c r="B767" s="12">
        <f>(General_Model!$E$6/General_Model!$E$7)-1/(1+General_Model!$E$26/((1.2+0.2*(General_Model!$E$26/A767)+0.35*SQRT(9.80665*(General_Model!$E$4/1000))/A767)*A767))-(A767^2/(2*9.80665*General_Model!$E$7))*((4*(0.3164/((General_Model!$E$14*A767*(General_Model!$E$4/1000)/General_Model!$E$15)^0.25))*General_Model!$E$7/(General_Model!$E$4/1000)+1)+(4*(0.3164/((General_Model!$E$14*A767*(General_Model!$E$4/1000)/General_Model!$E$15)^0.25))*General_Model!$E$7/(General_Model!$E$4/1000)+2)*(General_Model!$E$26/A767))</f>
        <v>-0.2227029274383425</v>
      </c>
      <c r="C767" s="13">
        <f t="shared" si="11"/>
        <v>0</v>
      </c>
    </row>
    <row r="768" spans="1:3" x14ac:dyDescent="0.25">
      <c r="A768" s="11">
        <v>0.76600000000000001</v>
      </c>
      <c r="B768" s="12">
        <f>(General_Model!$E$6/General_Model!$E$7)-1/(1+General_Model!$E$26/((1.2+0.2*(General_Model!$E$26/A768)+0.35*SQRT(9.80665*(General_Model!$E$4/1000))/A768)*A768))-(A768^2/(2*9.80665*General_Model!$E$7))*((4*(0.3164/((General_Model!$E$14*A768*(General_Model!$E$4/1000)/General_Model!$E$15)^0.25))*General_Model!$E$7/(General_Model!$E$4/1000)+1)+(4*(0.3164/((General_Model!$E$14*A768*(General_Model!$E$4/1000)/General_Model!$E$15)^0.25))*General_Model!$E$7/(General_Model!$E$4/1000)+2)*(General_Model!$E$26/A768))</f>
        <v>-0.22314343042336174</v>
      </c>
      <c r="C768" s="13">
        <f t="shared" si="11"/>
        <v>0</v>
      </c>
    </row>
    <row r="769" spans="1:3" x14ac:dyDescent="0.25">
      <c r="A769" s="11">
        <v>0.76700000000000002</v>
      </c>
      <c r="B769" s="12">
        <f>(General_Model!$E$6/General_Model!$E$7)-1/(1+General_Model!$E$26/((1.2+0.2*(General_Model!$E$26/A769)+0.35*SQRT(9.80665*(General_Model!$E$4/1000))/A769)*A769))-(A769^2/(2*9.80665*General_Model!$E$7))*((4*(0.3164/((General_Model!$E$14*A769*(General_Model!$E$4/1000)/General_Model!$E$15)^0.25))*General_Model!$E$7/(General_Model!$E$4/1000)+1)+(4*(0.3164/((General_Model!$E$14*A769*(General_Model!$E$4/1000)/General_Model!$E$15)^0.25))*General_Model!$E$7/(General_Model!$E$4/1000)+2)*(General_Model!$E$26/A769))</f>
        <v>-0.22358386366650396</v>
      </c>
      <c r="C769" s="13">
        <f t="shared" si="11"/>
        <v>0</v>
      </c>
    </row>
    <row r="770" spans="1:3" x14ac:dyDescent="0.25">
      <c r="A770" s="11">
        <v>0.76800000000000002</v>
      </c>
      <c r="B770" s="12">
        <f>(General_Model!$E$6/General_Model!$E$7)-1/(1+General_Model!$E$26/((1.2+0.2*(General_Model!$E$26/A770)+0.35*SQRT(9.80665*(General_Model!$E$4/1000))/A770)*A770))-(A770^2/(2*9.80665*General_Model!$E$7))*((4*(0.3164/((General_Model!$E$14*A770*(General_Model!$E$4/1000)/General_Model!$E$15)^0.25))*General_Model!$E$7/(General_Model!$E$4/1000)+1)+(4*(0.3164/((General_Model!$E$14*A770*(General_Model!$E$4/1000)/General_Model!$E$15)^0.25))*General_Model!$E$7/(General_Model!$E$4/1000)+2)*(General_Model!$E$26/A770))</f>
        <v>-0.22402422759751503</v>
      </c>
      <c r="C770" s="13">
        <f t="shared" si="11"/>
        <v>0</v>
      </c>
    </row>
    <row r="771" spans="1:3" x14ac:dyDescent="0.25">
      <c r="A771" s="11">
        <v>0.76900000000000002</v>
      </c>
      <c r="B771" s="12">
        <f>(General_Model!$E$6/General_Model!$E$7)-1/(1+General_Model!$E$26/((1.2+0.2*(General_Model!$E$26/A771)+0.35*SQRT(9.80665*(General_Model!$E$4/1000))/A771)*A771))-(A771^2/(2*9.80665*General_Model!$E$7))*((4*(0.3164/((General_Model!$E$14*A771*(General_Model!$E$4/1000)/General_Model!$E$15)^0.25))*General_Model!$E$7/(General_Model!$E$4/1000)+1)+(4*(0.3164/((General_Model!$E$14*A771*(General_Model!$E$4/1000)/General_Model!$E$15)^0.25))*General_Model!$E$7/(General_Model!$E$4/1000)+2)*(General_Model!$E$26/A771))</f>
        <v>-0.22446452264505887</v>
      </c>
      <c r="C771" s="13">
        <f t="shared" ref="C771:C834" si="12">IF(B771*B772&lt;=0,1,0)</f>
        <v>0</v>
      </c>
    </row>
    <row r="772" spans="1:3" x14ac:dyDescent="0.25">
      <c r="A772" s="11">
        <v>0.77</v>
      </c>
      <c r="B772" s="12">
        <f>(General_Model!$E$6/General_Model!$E$7)-1/(1+General_Model!$E$26/((1.2+0.2*(General_Model!$E$26/A772)+0.35*SQRT(9.80665*(General_Model!$E$4/1000))/A772)*A772))-(A772^2/(2*9.80665*General_Model!$E$7))*((4*(0.3164/((General_Model!$E$14*A772*(General_Model!$E$4/1000)/General_Model!$E$15)^0.25))*General_Model!$E$7/(General_Model!$E$4/1000)+1)+(4*(0.3164/((General_Model!$E$14*A772*(General_Model!$E$4/1000)/General_Model!$E$15)^0.25))*General_Model!$E$7/(General_Model!$E$4/1000)+2)*(General_Model!$E$26/A772))</f>
        <v>-0.22490474923672185</v>
      </c>
      <c r="C772" s="13">
        <f t="shared" si="12"/>
        <v>0</v>
      </c>
    </row>
    <row r="773" spans="1:3" x14ac:dyDescent="0.25">
      <c r="A773" s="11">
        <v>0.77100000000000002</v>
      </c>
      <c r="B773" s="12">
        <f>(General_Model!$E$6/General_Model!$E$7)-1/(1+General_Model!$E$26/((1.2+0.2*(General_Model!$E$26/A773)+0.35*SQRT(9.80665*(General_Model!$E$4/1000))/A773)*A773))-(A773^2/(2*9.80665*General_Model!$E$7))*((4*(0.3164/((General_Model!$E$14*A773*(General_Model!$E$4/1000)/General_Model!$E$15)^0.25))*General_Model!$E$7/(General_Model!$E$4/1000)+1)+(4*(0.3164/((General_Model!$E$14*A773*(General_Model!$E$4/1000)/General_Model!$E$15)^0.25))*General_Model!$E$7/(General_Model!$E$4/1000)+2)*(General_Model!$E$26/A773))</f>
        <v>-0.2253449077990145</v>
      </c>
      <c r="C773" s="13">
        <f t="shared" si="12"/>
        <v>0</v>
      </c>
    </row>
    <row r="774" spans="1:3" x14ac:dyDescent="0.25">
      <c r="A774" s="11">
        <v>0.77200000000000002</v>
      </c>
      <c r="B774" s="12">
        <f>(General_Model!$E$6/General_Model!$E$7)-1/(1+General_Model!$E$26/((1.2+0.2*(General_Model!$E$26/A774)+0.35*SQRT(9.80665*(General_Model!$E$4/1000))/A774)*A774))-(A774^2/(2*9.80665*General_Model!$E$7))*((4*(0.3164/((General_Model!$E$14*A774*(General_Model!$E$4/1000)/General_Model!$E$15)^0.25))*General_Model!$E$7/(General_Model!$E$4/1000)+1)+(4*(0.3164/((General_Model!$E$14*A774*(General_Model!$E$4/1000)/General_Model!$E$15)^0.25))*General_Model!$E$7/(General_Model!$E$4/1000)+2)*(General_Model!$E$26/A774))</f>
        <v>-0.22578499875737643</v>
      </c>
      <c r="C774" s="13">
        <f t="shared" si="12"/>
        <v>0</v>
      </c>
    </row>
    <row r="775" spans="1:3" x14ac:dyDescent="0.25">
      <c r="A775" s="11">
        <v>0.77300000000000002</v>
      </c>
      <c r="B775" s="12">
        <f>(General_Model!$E$6/General_Model!$E$7)-1/(1+General_Model!$E$26/((1.2+0.2*(General_Model!$E$26/A775)+0.35*SQRT(9.80665*(General_Model!$E$4/1000))/A775)*A775))-(A775^2/(2*9.80665*General_Model!$E$7))*((4*(0.3164/((General_Model!$E$14*A775*(General_Model!$E$4/1000)/General_Model!$E$15)^0.25))*General_Model!$E$7/(General_Model!$E$4/1000)+1)+(4*(0.3164/((General_Model!$E$14*A775*(General_Model!$E$4/1000)/General_Model!$E$15)^0.25))*General_Model!$E$7/(General_Model!$E$4/1000)+2)*(General_Model!$E$26/A775))</f>
        <v>-0.22622502253617821</v>
      </c>
      <c r="C775" s="13">
        <f t="shared" si="12"/>
        <v>0</v>
      </c>
    </row>
    <row r="776" spans="1:3" x14ac:dyDescent="0.25">
      <c r="A776" s="11">
        <v>0.77400000000000002</v>
      </c>
      <c r="B776" s="12">
        <f>(General_Model!$E$6/General_Model!$E$7)-1/(1+General_Model!$E$26/((1.2+0.2*(General_Model!$E$26/A776)+0.35*SQRT(9.80665*(General_Model!$E$4/1000))/A776)*A776))-(A776^2/(2*9.80665*General_Model!$E$7))*((4*(0.3164/((General_Model!$E$14*A776*(General_Model!$E$4/1000)/General_Model!$E$15)^0.25))*General_Model!$E$7/(General_Model!$E$4/1000)+1)+(4*(0.3164/((General_Model!$E$14*A776*(General_Model!$E$4/1000)/General_Model!$E$15)^0.25))*General_Model!$E$7/(General_Model!$E$4/1000)+2)*(General_Model!$E$26/A776))</f>
        <v>-0.22666497955872658</v>
      </c>
      <c r="C776" s="13">
        <f t="shared" si="12"/>
        <v>0</v>
      </c>
    </row>
    <row r="777" spans="1:3" x14ac:dyDescent="0.25">
      <c r="A777" s="11">
        <v>0.77500000000000002</v>
      </c>
      <c r="B777" s="12">
        <f>(General_Model!$E$6/General_Model!$E$7)-1/(1+General_Model!$E$26/((1.2+0.2*(General_Model!$E$26/A777)+0.35*SQRT(9.80665*(General_Model!$E$4/1000))/A777)*A777))-(A777^2/(2*9.80665*General_Model!$E$7))*((4*(0.3164/((General_Model!$E$14*A777*(General_Model!$E$4/1000)/General_Model!$E$15)^0.25))*General_Model!$E$7/(General_Model!$E$4/1000)+1)+(4*(0.3164/((General_Model!$E$14*A777*(General_Model!$E$4/1000)/General_Model!$E$15)^0.25))*General_Model!$E$7/(General_Model!$E$4/1000)+2)*(General_Model!$E$26/A777))</f>
        <v>-0.22710487024726567</v>
      </c>
      <c r="C777" s="13">
        <f t="shared" si="12"/>
        <v>0</v>
      </c>
    </row>
    <row r="778" spans="1:3" x14ac:dyDescent="0.25">
      <c r="A778" s="11">
        <v>0.77600000000000002</v>
      </c>
      <c r="B778" s="12">
        <f>(General_Model!$E$6/General_Model!$E$7)-1/(1+General_Model!$E$26/((1.2+0.2*(General_Model!$E$26/A778)+0.35*SQRT(9.80665*(General_Model!$E$4/1000))/A778)*A778))-(A778^2/(2*9.80665*General_Model!$E$7))*((4*(0.3164/((General_Model!$E$14*A778*(General_Model!$E$4/1000)/General_Model!$E$15)^0.25))*General_Model!$E$7/(General_Model!$E$4/1000)+1)+(4*(0.3164/((General_Model!$E$14*A778*(General_Model!$E$4/1000)/General_Model!$E$15)^0.25))*General_Model!$E$7/(General_Model!$E$4/1000)+2)*(General_Model!$E$26/A778))</f>
        <v>-0.22754469502298144</v>
      </c>
      <c r="C778" s="13">
        <f t="shared" si="12"/>
        <v>0</v>
      </c>
    </row>
    <row r="779" spans="1:3" x14ac:dyDescent="0.25">
      <c r="A779" s="11">
        <v>0.77700000000000002</v>
      </c>
      <c r="B779" s="12">
        <f>(General_Model!$E$6/General_Model!$E$7)-1/(1+General_Model!$E$26/((1.2+0.2*(General_Model!$E$26/A779)+0.35*SQRT(9.80665*(General_Model!$E$4/1000))/A779)*A779))-(A779^2/(2*9.80665*General_Model!$E$7))*((4*(0.3164/((General_Model!$E$14*A779*(General_Model!$E$4/1000)/General_Model!$E$15)^0.25))*General_Model!$E$7/(General_Model!$E$4/1000)+1)+(4*(0.3164/((General_Model!$E$14*A779*(General_Model!$E$4/1000)/General_Model!$E$15)^0.25))*General_Model!$E$7/(General_Model!$E$4/1000)+2)*(General_Model!$E$26/A779))</f>
        <v>-0.22798445430600503</v>
      </c>
      <c r="C779" s="13">
        <f t="shared" si="12"/>
        <v>0</v>
      </c>
    </row>
    <row r="780" spans="1:3" x14ac:dyDescent="0.25">
      <c r="A780" s="11">
        <v>0.77800000000000002</v>
      </c>
      <c r="B780" s="12">
        <f>(General_Model!$E$6/General_Model!$E$7)-1/(1+General_Model!$E$26/((1.2+0.2*(General_Model!$E$26/A780)+0.35*SQRT(9.80665*(General_Model!$E$4/1000))/A780)*A780))-(A780^2/(2*9.80665*General_Model!$E$7))*((4*(0.3164/((General_Model!$E$14*A780*(General_Model!$E$4/1000)/General_Model!$E$15)^0.25))*General_Model!$E$7/(General_Model!$E$4/1000)+1)+(4*(0.3164/((General_Model!$E$14*A780*(General_Model!$E$4/1000)/General_Model!$E$15)^0.25))*General_Model!$E$7/(General_Model!$E$4/1000)+2)*(General_Model!$E$26/A780))</f>
        <v>-0.2284241485154157</v>
      </c>
      <c r="C780" s="13">
        <f t="shared" si="12"/>
        <v>0</v>
      </c>
    </row>
    <row r="781" spans="1:3" x14ac:dyDescent="0.25">
      <c r="A781" s="11">
        <v>0.77900000000000003</v>
      </c>
      <c r="B781" s="12">
        <f>(General_Model!$E$6/General_Model!$E$7)-1/(1+General_Model!$E$26/((1.2+0.2*(General_Model!$E$26/A781)+0.35*SQRT(9.80665*(General_Model!$E$4/1000))/A781)*A781))-(A781^2/(2*9.80665*General_Model!$E$7))*((4*(0.3164/((General_Model!$E$14*A781*(General_Model!$E$4/1000)/General_Model!$E$15)^0.25))*General_Model!$E$7/(General_Model!$E$4/1000)+1)+(4*(0.3164/((General_Model!$E$14*A781*(General_Model!$E$4/1000)/General_Model!$E$15)^0.25))*General_Model!$E$7/(General_Model!$E$4/1000)+2)*(General_Model!$E$26/A781))</f>
        <v>-0.22886377806924413</v>
      </c>
      <c r="C781" s="13">
        <f t="shared" si="12"/>
        <v>0</v>
      </c>
    </row>
    <row r="782" spans="1:3" x14ac:dyDescent="0.25">
      <c r="A782" s="11">
        <v>0.78</v>
      </c>
      <c r="B782" s="12">
        <f>(General_Model!$E$6/General_Model!$E$7)-1/(1+General_Model!$E$26/((1.2+0.2*(General_Model!$E$26/A782)+0.35*SQRT(9.80665*(General_Model!$E$4/1000))/A782)*A782))-(A782^2/(2*9.80665*General_Model!$E$7))*((4*(0.3164/((General_Model!$E$14*A782*(General_Model!$E$4/1000)/General_Model!$E$15)^0.25))*General_Model!$E$7/(General_Model!$E$4/1000)+1)+(4*(0.3164/((General_Model!$E$14*A782*(General_Model!$E$4/1000)/General_Model!$E$15)^0.25))*General_Model!$E$7/(General_Model!$E$4/1000)+2)*(General_Model!$E$26/A782))</f>
        <v>-0.22930334338447539</v>
      </c>
      <c r="C782" s="13">
        <f t="shared" si="12"/>
        <v>0</v>
      </c>
    </row>
    <row r="783" spans="1:3" x14ac:dyDescent="0.25">
      <c r="A783" s="11">
        <v>0.78100000000000003</v>
      </c>
      <c r="B783" s="12">
        <f>(General_Model!$E$6/General_Model!$E$7)-1/(1+General_Model!$E$26/((1.2+0.2*(General_Model!$E$26/A783)+0.35*SQRT(9.80665*(General_Model!$E$4/1000))/A783)*A783))-(A783^2/(2*9.80665*General_Model!$E$7))*((4*(0.3164/((General_Model!$E$14*A783*(General_Model!$E$4/1000)/General_Model!$E$15)^0.25))*General_Model!$E$7/(General_Model!$E$4/1000)+1)+(4*(0.3164/((General_Model!$E$14*A783*(General_Model!$E$4/1000)/General_Model!$E$15)^0.25))*General_Model!$E$7/(General_Model!$E$4/1000)+2)*(General_Model!$E$26/A783))</f>
        <v>-0.22974284487705324</v>
      </c>
      <c r="C783" s="13">
        <f t="shared" si="12"/>
        <v>0</v>
      </c>
    </row>
    <row r="784" spans="1:3" x14ac:dyDescent="0.25">
      <c r="A784" s="11">
        <v>0.78200000000000003</v>
      </c>
      <c r="B784" s="12">
        <f>(General_Model!$E$6/General_Model!$E$7)-1/(1+General_Model!$E$26/((1.2+0.2*(General_Model!$E$26/A784)+0.35*SQRT(9.80665*(General_Model!$E$4/1000))/A784)*A784))-(A784^2/(2*9.80665*General_Model!$E$7))*((4*(0.3164/((General_Model!$E$14*A784*(General_Model!$E$4/1000)/General_Model!$E$15)^0.25))*General_Model!$E$7/(General_Model!$E$4/1000)+1)+(4*(0.3164/((General_Model!$E$14*A784*(General_Model!$E$4/1000)/General_Model!$E$15)^0.25))*General_Model!$E$7/(General_Model!$E$4/1000)+2)*(General_Model!$E$26/A784))</f>
        <v>-0.23018228296188201</v>
      </c>
      <c r="C784" s="13">
        <f t="shared" si="12"/>
        <v>0</v>
      </c>
    </row>
    <row r="785" spans="1:3" x14ac:dyDescent="0.25">
      <c r="A785" s="11">
        <v>0.78300000000000003</v>
      </c>
      <c r="B785" s="12">
        <f>(General_Model!$E$6/General_Model!$E$7)-1/(1+General_Model!$E$26/((1.2+0.2*(General_Model!$E$26/A785)+0.35*SQRT(9.80665*(General_Model!$E$4/1000))/A785)*A785))-(A785^2/(2*9.80665*General_Model!$E$7))*((4*(0.3164/((General_Model!$E$14*A785*(General_Model!$E$4/1000)/General_Model!$E$15)^0.25))*General_Model!$E$7/(General_Model!$E$4/1000)+1)+(4*(0.3164/((General_Model!$E$14*A785*(General_Model!$E$4/1000)/General_Model!$E$15)^0.25))*General_Model!$E$7/(General_Model!$E$4/1000)+2)*(General_Model!$E$26/A785))</f>
        <v>-0.23062165805283025</v>
      </c>
      <c r="C785" s="13">
        <f t="shared" si="12"/>
        <v>0</v>
      </c>
    </row>
    <row r="786" spans="1:3" x14ac:dyDescent="0.25">
      <c r="A786" s="11">
        <v>0.78400000000000003</v>
      </c>
      <c r="B786" s="12">
        <f>(General_Model!$E$6/General_Model!$E$7)-1/(1+General_Model!$E$26/((1.2+0.2*(General_Model!$E$26/A786)+0.35*SQRT(9.80665*(General_Model!$E$4/1000))/A786)*A786))-(A786^2/(2*9.80665*General_Model!$E$7))*((4*(0.3164/((General_Model!$E$14*A786*(General_Model!$E$4/1000)/General_Model!$E$15)^0.25))*General_Model!$E$7/(General_Model!$E$4/1000)+1)+(4*(0.3164/((General_Model!$E$14*A786*(General_Model!$E$4/1000)/General_Model!$E$15)^0.25))*General_Model!$E$7/(General_Model!$E$4/1000)+2)*(General_Model!$E$26/A786))</f>
        <v>-0.23106097056273447</v>
      </c>
      <c r="C786" s="13">
        <f t="shared" si="12"/>
        <v>0</v>
      </c>
    </row>
    <row r="787" spans="1:3" x14ac:dyDescent="0.25">
      <c r="A787" s="11">
        <v>0.78500000000000003</v>
      </c>
      <c r="B787" s="12">
        <f>(General_Model!$E$6/General_Model!$E$7)-1/(1+General_Model!$E$26/((1.2+0.2*(General_Model!$E$26/A787)+0.35*SQRT(9.80665*(General_Model!$E$4/1000))/A787)*A787))-(A787^2/(2*9.80665*General_Model!$E$7))*((4*(0.3164/((General_Model!$E$14*A787*(General_Model!$E$4/1000)/General_Model!$E$15)^0.25))*General_Model!$E$7/(General_Model!$E$4/1000)+1)+(4*(0.3164/((General_Model!$E$14*A787*(General_Model!$E$4/1000)/General_Model!$E$15)^0.25))*General_Model!$E$7/(General_Model!$E$4/1000)+2)*(General_Model!$E$26/A787))</f>
        <v>-0.23150022090340203</v>
      </c>
      <c r="C787" s="13">
        <f t="shared" si="12"/>
        <v>0</v>
      </c>
    </row>
    <row r="788" spans="1:3" x14ac:dyDescent="0.25">
      <c r="A788" s="11">
        <v>0.78600000000000003</v>
      </c>
      <c r="B788" s="12">
        <f>(General_Model!$E$6/General_Model!$E$7)-1/(1+General_Model!$E$26/((1.2+0.2*(General_Model!$E$26/A788)+0.35*SQRT(9.80665*(General_Model!$E$4/1000))/A788)*A788))-(A788^2/(2*9.80665*General_Model!$E$7))*((4*(0.3164/((General_Model!$E$14*A788*(General_Model!$E$4/1000)/General_Model!$E$15)^0.25))*General_Model!$E$7/(General_Model!$E$4/1000)+1)+(4*(0.3164/((General_Model!$E$14*A788*(General_Model!$E$4/1000)/General_Model!$E$15)^0.25))*General_Model!$E$7/(General_Model!$E$4/1000)+2)*(General_Model!$E$26/A788))</f>
        <v>-0.23193940948561373</v>
      </c>
      <c r="C788" s="13">
        <f t="shared" si="12"/>
        <v>0</v>
      </c>
    </row>
    <row r="789" spans="1:3" x14ac:dyDescent="0.25">
      <c r="A789" s="11">
        <v>0.78700000000000003</v>
      </c>
      <c r="B789" s="12">
        <f>(General_Model!$E$6/General_Model!$E$7)-1/(1+General_Model!$E$26/((1.2+0.2*(General_Model!$E$26/A789)+0.35*SQRT(9.80665*(General_Model!$E$4/1000))/A789)*A789))-(A789^2/(2*9.80665*General_Model!$E$7))*((4*(0.3164/((General_Model!$E$14*A789*(General_Model!$E$4/1000)/General_Model!$E$15)^0.25))*General_Model!$E$7/(General_Model!$E$4/1000)+1)+(4*(0.3164/((General_Model!$E$14*A789*(General_Model!$E$4/1000)/General_Model!$E$15)^0.25))*General_Model!$E$7/(General_Model!$E$4/1000)+2)*(General_Model!$E$26/A789))</f>
        <v>-0.23237853671912798</v>
      </c>
      <c r="C789" s="13">
        <f t="shared" si="12"/>
        <v>0</v>
      </c>
    </row>
    <row r="790" spans="1:3" x14ac:dyDescent="0.25">
      <c r="A790" s="11">
        <v>0.78800000000000003</v>
      </c>
      <c r="B790" s="12">
        <f>(General_Model!$E$6/General_Model!$E$7)-1/(1+General_Model!$E$26/((1.2+0.2*(General_Model!$E$26/A790)+0.35*SQRT(9.80665*(General_Model!$E$4/1000))/A790)*A790))-(A790^2/(2*9.80665*General_Model!$E$7))*((4*(0.3164/((General_Model!$E$14*A790*(General_Model!$E$4/1000)/General_Model!$E$15)^0.25))*General_Model!$E$7/(General_Model!$E$4/1000)+1)+(4*(0.3164/((General_Model!$E$14*A790*(General_Model!$E$4/1000)/General_Model!$E$15)^0.25))*General_Model!$E$7/(General_Model!$E$4/1000)+2)*(General_Model!$E$26/A790))</f>
        <v>-0.23281760301268276</v>
      </c>
      <c r="C790" s="13">
        <f t="shared" si="12"/>
        <v>0</v>
      </c>
    </row>
    <row r="791" spans="1:3" x14ac:dyDescent="0.25">
      <c r="A791" s="11">
        <v>0.78900000000000003</v>
      </c>
      <c r="B791" s="12">
        <f>(General_Model!$E$6/General_Model!$E$7)-1/(1+General_Model!$E$26/((1.2+0.2*(General_Model!$E$26/A791)+0.35*SQRT(9.80665*(General_Model!$E$4/1000))/A791)*A791))-(A791^2/(2*9.80665*General_Model!$E$7))*((4*(0.3164/((General_Model!$E$14*A791*(General_Model!$E$4/1000)/General_Model!$E$15)^0.25))*General_Model!$E$7/(General_Model!$E$4/1000)+1)+(4*(0.3164/((General_Model!$E$14*A791*(General_Model!$E$4/1000)/General_Model!$E$15)^0.25))*General_Model!$E$7/(General_Model!$E$4/1000)+2)*(General_Model!$E$26/A791))</f>
        <v>-0.23325660877400023</v>
      </c>
      <c r="C791" s="13">
        <f t="shared" si="12"/>
        <v>0</v>
      </c>
    </row>
    <row r="792" spans="1:3" x14ac:dyDescent="0.25">
      <c r="A792" s="11">
        <v>0.79</v>
      </c>
      <c r="B792" s="12">
        <f>(General_Model!$E$6/General_Model!$E$7)-1/(1+General_Model!$E$26/((1.2+0.2*(General_Model!$E$26/A792)+0.35*SQRT(9.80665*(General_Model!$E$4/1000))/A792)*A792))-(A792^2/(2*9.80665*General_Model!$E$7))*((4*(0.3164/((General_Model!$E$14*A792*(General_Model!$E$4/1000)/General_Model!$E$15)^0.25))*General_Model!$E$7/(General_Model!$E$4/1000)+1)+(4*(0.3164/((General_Model!$E$14*A792*(General_Model!$E$4/1000)/General_Model!$E$15)^0.25))*General_Model!$E$7/(General_Model!$E$4/1000)+2)*(General_Model!$E$26/A792))</f>
        <v>-0.2336955544097884</v>
      </c>
      <c r="C792" s="13">
        <f t="shared" si="12"/>
        <v>0</v>
      </c>
    </row>
    <row r="793" spans="1:3" x14ac:dyDescent="0.25">
      <c r="A793" s="11">
        <v>0.79100000000000004</v>
      </c>
      <c r="B793" s="12">
        <f>(General_Model!$E$6/General_Model!$E$7)-1/(1+General_Model!$E$26/((1.2+0.2*(General_Model!$E$26/A793)+0.35*SQRT(9.80665*(General_Model!$E$4/1000))/A793)*A793))-(A793^2/(2*9.80665*General_Model!$E$7))*((4*(0.3164/((General_Model!$E$14*A793*(General_Model!$E$4/1000)/General_Model!$E$15)^0.25))*General_Model!$E$7/(General_Model!$E$4/1000)+1)+(4*(0.3164/((General_Model!$E$14*A793*(General_Model!$E$4/1000)/General_Model!$E$15)^0.25))*General_Model!$E$7/(General_Model!$E$4/1000)+2)*(General_Model!$E$26/A793))</f>
        <v>-0.23413444032574512</v>
      </c>
      <c r="C793" s="13">
        <f t="shared" si="12"/>
        <v>0</v>
      </c>
    </row>
    <row r="794" spans="1:3" x14ac:dyDescent="0.25">
      <c r="A794" s="11">
        <v>0.79200000000000004</v>
      </c>
      <c r="B794" s="12">
        <f>(General_Model!$E$6/General_Model!$E$7)-1/(1+General_Model!$E$26/((1.2+0.2*(General_Model!$E$26/A794)+0.35*SQRT(9.80665*(General_Model!$E$4/1000))/A794)*A794))-(A794^2/(2*9.80665*General_Model!$E$7))*((4*(0.3164/((General_Model!$E$14*A794*(General_Model!$E$4/1000)/General_Model!$E$15)^0.25))*General_Model!$E$7/(General_Model!$E$4/1000)+1)+(4*(0.3164/((General_Model!$E$14*A794*(General_Model!$E$4/1000)/General_Model!$E$15)^0.25))*General_Model!$E$7/(General_Model!$E$4/1000)+2)*(General_Model!$E$26/A794))</f>
        <v>-0.23457326692656119</v>
      </c>
      <c r="C794" s="13">
        <f t="shared" si="12"/>
        <v>0</v>
      </c>
    </row>
    <row r="795" spans="1:3" x14ac:dyDescent="0.25">
      <c r="A795" s="11">
        <v>0.79300000000000004</v>
      </c>
      <c r="B795" s="12">
        <f>(General_Model!$E$6/General_Model!$E$7)-1/(1+General_Model!$E$26/((1.2+0.2*(General_Model!$E$26/A795)+0.35*SQRT(9.80665*(General_Model!$E$4/1000))/A795)*A795))-(A795^2/(2*9.80665*General_Model!$E$7))*((4*(0.3164/((General_Model!$E$14*A795*(General_Model!$E$4/1000)/General_Model!$E$15)^0.25))*General_Model!$E$7/(General_Model!$E$4/1000)+1)+(4*(0.3164/((General_Model!$E$14*A795*(General_Model!$E$4/1000)/General_Model!$E$15)^0.25))*General_Model!$E$7/(General_Model!$E$4/1000)+2)*(General_Model!$E$26/A795))</f>
        <v>-0.23501203461592277</v>
      </c>
      <c r="C795" s="13">
        <f t="shared" si="12"/>
        <v>0</v>
      </c>
    </row>
    <row r="796" spans="1:3" x14ac:dyDescent="0.25">
      <c r="A796" s="11">
        <v>0.79400000000000004</v>
      </c>
      <c r="B796" s="12">
        <f>(General_Model!$E$6/General_Model!$E$7)-1/(1+General_Model!$E$26/((1.2+0.2*(General_Model!$E$26/A796)+0.35*SQRT(9.80665*(General_Model!$E$4/1000))/A796)*A796))-(A796^2/(2*9.80665*General_Model!$E$7))*((4*(0.3164/((General_Model!$E$14*A796*(General_Model!$E$4/1000)/General_Model!$E$15)^0.25))*General_Model!$E$7/(General_Model!$E$4/1000)+1)+(4*(0.3164/((General_Model!$E$14*A796*(General_Model!$E$4/1000)/General_Model!$E$15)^0.25))*General_Model!$E$7/(General_Model!$E$4/1000)+2)*(General_Model!$E$26/A796))</f>
        <v>-0.23545074379651523</v>
      </c>
      <c r="C796" s="13">
        <f t="shared" si="12"/>
        <v>0</v>
      </c>
    </row>
    <row r="797" spans="1:3" x14ac:dyDescent="0.25">
      <c r="A797" s="11">
        <v>0.79500000000000004</v>
      </c>
      <c r="B797" s="12">
        <f>(General_Model!$E$6/General_Model!$E$7)-1/(1+General_Model!$E$26/((1.2+0.2*(General_Model!$E$26/A797)+0.35*SQRT(9.80665*(General_Model!$E$4/1000))/A797)*A797))-(A797^2/(2*9.80665*General_Model!$E$7))*((4*(0.3164/((General_Model!$E$14*A797*(General_Model!$E$4/1000)/General_Model!$E$15)^0.25))*General_Model!$E$7/(General_Model!$E$4/1000)+1)+(4*(0.3164/((General_Model!$E$14*A797*(General_Model!$E$4/1000)/General_Model!$E$15)^0.25))*General_Model!$E$7/(General_Model!$E$4/1000)+2)*(General_Model!$E$26/A797))</f>
        <v>-0.23588939487002591</v>
      </c>
      <c r="C797" s="13">
        <f t="shared" si="12"/>
        <v>0</v>
      </c>
    </row>
    <row r="798" spans="1:3" x14ac:dyDescent="0.25">
      <c r="A798" s="11">
        <v>0.79600000000000004</v>
      </c>
      <c r="B798" s="12">
        <f>(General_Model!$E$6/General_Model!$E$7)-1/(1+General_Model!$E$26/((1.2+0.2*(General_Model!$E$26/A798)+0.35*SQRT(9.80665*(General_Model!$E$4/1000))/A798)*A798))-(A798^2/(2*9.80665*General_Model!$E$7))*((4*(0.3164/((General_Model!$E$14*A798*(General_Model!$E$4/1000)/General_Model!$E$15)^0.25))*General_Model!$E$7/(General_Model!$E$4/1000)+1)+(4*(0.3164/((General_Model!$E$14*A798*(General_Model!$E$4/1000)/General_Model!$E$15)^0.25))*General_Model!$E$7/(General_Model!$E$4/1000)+2)*(General_Model!$E$26/A798))</f>
        <v>-0.23632798823714696</v>
      </c>
      <c r="C798" s="13">
        <f t="shared" si="12"/>
        <v>0</v>
      </c>
    </row>
    <row r="799" spans="1:3" x14ac:dyDescent="0.25">
      <c r="A799" s="11">
        <v>0.79700000000000004</v>
      </c>
      <c r="B799" s="12">
        <f>(General_Model!$E$6/General_Model!$E$7)-1/(1+General_Model!$E$26/((1.2+0.2*(General_Model!$E$26/A799)+0.35*SQRT(9.80665*(General_Model!$E$4/1000))/A799)*A799))-(A799^2/(2*9.80665*General_Model!$E$7))*((4*(0.3164/((General_Model!$E$14*A799*(General_Model!$E$4/1000)/General_Model!$E$15)^0.25))*General_Model!$E$7/(General_Model!$E$4/1000)+1)+(4*(0.3164/((General_Model!$E$14*A799*(General_Model!$E$4/1000)/General_Model!$E$15)^0.25))*General_Model!$E$7/(General_Model!$E$4/1000)+2)*(General_Model!$E$26/A799))</f>
        <v>-0.23676652429757872</v>
      </c>
      <c r="C799" s="13">
        <f t="shared" si="12"/>
        <v>0</v>
      </c>
    </row>
    <row r="800" spans="1:3" x14ac:dyDescent="0.25">
      <c r="A800" s="11">
        <v>0.79800000000000004</v>
      </c>
      <c r="B800" s="12">
        <f>(General_Model!$E$6/General_Model!$E$7)-1/(1+General_Model!$E$26/((1.2+0.2*(General_Model!$E$26/A800)+0.35*SQRT(9.80665*(General_Model!$E$4/1000))/A800)*A800))-(A800^2/(2*9.80665*General_Model!$E$7))*((4*(0.3164/((General_Model!$E$14*A800*(General_Model!$E$4/1000)/General_Model!$E$15)^0.25))*General_Model!$E$7/(General_Model!$E$4/1000)+1)+(4*(0.3164/((General_Model!$E$14*A800*(General_Model!$E$4/1000)/General_Model!$E$15)^0.25))*General_Model!$E$7/(General_Model!$E$4/1000)+2)*(General_Model!$E$26/A800))</f>
        <v>-0.23720500345003262</v>
      </c>
      <c r="C800" s="13">
        <f t="shared" si="12"/>
        <v>0</v>
      </c>
    </row>
    <row r="801" spans="1:3" x14ac:dyDescent="0.25">
      <c r="A801" s="11">
        <v>0.79900000000000004</v>
      </c>
      <c r="B801" s="12">
        <f>(General_Model!$E$6/General_Model!$E$7)-1/(1+General_Model!$E$26/((1.2+0.2*(General_Model!$E$26/A801)+0.35*SQRT(9.80665*(General_Model!$E$4/1000))/A801)*A801))-(A801^2/(2*9.80665*General_Model!$E$7))*((4*(0.3164/((General_Model!$E$14*A801*(General_Model!$E$4/1000)/General_Model!$E$15)^0.25))*General_Model!$E$7/(General_Model!$E$4/1000)+1)+(4*(0.3164/((General_Model!$E$14*A801*(General_Model!$E$4/1000)/General_Model!$E$15)^0.25))*General_Model!$E$7/(General_Model!$E$4/1000)+2)*(General_Model!$E$26/A801))</f>
        <v>-0.23764342609223427</v>
      </c>
      <c r="C801" s="13">
        <f t="shared" si="12"/>
        <v>0</v>
      </c>
    </row>
    <row r="802" spans="1:3" x14ac:dyDescent="0.25">
      <c r="A802" s="11">
        <v>0.8</v>
      </c>
      <c r="B802" s="12">
        <f>(General_Model!$E$6/General_Model!$E$7)-1/(1+General_Model!$E$26/((1.2+0.2*(General_Model!$E$26/A802)+0.35*SQRT(9.80665*(General_Model!$E$4/1000))/A802)*A802))-(A802^2/(2*9.80665*General_Model!$E$7))*((4*(0.3164/((General_Model!$E$14*A802*(General_Model!$E$4/1000)/General_Model!$E$15)^0.25))*General_Model!$E$7/(General_Model!$E$4/1000)+1)+(4*(0.3164/((General_Model!$E$14*A802*(General_Model!$E$4/1000)/General_Model!$E$15)^0.25))*General_Model!$E$7/(General_Model!$E$4/1000)+2)*(General_Model!$E$26/A802))</f>
        <v>-0.23808179262092649</v>
      </c>
      <c r="C802" s="13">
        <f t="shared" si="12"/>
        <v>0</v>
      </c>
    </row>
    <row r="803" spans="1:3" x14ac:dyDescent="0.25">
      <c r="A803" s="11">
        <v>0.80100000000000005</v>
      </c>
      <c r="B803" s="12">
        <f>(General_Model!$E$6/General_Model!$E$7)-1/(1+General_Model!$E$26/((1.2+0.2*(General_Model!$E$26/A803)+0.35*SQRT(9.80665*(General_Model!$E$4/1000))/A803)*A803))-(A803^2/(2*9.80665*General_Model!$E$7))*((4*(0.3164/((General_Model!$E$14*A803*(General_Model!$E$4/1000)/General_Model!$E$15)^0.25))*General_Model!$E$7/(General_Model!$E$4/1000)+1)+(4*(0.3164/((General_Model!$E$14*A803*(General_Model!$E$4/1000)/General_Model!$E$15)^0.25))*General_Model!$E$7/(General_Model!$E$4/1000)+2)*(General_Model!$E$26/A803))</f>
        <v>-0.23852010343187188</v>
      </c>
      <c r="C803" s="13">
        <f t="shared" si="12"/>
        <v>0</v>
      </c>
    </row>
    <row r="804" spans="1:3" x14ac:dyDescent="0.25">
      <c r="A804" s="11">
        <v>0.80200000000000005</v>
      </c>
      <c r="B804" s="12">
        <f>(General_Model!$E$6/General_Model!$E$7)-1/(1+General_Model!$E$26/((1.2+0.2*(General_Model!$E$26/A804)+0.35*SQRT(9.80665*(General_Model!$E$4/1000))/A804)*A804))-(A804^2/(2*9.80665*General_Model!$E$7))*((4*(0.3164/((General_Model!$E$14*A804*(General_Model!$E$4/1000)/General_Model!$E$15)^0.25))*General_Model!$E$7/(General_Model!$E$4/1000)+1)+(4*(0.3164/((General_Model!$E$14*A804*(General_Model!$E$4/1000)/General_Model!$E$15)^0.25))*General_Model!$E$7/(General_Model!$E$4/1000)+2)*(General_Model!$E$26/A804))</f>
        <v>-0.23895835891985656</v>
      </c>
      <c r="C804" s="13">
        <f t="shared" si="12"/>
        <v>0</v>
      </c>
    </row>
    <row r="805" spans="1:3" x14ac:dyDescent="0.25">
      <c r="A805" s="11">
        <v>0.80300000000000005</v>
      </c>
      <c r="B805" s="12">
        <f>(General_Model!$E$6/General_Model!$E$7)-1/(1+General_Model!$E$26/((1.2+0.2*(General_Model!$E$26/A805)+0.35*SQRT(9.80665*(General_Model!$E$4/1000))/A805)*A805))-(A805^2/(2*9.80665*General_Model!$E$7))*((4*(0.3164/((General_Model!$E$14*A805*(General_Model!$E$4/1000)/General_Model!$E$15)^0.25))*General_Model!$E$7/(General_Model!$E$4/1000)+1)+(4*(0.3164/((General_Model!$E$14*A805*(General_Model!$E$4/1000)/General_Model!$E$15)^0.25))*General_Model!$E$7/(General_Model!$E$4/1000)+2)*(General_Model!$E$26/A805))</f>
        <v>-0.23939655947869254</v>
      </c>
      <c r="C805" s="13">
        <f t="shared" si="12"/>
        <v>0</v>
      </c>
    </row>
    <row r="806" spans="1:3" x14ac:dyDescent="0.25">
      <c r="A806" s="11">
        <v>0.80400000000000005</v>
      </c>
      <c r="B806" s="12">
        <f>(General_Model!$E$6/General_Model!$E$7)-1/(1+General_Model!$E$26/((1.2+0.2*(General_Model!$E$26/A806)+0.35*SQRT(9.80665*(General_Model!$E$4/1000))/A806)*A806))-(A806^2/(2*9.80665*General_Model!$E$7))*((4*(0.3164/((General_Model!$E$14*A806*(General_Model!$E$4/1000)/General_Model!$E$15)^0.25))*General_Model!$E$7/(General_Model!$E$4/1000)+1)+(4*(0.3164/((General_Model!$E$14*A806*(General_Model!$E$4/1000)/General_Model!$E$15)^0.25))*General_Model!$E$7/(General_Model!$E$4/1000)+2)*(General_Model!$E$26/A806))</f>
        <v>-0.23983470550122107</v>
      </c>
      <c r="C806" s="13">
        <f t="shared" si="12"/>
        <v>0</v>
      </c>
    </row>
    <row r="807" spans="1:3" x14ac:dyDescent="0.25">
      <c r="A807" s="11">
        <v>0.80500000000000005</v>
      </c>
      <c r="B807" s="12">
        <f>(General_Model!$E$6/General_Model!$E$7)-1/(1+General_Model!$E$26/((1.2+0.2*(General_Model!$E$26/A807)+0.35*SQRT(9.80665*(General_Model!$E$4/1000))/A807)*A807))-(A807^2/(2*9.80665*General_Model!$E$7))*((4*(0.3164/((General_Model!$E$14*A807*(General_Model!$E$4/1000)/General_Model!$E$15)^0.25))*General_Model!$E$7/(General_Model!$E$4/1000)+1)+(4*(0.3164/((General_Model!$E$14*A807*(General_Model!$E$4/1000)/General_Model!$E$15)^0.25))*General_Model!$E$7/(General_Model!$E$4/1000)+2)*(General_Model!$E$26/A807))</f>
        <v>-0.24027279737931542</v>
      </c>
      <c r="C807" s="13">
        <f t="shared" si="12"/>
        <v>0</v>
      </c>
    </row>
    <row r="808" spans="1:3" x14ac:dyDescent="0.25">
      <c r="A808" s="11">
        <v>0.80600000000000005</v>
      </c>
      <c r="B808" s="12">
        <f>(General_Model!$E$6/General_Model!$E$7)-1/(1+General_Model!$E$26/((1.2+0.2*(General_Model!$E$26/A808)+0.35*SQRT(9.80665*(General_Model!$E$4/1000))/A808)*A808))-(A808^2/(2*9.80665*General_Model!$E$7))*((4*(0.3164/((General_Model!$E$14*A808*(General_Model!$E$4/1000)/General_Model!$E$15)^0.25))*General_Model!$E$7/(General_Model!$E$4/1000)+1)+(4*(0.3164/((General_Model!$E$14*A808*(General_Model!$E$4/1000)/General_Model!$E$15)^0.25))*General_Model!$E$7/(General_Model!$E$4/1000)+2)*(General_Model!$E$26/A808))</f>
        <v>-0.24071083550388367</v>
      </c>
      <c r="C808" s="13">
        <f t="shared" si="12"/>
        <v>0</v>
      </c>
    </row>
    <row r="809" spans="1:3" x14ac:dyDescent="0.25">
      <c r="A809" s="11">
        <v>0.80700000000000005</v>
      </c>
      <c r="B809" s="12">
        <f>(General_Model!$E$6/General_Model!$E$7)-1/(1+General_Model!$E$26/((1.2+0.2*(General_Model!$E$26/A809)+0.35*SQRT(9.80665*(General_Model!$E$4/1000))/A809)*A809))-(A809^2/(2*9.80665*General_Model!$E$7))*((4*(0.3164/((General_Model!$E$14*A809*(General_Model!$E$4/1000)/General_Model!$E$15)^0.25))*General_Model!$E$7/(General_Model!$E$4/1000)+1)+(4*(0.3164/((General_Model!$E$14*A809*(General_Model!$E$4/1000)/General_Model!$E$15)^0.25))*General_Model!$E$7/(General_Model!$E$4/1000)+2)*(General_Model!$E$26/A809))</f>
        <v>-0.241148820264872</v>
      </c>
      <c r="C809" s="13">
        <f t="shared" si="12"/>
        <v>0</v>
      </c>
    </row>
    <row r="810" spans="1:3" x14ac:dyDescent="0.25">
      <c r="A810" s="11">
        <v>0.80800000000000005</v>
      </c>
      <c r="B810" s="12">
        <f>(General_Model!$E$6/General_Model!$E$7)-1/(1+General_Model!$E$26/((1.2+0.2*(General_Model!$E$26/A810)+0.35*SQRT(9.80665*(General_Model!$E$4/1000))/A810)*A810))-(A810^2/(2*9.80665*General_Model!$E$7))*((4*(0.3164/((General_Model!$E$14*A810*(General_Model!$E$4/1000)/General_Model!$E$15)^0.25))*General_Model!$E$7/(General_Model!$E$4/1000)+1)+(4*(0.3164/((General_Model!$E$14*A810*(General_Model!$E$4/1000)/General_Model!$E$15)^0.25))*General_Model!$E$7/(General_Model!$E$4/1000)+2)*(General_Model!$E$26/A810))</f>
        <v>-0.24158675205126745</v>
      </c>
      <c r="C810" s="13">
        <f t="shared" si="12"/>
        <v>0</v>
      </c>
    </row>
    <row r="811" spans="1:3" x14ac:dyDescent="0.25">
      <c r="A811" s="11">
        <v>0.80900000000000005</v>
      </c>
      <c r="B811" s="12">
        <f>(General_Model!$E$6/General_Model!$E$7)-1/(1+General_Model!$E$26/((1.2+0.2*(General_Model!$E$26/A811)+0.35*SQRT(9.80665*(General_Model!$E$4/1000))/A811)*A811))-(A811^2/(2*9.80665*General_Model!$E$7))*((4*(0.3164/((General_Model!$E$14*A811*(General_Model!$E$4/1000)/General_Model!$E$15)^0.25))*General_Model!$E$7/(General_Model!$E$4/1000)+1)+(4*(0.3164/((General_Model!$E$14*A811*(General_Model!$E$4/1000)/General_Model!$E$15)^0.25))*General_Model!$E$7/(General_Model!$E$4/1000)+2)*(General_Model!$E$26/A811))</f>
        <v>-0.2420246312511008</v>
      </c>
      <c r="C811" s="13">
        <f t="shared" si="12"/>
        <v>0</v>
      </c>
    </row>
    <row r="812" spans="1:3" x14ac:dyDescent="0.25">
      <c r="A812" s="11">
        <v>0.81</v>
      </c>
      <c r="B812" s="12">
        <f>(General_Model!$E$6/General_Model!$E$7)-1/(1+General_Model!$E$26/((1.2+0.2*(General_Model!$E$26/A812)+0.35*SQRT(9.80665*(General_Model!$E$4/1000))/A812)*A812))-(A812^2/(2*9.80665*General_Model!$E$7))*((4*(0.3164/((General_Model!$E$14*A812*(General_Model!$E$4/1000)/General_Model!$E$15)^0.25))*General_Model!$E$7/(General_Model!$E$4/1000)+1)+(4*(0.3164/((General_Model!$E$14*A812*(General_Model!$E$4/1000)/General_Model!$E$15)^0.25))*General_Model!$E$7/(General_Model!$E$4/1000)+2)*(General_Model!$E$26/A812))</f>
        <v>-0.24246245825144944</v>
      </c>
      <c r="C812" s="13">
        <f t="shared" si="12"/>
        <v>0</v>
      </c>
    </row>
    <row r="813" spans="1:3" x14ac:dyDescent="0.25">
      <c r="A813" s="11">
        <v>0.81100000000000005</v>
      </c>
      <c r="B813" s="12">
        <f>(General_Model!$E$6/General_Model!$E$7)-1/(1+General_Model!$E$26/((1.2+0.2*(General_Model!$E$26/A813)+0.35*SQRT(9.80665*(General_Model!$E$4/1000))/A813)*A813))-(A813^2/(2*9.80665*General_Model!$E$7))*((4*(0.3164/((General_Model!$E$14*A813*(General_Model!$E$4/1000)/General_Model!$E$15)^0.25))*General_Model!$E$7/(General_Model!$E$4/1000)+1)+(4*(0.3164/((General_Model!$E$14*A813*(General_Model!$E$4/1000)/General_Model!$E$15)^0.25))*General_Model!$E$7/(General_Model!$E$4/1000)+2)*(General_Model!$E$26/A813))</f>
        <v>-0.24290023343844022</v>
      </c>
      <c r="C813" s="13">
        <f t="shared" si="12"/>
        <v>0</v>
      </c>
    </row>
    <row r="814" spans="1:3" x14ac:dyDescent="0.25">
      <c r="A814" s="11">
        <v>0.81200000000000006</v>
      </c>
      <c r="B814" s="12">
        <f>(General_Model!$E$6/General_Model!$E$7)-1/(1+General_Model!$E$26/((1.2+0.2*(General_Model!$E$26/A814)+0.35*SQRT(9.80665*(General_Model!$E$4/1000))/A814)*A814))-(A814^2/(2*9.80665*General_Model!$E$7))*((4*(0.3164/((General_Model!$E$14*A814*(General_Model!$E$4/1000)/General_Model!$E$15)^0.25))*General_Model!$E$7/(General_Model!$E$4/1000)+1)+(4*(0.3164/((General_Model!$E$14*A814*(General_Model!$E$4/1000)/General_Model!$E$15)^0.25))*General_Model!$E$7/(General_Model!$E$4/1000)+2)*(General_Model!$E$26/A814))</f>
        <v>-0.24333795719725274</v>
      </c>
      <c r="C814" s="13">
        <f t="shared" si="12"/>
        <v>0</v>
      </c>
    </row>
    <row r="815" spans="1:3" x14ac:dyDescent="0.25">
      <c r="A815" s="11">
        <v>0.81300000000000006</v>
      </c>
      <c r="B815" s="12">
        <f>(General_Model!$E$6/General_Model!$E$7)-1/(1+General_Model!$E$26/((1.2+0.2*(General_Model!$E$26/A815)+0.35*SQRT(9.80665*(General_Model!$E$4/1000))/A815)*A815))-(A815^2/(2*9.80665*General_Model!$E$7))*((4*(0.3164/((General_Model!$E$14*A815*(General_Model!$E$4/1000)/General_Model!$E$15)^0.25))*General_Model!$E$7/(General_Model!$E$4/1000)+1)+(4*(0.3164/((General_Model!$E$14*A815*(General_Model!$E$4/1000)/General_Model!$E$15)^0.25))*General_Model!$E$7/(General_Model!$E$4/1000)+2)*(General_Model!$E$26/A815))</f>
        <v>-0.24377562991212176</v>
      </c>
      <c r="C815" s="13">
        <f t="shared" si="12"/>
        <v>0</v>
      </c>
    </row>
    <row r="816" spans="1:3" x14ac:dyDescent="0.25">
      <c r="A816" s="11">
        <v>0.81400000000000006</v>
      </c>
      <c r="B816" s="12">
        <f>(General_Model!$E$6/General_Model!$E$7)-1/(1+General_Model!$E$26/((1.2+0.2*(General_Model!$E$26/A816)+0.35*SQRT(9.80665*(General_Model!$E$4/1000))/A816)*A816))-(A816^2/(2*9.80665*General_Model!$E$7))*((4*(0.3164/((General_Model!$E$14*A816*(General_Model!$E$4/1000)/General_Model!$E$15)^0.25))*General_Model!$E$7/(General_Model!$E$4/1000)+1)+(4*(0.3164/((General_Model!$E$14*A816*(General_Model!$E$4/1000)/General_Model!$E$15)^0.25))*General_Model!$E$7/(General_Model!$E$4/1000)+2)*(General_Model!$E$26/A816))</f>
        <v>-0.24421325196634017</v>
      </c>
      <c r="C816" s="13">
        <f t="shared" si="12"/>
        <v>0</v>
      </c>
    </row>
    <row r="817" spans="1:3" x14ac:dyDescent="0.25">
      <c r="A817" s="11">
        <v>0.81500000000000006</v>
      </c>
      <c r="B817" s="12">
        <f>(General_Model!$E$6/General_Model!$E$7)-1/(1+General_Model!$E$26/((1.2+0.2*(General_Model!$E$26/A817)+0.35*SQRT(9.80665*(General_Model!$E$4/1000))/A817)*A817))-(A817^2/(2*9.80665*General_Model!$E$7))*((4*(0.3164/((General_Model!$E$14*A817*(General_Model!$E$4/1000)/General_Model!$E$15)^0.25))*General_Model!$E$7/(General_Model!$E$4/1000)+1)+(4*(0.3164/((General_Model!$E$14*A817*(General_Model!$E$4/1000)/General_Model!$E$15)^0.25))*General_Model!$E$7/(General_Model!$E$4/1000)+2)*(General_Model!$E$26/A817))</f>
        <v>-0.24465082374226194</v>
      </c>
      <c r="C817" s="13">
        <f t="shared" si="12"/>
        <v>0</v>
      </c>
    </row>
    <row r="818" spans="1:3" x14ac:dyDescent="0.25">
      <c r="A818" s="11">
        <v>0.81600000000000006</v>
      </c>
      <c r="B818" s="12">
        <f>(General_Model!$E$6/General_Model!$E$7)-1/(1+General_Model!$E$26/((1.2+0.2*(General_Model!$E$26/A818)+0.35*SQRT(9.80665*(General_Model!$E$4/1000))/A818)*A818))-(A818^2/(2*9.80665*General_Model!$E$7))*((4*(0.3164/((General_Model!$E$14*A818*(General_Model!$E$4/1000)/General_Model!$E$15)^0.25))*General_Model!$E$7/(General_Model!$E$4/1000)+1)+(4*(0.3164/((General_Model!$E$14*A818*(General_Model!$E$4/1000)/General_Model!$E$15)^0.25))*General_Model!$E$7/(General_Model!$E$4/1000)+2)*(General_Model!$E$26/A818))</f>
        <v>-0.24508834562130505</v>
      </c>
      <c r="C818" s="13">
        <f t="shared" si="12"/>
        <v>0</v>
      </c>
    </row>
    <row r="819" spans="1:3" x14ac:dyDescent="0.25">
      <c r="A819" s="11">
        <v>0.81700000000000006</v>
      </c>
      <c r="B819" s="12">
        <f>(General_Model!$E$6/General_Model!$E$7)-1/(1+General_Model!$E$26/((1.2+0.2*(General_Model!$E$26/A819)+0.35*SQRT(9.80665*(General_Model!$E$4/1000))/A819)*A819))-(A819^2/(2*9.80665*General_Model!$E$7))*((4*(0.3164/((General_Model!$E$14*A819*(General_Model!$E$4/1000)/General_Model!$E$15)^0.25))*General_Model!$E$7/(General_Model!$E$4/1000)+1)+(4*(0.3164/((General_Model!$E$14*A819*(General_Model!$E$4/1000)/General_Model!$E$15)^0.25))*General_Model!$E$7/(General_Model!$E$4/1000)+2)*(General_Model!$E$26/A819))</f>
        <v>-0.24552581798395398</v>
      </c>
      <c r="C819" s="13">
        <f t="shared" si="12"/>
        <v>0</v>
      </c>
    </row>
    <row r="820" spans="1:3" x14ac:dyDescent="0.25">
      <c r="A820" s="11">
        <v>0.81800000000000006</v>
      </c>
      <c r="B820" s="12">
        <f>(General_Model!$E$6/General_Model!$E$7)-1/(1+General_Model!$E$26/((1.2+0.2*(General_Model!$E$26/A820)+0.35*SQRT(9.80665*(General_Model!$E$4/1000))/A820)*A820))-(A820^2/(2*9.80665*General_Model!$E$7))*((4*(0.3164/((General_Model!$E$14*A820*(General_Model!$E$4/1000)/General_Model!$E$15)^0.25))*General_Model!$E$7/(General_Model!$E$4/1000)+1)+(4*(0.3164/((General_Model!$E$14*A820*(General_Model!$E$4/1000)/General_Model!$E$15)^0.25))*General_Model!$E$7/(General_Model!$E$4/1000)+2)*(General_Model!$E$26/A820))</f>
        <v>-0.24596324120976276</v>
      </c>
      <c r="C820" s="13">
        <f t="shared" si="12"/>
        <v>0</v>
      </c>
    </row>
    <row r="821" spans="1:3" x14ac:dyDescent="0.25">
      <c r="A821" s="11">
        <v>0.81900000000000006</v>
      </c>
      <c r="B821" s="12">
        <f>(General_Model!$E$6/General_Model!$E$7)-1/(1+General_Model!$E$26/((1.2+0.2*(General_Model!$E$26/A821)+0.35*SQRT(9.80665*(General_Model!$E$4/1000))/A821)*A821))-(A821^2/(2*9.80665*General_Model!$E$7))*((4*(0.3164/((General_Model!$E$14*A821*(General_Model!$E$4/1000)/General_Model!$E$15)^0.25))*General_Model!$E$7/(General_Model!$E$4/1000)+1)+(4*(0.3164/((General_Model!$E$14*A821*(General_Model!$E$4/1000)/General_Model!$E$15)^0.25))*General_Model!$E$7/(General_Model!$E$4/1000)+2)*(General_Model!$E$26/A821))</f>
        <v>-0.24640061567735796</v>
      </c>
      <c r="C821" s="13">
        <f t="shared" si="12"/>
        <v>0</v>
      </c>
    </row>
    <row r="822" spans="1:3" x14ac:dyDescent="0.25">
      <c r="A822" s="11">
        <v>0.82000000000000006</v>
      </c>
      <c r="B822" s="12">
        <f>(General_Model!$E$6/General_Model!$E$7)-1/(1+General_Model!$E$26/((1.2+0.2*(General_Model!$E$26/A822)+0.35*SQRT(9.80665*(General_Model!$E$4/1000))/A822)*A822))-(A822^2/(2*9.80665*General_Model!$E$7))*((4*(0.3164/((General_Model!$E$14*A822*(General_Model!$E$4/1000)/General_Model!$E$15)^0.25))*General_Model!$E$7/(General_Model!$E$4/1000)+1)+(4*(0.3164/((General_Model!$E$14*A822*(General_Model!$E$4/1000)/General_Model!$E$15)^0.25))*General_Model!$E$7/(General_Model!$E$4/1000)+2)*(General_Model!$E$26/A822))</f>
        <v>-0.24683794176444127</v>
      </c>
      <c r="C822" s="13">
        <f t="shared" si="12"/>
        <v>0</v>
      </c>
    </row>
    <row r="823" spans="1:3" x14ac:dyDescent="0.25">
      <c r="A823" s="11">
        <v>0.82100000000000006</v>
      </c>
      <c r="B823" s="12">
        <f>(General_Model!$E$6/General_Model!$E$7)-1/(1+General_Model!$E$26/((1.2+0.2*(General_Model!$E$26/A823)+0.35*SQRT(9.80665*(General_Model!$E$4/1000))/A823)*A823))-(A823^2/(2*9.80665*General_Model!$E$7))*((4*(0.3164/((General_Model!$E$14*A823*(General_Model!$E$4/1000)/General_Model!$E$15)^0.25))*General_Model!$E$7/(General_Model!$E$4/1000)+1)+(4*(0.3164/((General_Model!$E$14*A823*(General_Model!$E$4/1000)/General_Model!$E$15)^0.25))*General_Model!$E$7/(General_Model!$E$4/1000)+2)*(General_Model!$E$26/A823))</f>
        <v>-0.24727521984779197</v>
      </c>
      <c r="C823" s="13">
        <f t="shared" si="12"/>
        <v>0</v>
      </c>
    </row>
    <row r="824" spans="1:3" x14ac:dyDescent="0.25">
      <c r="A824" s="11">
        <v>0.82200000000000006</v>
      </c>
      <c r="B824" s="12">
        <f>(General_Model!$E$6/General_Model!$E$7)-1/(1+General_Model!$E$26/((1.2+0.2*(General_Model!$E$26/A824)+0.35*SQRT(9.80665*(General_Model!$E$4/1000))/A824)*A824))-(A824^2/(2*9.80665*General_Model!$E$7))*((4*(0.3164/((General_Model!$E$14*A824*(General_Model!$E$4/1000)/General_Model!$E$15)^0.25))*General_Model!$E$7/(General_Model!$E$4/1000)+1)+(4*(0.3164/((General_Model!$E$14*A824*(General_Model!$E$4/1000)/General_Model!$E$15)^0.25))*General_Model!$E$7/(General_Model!$E$4/1000)+2)*(General_Model!$E$26/A824))</f>
        <v>-0.24771245030327046</v>
      </c>
      <c r="C824" s="13">
        <f t="shared" si="12"/>
        <v>0</v>
      </c>
    </row>
    <row r="825" spans="1:3" x14ac:dyDescent="0.25">
      <c r="A825" s="11">
        <v>0.82300000000000006</v>
      </c>
      <c r="B825" s="12">
        <f>(General_Model!$E$6/General_Model!$E$7)-1/(1+General_Model!$E$26/((1.2+0.2*(General_Model!$E$26/A825)+0.35*SQRT(9.80665*(General_Model!$E$4/1000))/A825)*A825))-(A825^2/(2*9.80665*General_Model!$E$7))*((4*(0.3164/((General_Model!$E$14*A825*(General_Model!$E$4/1000)/General_Model!$E$15)^0.25))*General_Model!$E$7/(General_Model!$E$4/1000)+1)+(4*(0.3164/((General_Model!$E$14*A825*(General_Model!$E$4/1000)/General_Model!$E$15)^0.25))*General_Model!$E$7/(General_Model!$E$4/1000)+2)*(General_Model!$E$26/A825))</f>
        <v>-0.24814963350582028</v>
      </c>
      <c r="C825" s="13">
        <f t="shared" si="12"/>
        <v>0</v>
      </c>
    </row>
    <row r="826" spans="1:3" x14ac:dyDescent="0.25">
      <c r="A826" s="11">
        <v>0.82400000000000007</v>
      </c>
      <c r="B826" s="12">
        <f>(General_Model!$E$6/General_Model!$E$7)-1/(1+General_Model!$E$26/((1.2+0.2*(General_Model!$E$26/A826)+0.35*SQRT(9.80665*(General_Model!$E$4/1000))/A826)*A826))-(A826^2/(2*9.80665*General_Model!$E$7))*((4*(0.3164/((General_Model!$E$14*A826*(General_Model!$E$4/1000)/General_Model!$E$15)^0.25))*General_Model!$E$7/(General_Model!$E$4/1000)+1)+(4*(0.3164/((General_Model!$E$14*A826*(General_Model!$E$4/1000)/General_Model!$E$15)^0.25))*General_Model!$E$7/(General_Model!$E$4/1000)+2)*(General_Model!$E$26/A826))</f>
        <v>-0.24858676982947181</v>
      </c>
      <c r="C826" s="13">
        <f t="shared" si="12"/>
        <v>0</v>
      </c>
    </row>
    <row r="827" spans="1:3" x14ac:dyDescent="0.25">
      <c r="A827" s="11">
        <v>0.82500000000000007</v>
      </c>
      <c r="B827" s="12">
        <f>(General_Model!$E$6/General_Model!$E$7)-1/(1+General_Model!$E$26/((1.2+0.2*(General_Model!$E$26/A827)+0.35*SQRT(9.80665*(General_Model!$E$4/1000))/A827)*A827))-(A827^2/(2*9.80665*General_Model!$E$7))*((4*(0.3164/((General_Model!$E$14*A827*(General_Model!$E$4/1000)/General_Model!$E$15)^0.25))*General_Model!$E$7/(General_Model!$E$4/1000)+1)+(4*(0.3164/((General_Model!$E$14*A827*(General_Model!$E$4/1000)/General_Model!$E$15)^0.25))*General_Model!$E$7/(General_Model!$E$4/1000)+2)*(General_Model!$E$26/A827))</f>
        <v>-0.24902385964734333</v>
      </c>
      <c r="C827" s="13">
        <f t="shared" si="12"/>
        <v>0</v>
      </c>
    </row>
    <row r="828" spans="1:3" x14ac:dyDescent="0.25">
      <c r="A828" s="11">
        <v>0.82600000000000007</v>
      </c>
      <c r="B828" s="12">
        <f>(General_Model!$E$6/General_Model!$E$7)-1/(1+General_Model!$E$26/((1.2+0.2*(General_Model!$E$26/A828)+0.35*SQRT(9.80665*(General_Model!$E$4/1000))/A828)*A828))-(A828^2/(2*9.80665*General_Model!$E$7))*((4*(0.3164/((General_Model!$E$14*A828*(General_Model!$E$4/1000)/General_Model!$E$15)^0.25))*General_Model!$E$7/(General_Model!$E$4/1000)+1)+(4*(0.3164/((General_Model!$E$14*A828*(General_Model!$E$4/1000)/General_Model!$E$15)^0.25))*General_Model!$E$7/(General_Model!$E$4/1000)+2)*(General_Model!$E$26/A828))</f>
        <v>-0.24946090333164619</v>
      </c>
      <c r="C828" s="13">
        <f t="shared" si="12"/>
        <v>0</v>
      </c>
    </row>
    <row r="829" spans="1:3" x14ac:dyDescent="0.25">
      <c r="A829" s="11">
        <v>0.82700000000000007</v>
      </c>
      <c r="B829" s="12">
        <f>(General_Model!$E$6/General_Model!$E$7)-1/(1+General_Model!$E$26/((1.2+0.2*(General_Model!$E$26/A829)+0.35*SQRT(9.80665*(General_Model!$E$4/1000))/A829)*A829))-(A829^2/(2*9.80665*General_Model!$E$7))*((4*(0.3164/((General_Model!$E$14*A829*(General_Model!$E$4/1000)/General_Model!$E$15)^0.25))*General_Model!$E$7/(General_Model!$E$4/1000)+1)+(4*(0.3164/((General_Model!$E$14*A829*(General_Model!$E$4/1000)/General_Model!$E$15)^0.25))*General_Model!$E$7/(General_Model!$E$4/1000)+2)*(General_Model!$E$26/A829))</f>
        <v>-0.24989790125368522</v>
      </c>
      <c r="C829" s="13">
        <f t="shared" si="12"/>
        <v>0</v>
      </c>
    </row>
    <row r="830" spans="1:3" x14ac:dyDescent="0.25">
      <c r="A830" s="11">
        <v>0.82800000000000007</v>
      </c>
      <c r="B830" s="12">
        <f>(General_Model!$E$6/General_Model!$E$7)-1/(1+General_Model!$E$26/((1.2+0.2*(General_Model!$E$26/A830)+0.35*SQRT(9.80665*(General_Model!$E$4/1000))/A830)*A830))-(A830^2/(2*9.80665*General_Model!$E$7))*((4*(0.3164/((General_Model!$E$14*A830*(General_Model!$E$4/1000)/General_Model!$E$15)^0.25))*General_Model!$E$7/(General_Model!$E$4/1000)+1)+(4*(0.3164/((General_Model!$E$14*A830*(General_Model!$E$4/1000)/General_Model!$E$15)^0.25))*General_Model!$E$7/(General_Model!$E$4/1000)+2)*(General_Model!$E$26/A830))</f>
        <v>-0.25033485378386267</v>
      </c>
      <c r="C830" s="13">
        <f t="shared" si="12"/>
        <v>0</v>
      </c>
    </row>
    <row r="831" spans="1:3" x14ac:dyDescent="0.25">
      <c r="A831" s="11">
        <v>0.82900000000000007</v>
      </c>
      <c r="B831" s="12">
        <f>(General_Model!$E$6/General_Model!$E$7)-1/(1+General_Model!$E$26/((1.2+0.2*(General_Model!$E$26/A831)+0.35*SQRT(9.80665*(General_Model!$E$4/1000))/A831)*A831))-(A831^2/(2*9.80665*General_Model!$E$7))*((4*(0.3164/((General_Model!$E$14*A831*(General_Model!$E$4/1000)/General_Model!$E$15)^0.25))*General_Model!$E$7/(General_Model!$E$4/1000)+1)+(4*(0.3164/((General_Model!$E$14*A831*(General_Model!$E$4/1000)/General_Model!$E$15)^0.25))*General_Model!$E$7/(General_Model!$E$4/1000)+2)*(General_Model!$E$26/A831))</f>
        <v>-0.25077176129168099</v>
      </c>
      <c r="C831" s="13">
        <f t="shared" si="12"/>
        <v>0</v>
      </c>
    </row>
    <row r="832" spans="1:3" x14ac:dyDescent="0.25">
      <c r="A832" s="11">
        <v>0.83000000000000007</v>
      </c>
      <c r="B832" s="12">
        <f>(General_Model!$E$6/General_Model!$E$7)-1/(1+General_Model!$E$26/((1.2+0.2*(General_Model!$E$26/A832)+0.35*SQRT(9.80665*(General_Model!$E$4/1000))/A832)*A832))-(A832^2/(2*9.80665*General_Model!$E$7))*((4*(0.3164/((General_Model!$E$14*A832*(General_Model!$E$4/1000)/General_Model!$E$15)^0.25))*General_Model!$E$7/(General_Model!$E$4/1000)+1)+(4*(0.3164/((General_Model!$E$14*A832*(General_Model!$E$4/1000)/General_Model!$E$15)^0.25))*General_Model!$E$7/(General_Model!$E$4/1000)+2)*(General_Model!$E$26/A832))</f>
        <v>-0.25120862414574474</v>
      </c>
      <c r="C832" s="13">
        <f t="shared" si="12"/>
        <v>0</v>
      </c>
    </row>
    <row r="833" spans="1:3" x14ac:dyDescent="0.25">
      <c r="A833" s="11">
        <v>0.83100000000000007</v>
      </c>
      <c r="B833" s="12">
        <f>(General_Model!$E$6/General_Model!$E$7)-1/(1+General_Model!$E$26/((1.2+0.2*(General_Model!$E$26/A833)+0.35*SQRT(9.80665*(General_Model!$E$4/1000))/A833)*A833))-(A833^2/(2*9.80665*General_Model!$E$7))*((4*(0.3164/((General_Model!$E$14*A833*(General_Model!$E$4/1000)/General_Model!$E$15)^0.25))*General_Model!$E$7/(General_Model!$E$4/1000)+1)+(4*(0.3164/((General_Model!$E$14*A833*(General_Model!$E$4/1000)/General_Model!$E$15)^0.25))*General_Model!$E$7/(General_Model!$E$4/1000)+2)*(General_Model!$E$26/A833))</f>
        <v>-0.25164544271376427</v>
      </c>
      <c r="C833" s="13">
        <f t="shared" si="12"/>
        <v>0</v>
      </c>
    </row>
    <row r="834" spans="1:3" x14ac:dyDescent="0.25">
      <c r="A834" s="11">
        <v>0.83200000000000007</v>
      </c>
      <c r="B834" s="12">
        <f>(General_Model!$E$6/General_Model!$E$7)-1/(1+General_Model!$E$26/((1.2+0.2*(General_Model!$E$26/A834)+0.35*SQRT(9.80665*(General_Model!$E$4/1000))/A834)*A834))-(A834^2/(2*9.80665*General_Model!$E$7))*((4*(0.3164/((General_Model!$E$14*A834*(General_Model!$E$4/1000)/General_Model!$E$15)^0.25))*General_Model!$E$7/(General_Model!$E$4/1000)+1)+(4*(0.3164/((General_Model!$E$14*A834*(General_Model!$E$4/1000)/General_Model!$E$15)^0.25))*General_Model!$E$7/(General_Model!$E$4/1000)+2)*(General_Model!$E$26/A834))</f>
        <v>-0.25208221736255776</v>
      </c>
      <c r="C834" s="13">
        <f t="shared" si="12"/>
        <v>0</v>
      </c>
    </row>
    <row r="835" spans="1:3" x14ac:dyDescent="0.25">
      <c r="A835" s="11">
        <v>0.83300000000000007</v>
      </c>
      <c r="B835" s="12">
        <f>(General_Model!$E$6/General_Model!$E$7)-1/(1+General_Model!$E$26/((1.2+0.2*(General_Model!$E$26/A835)+0.35*SQRT(9.80665*(General_Model!$E$4/1000))/A835)*A835))-(A835^2/(2*9.80665*General_Model!$E$7))*((4*(0.3164/((General_Model!$E$14*A835*(General_Model!$E$4/1000)/General_Model!$E$15)^0.25))*General_Model!$E$7/(General_Model!$E$4/1000)+1)+(4*(0.3164/((General_Model!$E$14*A835*(General_Model!$E$4/1000)/General_Model!$E$15)^0.25))*General_Model!$E$7/(General_Model!$E$4/1000)+2)*(General_Model!$E$26/A835))</f>
        <v>-0.25251894845805367</v>
      </c>
      <c r="C835" s="13">
        <f t="shared" ref="C835:C898" si="13">IF(B835*B836&lt;=0,1,0)</f>
        <v>0</v>
      </c>
    </row>
    <row r="836" spans="1:3" x14ac:dyDescent="0.25">
      <c r="A836" s="11">
        <v>0.83399999999999996</v>
      </c>
      <c r="B836" s="12">
        <f>(General_Model!$E$6/General_Model!$E$7)-1/(1+General_Model!$E$26/((1.2+0.2*(General_Model!$E$26/A836)+0.35*SQRT(9.80665*(General_Model!$E$4/1000))/A836)*A836))-(A836^2/(2*9.80665*General_Model!$E$7))*((4*(0.3164/((General_Model!$E$14*A836*(General_Model!$E$4/1000)/General_Model!$E$15)^0.25))*General_Model!$E$7/(General_Model!$E$4/1000)+1)+(4*(0.3164/((General_Model!$E$14*A836*(General_Model!$E$4/1000)/General_Model!$E$15)^0.25))*General_Model!$E$7/(General_Model!$E$4/1000)+2)*(General_Model!$E$26/A836))</f>
        <v>-0.252955636365294</v>
      </c>
      <c r="C836" s="13">
        <f t="shared" si="13"/>
        <v>0</v>
      </c>
    </row>
    <row r="837" spans="1:3" x14ac:dyDescent="0.25">
      <c r="A837" s="11">
        <v>0.83499999999999996</v>
      </c>
      <c r="B837" s="12">
        <f>(General_Model!$E$6/General_Model!$E$7)-1/(1+General_Model!$E$26/((1.2+0.2*(General_Model!$E$26/A837)+0.35*SQRT(9.80665*(General_Model!$E$4/1000))/A837)*A837))-(A837^2/(2*9.80665*General_Model!$E$7))*((4*(0.3164/((General_Model!$E$14*A837*(General_Model!$E$4/1000)/General_Model!$E$15)^0.25))*General_Model!$E$7/(General_Model!$E$4/1000)+1)+(4*(0.3164/((General_Model!$E$14*A837*(General_Model!$E$4/1000)/General_Model!$E$15)^0.25))*General_Model!$E$7/(General_Model!$E$4/1000)+2)*(General_Model!$E$26/A837))</f>
        <v>-0.25339228144843695</v>
      </c>
      <c r="C837" s="13">
        <f t="shared" si="13"/>
        <v>0</v>
      </c>
    </row>
    <row r="838" spans="1:3" x14ac:dyDescent="0.25">
      <c r="A838" s="11">
        <v>0.83599999999999997</v>
      </c>
      <c r="B838" s="12">
        <f>(General_Model!$E$6/General_Model!$E$7)-1/(1+General_Model!$E$26/((1.2+0.2*(General_Model!$E$26/A838)+0.35*SQRT(9.80665*(General_Model!$E$4/1000))/A838)*A838))-(A838^2/(2*9.80665*General_Model!$E$7))*((4*(0.3164/((General_Model!$E$14*A838*(General_Model!$E$4/1000)/General_Model!$E$15)^0.25))*General_Model!$E$7/(General_Model!$E$4/1000)+1)+(4*(0.3164/((General_Model!$E$14*A838*(General_Model!$E$4/1000)/General_Model!$E$15)^0.25))*General_Model!$E$7/(General_Model!$E$4/1000)+2)*(General_Model!$E$26/A838))</f>
        <v>-0.25382888407075888</v>
      </c>
      <c r="C838" s="13">
        <f t="shared" si="13"/>
        <v>0</v>
      </c>
    </row>
    <row r="839" spans="1:3" x14ac:dyDescent="0.25">
      <c r="A839" s="11">
        <v>0.83699999999999997</v>
      </c>
      <c r="B839" s="12">
        <f>(General_Model!$E$6/General_Model!$E$7)-1/(1+General_Model!$E$26/((1.2+0.2*(General_Model!$E$26/A839)+0.35*SQRT(9.80665*(General_Model!$E$4/1000))/A839)*A839))-(A839^2/(2*9.80665*General_Model!$E$7))*((4*(0.3164/((General_Model!$E$14*A839*(General_Model!$E$4/1000)/General_Model!$E$15)^0.25))*General_Model!$E$7/(General_Model!$E$4/1000)+1)+(4*(0.3164/((General_Model!$E$14*A839*(General_Model!$E$4/1000)/General_Model!$E$15)^0.25))*General_Model!$E$7/(General_Model!$E$4/1000)+2)*(General_Model!$E$26/A839))</f>
        <v>-0.25426544459465761</v>
      </c>
      <c r="C839" s="13">
        <f t="shared" si="13"/>
        <v>0</v>
      </c>
    </row>
    <row r="840" spans="1:3" x14ac:dyDescent="0.25">
      <c r="A840" s="11">
        <v>0.83799999999999997</v>
      </c>
      <c r="B840" s="12">
        <f>(General_Model!$E$6/General_Model!$E$7)-1/(1+General_Model!$E$26/((1.2+0.2*(General_Model!$E$26/A840)+0.35*SQRT(9.80665*(General_Model!$E$4/1000))/A840)*A840))-(A840^2/(2*9.80665*General_Model!$E$7))*((4*(0.3164/((General_Model!$E$14*A840*(General_Model!$E$4/1000)/General_Model!$E$15)^0.25))*General_Model!$E$7/(General_Model!$E$4/1000)+1)+(4*(0.3164/((General_Model!$E$14*A840*(General_Model!$E$4/1000)/General_Model!$E$15)^0.25))*General_Model!$E$7/(General_Model!$E$4/1000)+2)*(General_Model!$E$26/A840))</f>
        <v>-0.25470196338165502</v>
      </c>
      <c r="C840" s="13">
        <f t="shared" si="13"/>
        <v>0</v>
      </c>
    </row>
    <row r="841" spans="1:3" x14ac:dyDescent="0.25">
      <c r="A841" s="11">
        <v>0.83899999999999997</v>
      </c>
      <c r="B841" s="12">
        <f>(General_Model!$E$6/General_Model!$E$7)-1/(1+General_Model!$E$26/((1.2+0.2*(General_Model!$E$26/A841)+0.35*SQRT(9.80665*(General_Model!$E$4/1000))/A841)*A841))-(A841^2/(2*9.80665*General_Model!$E$7))*((4*(0.3164/((General_Model!$E$14*A841*(General_Model!$E$4/1000)/General_Model!$E$15)^0.25))*General_Model!$E$7/(General_Model!$E$4/1000)+1)+(4*(0.3164/((General_Model!$E$14*A841*(General_Model!$E$4/1000)/General_Model!$E$15)^0.25))*General_Model!$E$7/(General_Model!$E$4/1000)+2)*(General_Model!$E$26/A841))</f>
        <v>-0.255138440792399</v>
      </c>
      <c r="C841" s="13">
        <f t="shared" si="13"/>
        <v>0</v>
      </c>
    </row>
    <row r="842" spans="1:3" x14ac:dyDescent="0.25">
      <c r="A842" s="11">
        <v>0.84</v>
      </c>
      <c r="B842" s="12">
        <f>(General_Model!$E$6/General_Model!$E$7)-1/(1+General_Model!$E$26/((1.2+0.2*(General_Model!$E$26/A842)+0.35*SQRT(9.80665*(General_Model!$E$4/1000))/A842)*A842))-(A842^2/(2*9.80665*General_Model!$E$7))*((4*(0.3164/((General_Model!$E$14*A842*(General_Model!$E$4/1000)/General_Model!$E$15)^0.25))*General_Model!$E$7/(General_Model!$E$4/1000)+1)+(4*(0.3164/((General_Model!$E$14*A842*(General_Model!$E$4/1000)/General_Model!$E$15)^0.25))*General_Model!$E$7/(General_Model!$E$4/1000)+2)*(General_Model!$E$26/A842))</f>
        <v>-0.25557487718666683</v>
      </c>
      <c r="C842" s="13">
        <f t="shared" si="13"/>
        <v>0</v>
      </c>
    </row>
    <row r="843" spans="1:3" x14ac:dyDescent="0.25">
      <c r="A843" s="11">
        <v>0.84099999999999997</v>
      </c>
      <c r="B843" s="12">
        <f>(General_Model!$E$6/General_Model!$E$7)-1/(1+General_Model!$E$26/((1.2+0.2*(General_Model!$E$26/A843)+0.35*SQRT(9.80665*(General_Model!$E$4/1000))/A843)*A843))-(A843^2/(2*9.80665*General_Model!$E$7))*((4*(0.3164/((General_Model!$E$14*A843*(General_Model!$E$4/1000)/General_Model!$E$15)^0.25))*General_Model!$E$7/(General_Model!$E$4/1000)+1)+(4*(0.3164/((General_Model!$E$14*A843*(General_Model!$E$4/1000)/General_Model!$E$15)^0.25))*General_Model!$E$7/(General_Model!$E$4/1000)+2)*(General_Model!$E$26/A843))</f>
        <v>-0.25601127292336745</v>
      </c>
      <c r="C843" s="13">
        <f t="shared" si="13"/>
        <v>0</v>
      </c>
    </row>
    <row r="844" spans="1:3" x14ac:dyDescent="0.25">
      <c r="A844" s="11">
        <v>0.84199999999999997</v>
      </c>
      <c r="B844" s="12">
        <f>(General_Model!$E$6/General_Model!$E$7)-1/(1+General_Model!$E$26/((1.2+0.2*(General_Model!$E$26/A844)+0.35*SQRT(9.80665*(General_Model!$E$4/1000))/A844)*A844))-(A844^2/(2*9.80665*General_Model!$E$7))*((4*(0.3164/((General_Model!$E$14*A844*(General_Model!$E$4/1000)/General_Model!$E$15)^0.25))*General_Model!$E$7/(General_Model!$E$4/1000)+1)+(4*(0.3164/((General_Model!$E$14*A844*(General_Model!$E$4/1000)/General_Model!$E$15)^0.25))*General_Model!$E$7/(General_Model!$E$4/1000)+2)*(General_Model!$E$26/A844))</f>
        <v>-0.25644762836054391</v>
      </c>
      <c r="C844" s="13">
        <f t="shared" si="13"/>
        <v>0</v>
      </c>
    </row>
    <row r="845" spans="1:3" x14ac:dyDescent="0.25">
      <c r="A845" s="11">
        <v>0.84299999999999997</v>
      </c>
      <c r="B845" s="12">
        <f>(General_Model!$E$6/General_Model!$E$7)-1/(1+General_Model!$E$26/((1.2+0.2*(General_Model!$E$26/A845)+0.35*SQRT(9.80665*(General_Model!$E$4/1000))/A845)*A845))-(A845^2/(2*9.80665*General_Model!$E$7))*((4*(0.3164/((General_Model!$E$14*A845*(General_Model!$E$4/1000)/General_Model!$E$15)^0.25))*General_Model!$E$7/(General_Model!$E$4/1000)+1)+(4*(0.3164/((General_Model!$E$14*A845*(General_Model!$E$4/1000)/General_Model!$E$15)^0.25))*General_Model!$E$7/(General_Model!$E$4/1000)+2)*(General_Model!$E$26/A845))</f>
        <v>-0.25688394385537605</v>
      </c>
      <c r="C845" s="13">
        <f t="shared" si="13"/>
        <v>0</v>
      </c>
    </row>
    <row r="846" spans="1:3" x14ac:dyDescent="0.25">
      <c r="A846" s="11">
        <v>0.84399999999999997</v>
      </c>
      <c r="B846" s="12">
        <f>(General_Model!$E$6/General_Model!$E$7)-1/(1+General_Model!$E$26/((1.2+0.2*(General_Model!$E$26/A846)+0.35*SQRT(9.80665*(General_Model!$E$4/1000))/A846)*A846))-(A846^2/(2*9.80665*General_Model!$E$7))*((4*(0.3164/((General_Model!$E$14*A846*(General_Model!$E$4/1000)/General_Model!$E$15)^0.25))*General_Model!$E$7/(General_Model!$E$4/1000)+1)+(4*(0.3164/((General_Model!$E$14*A846*(General_Model!$E$4/1000)/General_Model!$E$15)^0.25))*General_Model!$E$7/(General_Model!$E$4/1000)+2)*(General_Model!$E$26/A846))</f>
        <v>-0.2573202197641834</v>
      </c>
      <c r="C846" s="13">
        <f t="shared" si="13"/>
        <v>0</v>
      </c>
    </row>
    <row r="847" spans="1:3" x14ac:dyDescent="0.25">
      <c r="A847" s="11">
        <v>0.84499999999999997</v>
      </c>
      <c r="B847" s="12">
        <f>(General_Model!$E$6/General_Model!$E$7)-1/(1+General_Model!$E$26/((1.2+0.2*(General_Model!$E$26/A847)+0.35*SQRT(9.80665*(General_Model!$E$4/1000))/A847)*A847))-(A847^2/(2*9.80665*General_Model!$E$7))*((4*(0.3164/((General_Model!$E$14*A847*(General_Model!$E$4/1000)/General_Model!$E$15)^0.25))*General_Model!$E$7/(General_Model!$E$4/1000)+1)+(4*(0.3164/((General_Model!$E$14*A847*(General_Model!$E$4/1000)/General_Model!$E$15)^0.25))*General_Model!$E$7/(General_Model!$E$4/1000)+2)*(General_Model!$E$26/A847))</f>
        <v>-0.25775645644242712</v>
      </c>
      <c r="C847" s="13">
        <f t="shared" si="13"/>
        <v>0</v>
      </c>
    </row>
    <row r="848" spans="1:3" x14ac:dyDescent="0.25">
      <c r="A848" s="11">
        <v>0.84599999999999997</v>
      </c>
      <c r="B848" s="12">
        <f>(General_Model!$E$6/General_Model!$E$7)-1/(1+General_Model!$E$26/((1.2+0.2*(General_Model!$E$26/A848)+0.35*SQRT(9.80665*(General_Model!$E$4/1000))/A848)*A848))-(A848^2/(2*9.80665*General_Model!$E$7))*((4*(0.3164/((General_Model!$E$14*A848*(General_Model!$E$4/1000)/General_Model!$E$15)^0.25))*General_Model!$E$7/(General_Model!$E$4/1000)+1)+(4*(0.3164/((General_Model!$E$14*A848*(General_Model!$E$4/1000)/General_Model!$E$15)^0.25))*General_Model!$E$7/(General_Model!$E$4/1000)+2)*(General_Model!$E$26/A848))</f>
        <v>-0.25819265424471316</v>
      </c>
      <c r="C848" s="13">
        <f t="shared" si="13"/>
        <v>0</v>
      </c>
    </row>
    <row r="849" spans="1:3" x14ac:dyDescent="0.25">
      <c r="A849" s="11">
        <v>0.84699999999999998</v>
      </c>
      <c r="B849" s="12">
        <f>(General_Model!$E$6/General_Model!$E$7)-1/(1+General_Model!$E$26/((1.2+0.2*(General_Model!$E$26/A849)+0.35*SQRT(9.80665*(General_Model!$E$4/1000))/A849)*A849))-(A849^2/(2*9.80665*General_Model!$E$7))*((4*(0.3164/((General_Model!$E$14*A849*(General_Model!$E$4/1000)/General_Model!$E$15)^0.25))*General_Model!$E$7/(General_Model!$E$4/1000)+1)+(4*(0.3164/((General_Model!$E$14*A849*(General_Model!$E$4/1000)/General_Model!$E$15)^0.25))*General_Model!$E$7/(General_Model!$E$4/1000)+2)*(General_Model!$E$26/A849))</f>
        <v>-0.25862881352479444</v>
      </c>
      <c r="C849" s="13">
        <f t="shared" si="13"/>
        <v>0</v>
      </c>
    </row>
    <row r="850" spans="1:3" x14ac:dyDescent="0.25">
      <c r="A850" s="11">
        <v>0.84799999999999998</v>
      </c>
      <c r="B850" s="12">
        <f>(General_Model!$E$6/General_Model!$E$7)-1/(1+General_Model!$E$26/((1.2+0.2*(General_Model!$E$26/A850)+0.35*SQRT(9.80665*(General_Model!$E$4/1000))/A850)*A850))-(A850^2/(2*9.80665*General_Model!$E$7))*((4*(0.3164/((General_Model!$E$14*A850*(General_Model!$E$4/1000)/General_Model!$E$15)^0.25))*General_Model!$E$7/(General_Model!$E$4/1000)+1)+(4*(0.3164/((General_Model!$E$14*A850*(General_Model!$E$4/1000)/General_Model!$E$15)^0.25))*General_Model!$E$7/(General_Model!$E$4/1000)+2)*(General_Model!$E$26/A850))</f>
        <v>-0.25906493463557334</v>
      </c>
      <c r="C850" s="13">
        <f t="shared" si="13"/>
        <v>0</v>
      </c>
    </row>
    <row r="851" spans="1:3" x14ac:dyDescent="0.25">
      <c r="A851" s="11">
        <v>0.84899999999999998</v>
      </c>
      <c r="B851" s="12">
        <f>(General_Model!$E$6/General_Model!$E$7)-1/(1+General_Model!$E$26/((1.2+0.2*(General_Model!$E$26/A851)+0.35*SQRT(9.80665*(General_Model!$E$4/1000))/A851)*A851))-(A851^2/(2*9.80665*General_Model!$E$7))*((4*(0.3164/((General_Model!$E$14*A851*(General_Model!$E$4/1000)/General_Model!$E$15)^0.25))*General_Model!$E$7/(General_Model!$E$4/1000)+1)+(4*(0.3164/((General_Model!$E$14*A851*(General_Model!$E$4/1000)/General_Model!$E$15)^0.25))*General_Model!$E$7/(General_Model!$E$4/1000)+2)*(General_Model!$E$26/A851))</f>
        <v>-0.25950101792910441</v>
      </c>
      <c r="C851" s="13">
        <f t="shared" si="13"/>
        <v>0</v>
      </c>
    </row>
    <row r="852" spans="1:3" x14ac:dyDescent="0.25">
      <c r="A852" s="11">
        <v>0.85</v>
      </c>
      <c r="B852" s="12">
        <f>(General_Model!$E$6/General_Model!$E$7)-1/(1+General_Model!$E$26/((1.2+0.2*(General_Model!$E$26/A852)+0.35*SQRT(9.80665*(General_Model!$E$4/1000))/A852)*A852))-(A852^2/(2*9.80665*General_Model!$E$7))*((4*(0.3164/((General_Model!$E$14*A852*(General_Model!$E$4/1000)/General_Model!$E$15)^0.25))*General_Model!$E$7/(General_Model!$E$4/1000)+1)+(4*(0.3164/((General_Model!$E$14*A852*(General_Model!$E$4/1000)/General_Model!$E$15)^0.25))*General_Model!$E$7/(General_Model!$E$4/1000)+2)*(General_Model!$E$26/A852))</f>
        <v>-0.25993706375659698</v>
      </c>
      <c r="C852" s="13">
        <f t="shared" si="13"/>
        <v>0</v>
      </c>
    </row>
    <row r="853" spans="1:3" x14ac:dyDescent="0.25">
      <c r="A853" s="11">
        <v>0.85099999999999998</v>
      </c>
      <c r="B853" s="12">
        <f>(General_Model!$E$6/General_Model!$E$7)-1/(1+General_Model!$E$26/((1.2+0.2*(General_Model!$E$26/A853)+0.35*SQRT(9.80665*(General_Model!$E$4/1000))/A853)*A853))-(A853^2/(2*9.80665*General_Model!$E$7))*((4*(0.3164/((General_Model!$E$14*A853*(General_Model!$E$4/1000)/General_Model!$E$15)^0.25))*General_Model!$E$7/(General_Model!$E$4/1000)+1)+(4*(0.3164/((General_Model!$E$14*A853*(General_Model!$E$4/1000)/General_Model!$E$15)^0.25))*General_Model!$E$7/(General_Model!$E$4/1000)+2)*(General_Model!$E$26/A853))</f>
        <v>-0.26037307246841712</v>
      </c>
      <c r="C853" s="13">
        <f t="shared" si="13"/>
        <v>0</v>
      </c>
    </row>
    <row r="854" spans="1:3" x14ac:dyDescent="0.25">
      <c r="A854" s="11">
        <v>0.85199999999999998</v>
      </c>
      <c r="B854" s="12">
        <f>(General_Model!$E$6/General_Model!$E$7)-1/(1+General_Model!$E$26/((1.2+0.2*(General_Model!$E$26/A854)+0.35*SQRT(9.80665*(General_Model!$E$4/1000))/A854)*A854))-(A854^2/(2*9.80665*General_Model!$E$7))*((4*(0.3164/((General_Model!$E$14*A854*(General_Model!$E$4/1000)/General_Model!$E$15)^0.25))*General_Model!$E$7/(General_Model!$E$4/1000)+1)+(4*(0.3164/((General_Model!$E$14*A854*(General_Model!$E$4/1000)/General_Model!$E$15)^0.25))*General_Model!$E$7/(General_Model!$E$4/1000)+2)*(General_Model!$E$26/A854))</f>
        <v>-0.26080904441409103</v>
      </c>
      <c r="C854" s="13">
        <f t="shared" si="13"/>
        <v>0</v>
      </c>
    </row>
    <row r="855" spans="1:3" x14ac:dyDescent="0.25">
      <c r="A855" s="11">
        <v>0.85299999999999998</v>
      </c>
      <c r="B855" s="12">
        <f>(General_Model!$E$6/General_Model!$E$7)-1/(1+General_Model!$E$26/((1.2+0.2*(General_Model!$E$26/A855)+0.35*SQRT(9.80665*(General_Model!$E$4/1000))/A855)*A855))-(A855^2/(2*9.80665*General_Model!$E$7))*((4*(0.3164/((General_Model!$E$14*A855*(General_Model!$E$4/1000)/General_Model!$E$15)^0.25))*General_Model!$E$7/(General_Model!$E$4/1000)+1)+(4*(0.3164/((General_Model!$E$14*A855*(General_Model!$E$4/1000)/General_Model!$E$15)^0.25))*General_Model!$E$7/(General_Model!$E$4/1000)+2)*(General_Model!$E$26/A855))</f>
        <v>-0.26124497994230644</v>
      </c>
      <c r="C855" s="13">
        <f t="shared" si="13"/>
        <v>0</v>
      </c>
    </row>
    <row r="856" spans="1:3" x14ac:dyDescent="0.25">
      <c r="A856" s="11">
        <v>0.85399999999999998</v>
      </c>
      <c r="B856" s="12">
        <f>(General_Model!$E$6/General_Model!$E$7)-1/(1+General_Model!$E$26/((1.2+0.2*(General_Model!$E$26/A856)+0.35*SQRT(9.80665*(General_Model!$E$4/1000))/A856)*A856))-(A856^2/(2*9.80665*General_Model!$E$7))*((4*(0.3164/((General_Model!$E$14*A856*(General_Model!$E$4/1000)/General_Model!$E$15)^0.25))*General_Model!$E$7/(General_Model!$E$4/1000)+1)+(4*(0.3164/((General_Model!$E$14*A856*(General_Model!$E$4/1000)/General_Model!$E$15)^0.25))*General_Model!$E$7/(General_Model!$E$4/1000)+2)*(General_Model!$E$26/A856))</f>
        <v>-0.26168087940091617</v>
      </c>
      <c r="C856" s="13">
        <f t="shared" si="13"/>
        <v>0</v>
      </c>
    </row>
    <row r="857" spans="1:3" x14ac:dyDescent="0.25">
      <c r="A857" s="11">
        <v>0.85499999999999998</v>
      </c>
      <c r="B857" s="12">
        <f>(General_Model!$E$6/General_Model!$E$7)-1/(1+General_Model!$E$26/((1.2+0.2*(General_Model!$E$26/A857)+0.35*SQRT(9.80665*(General_Model!$E$4/1000))/A857)*A857))-(A857^2/(2*9.80665*General_Model!$E$7))*((4*(0.3164/((General_Model!$E$14*A857*(General_Model!$E$4/1000)/General_Model!$E$15)^0.25))*General_Model!$E$7/(General_Model!$E$4/1000)+1)+(4*(0.3164/((General_Model!$E$14*A857*(General_Model!$E$4/1000)/General_Model!$E$15)^0.25))*General_Model!$E$7/(General_Model!$E$4/1000)+2)*(General_Model!$E$26/A857))</f>
        <v>-0.26211674313693978</v>
      </c>
      <c r="C857" s="13">
        <f t="shared" si="13"/>
        <v>0</v>
      </c>
    </row>
    <row r="858" spans="1:3" x14ac:dyDescent="0.25">
      <c r="A858" s="11">
        <v>0.85599999999999998</v>
      </c>
      <c r="B858" s="12">
        <f>(General_Model!$E$6/General_Model!$E$7)-1/(1+General_Model!$E$26/((1.2+0.2*(General_Model!$E$26/A858)+0.35*SQRT(9.80665*(General_Model!$E$4/1000))/A858)*A858))-(A858^2/(2*9.80665*General_Model!$E$7))*((4*(0.3164/((General_Model!$E$14*A858*(General_Model!$E$4/1000)/General_Model!$E$15)^0.25))*General_Model!$E$7/(General_Model!$E$4/1000)+1)+(4*(0.3164/((General_Model!$E$14*A858*(General_Model!$E$4/1000)/General_Model!$E$15)^0.25))*General_Model!$E$7/(General_Model!$E$4/1000)+2)*(General_Model!$E$26/A858))</f>
        <v>-0.26255257149656663</v>
      </c>
      <c r="C858" s="13">
        <f t="shared" si="13"/>
        <v>0</v>
      </c>
    </row>
    <row r="859" spans="1:3" x14ac:dyDescent="0.25">
      <c r="A859" s="11">
        <v>0.85699999999999998</v>
      </c>
      <c r="B859" s="12">
        <f>(General_Model!$E$6/General_Model!$E$7)-1/(1+General_Model!$E$26/((1.2+0.2*(General_Model!$E$26/A859)+0.35*SQRT(9.80665*(General_Model!$E$4/1000))/A859)*A859))-(A859^2/(2*9.80665*General_Model!$E$7))*((4*(0.3164/((General_Model!$E$14*A859*(General_Model!$E$4/1000)/General_Model!$E$15)^0.25))*General_Model!$E$7/(General_Model!$E$4/1000)+1)+(4*(0.3164/((General_Model!$E$14*A859*(General_Model!$E$4/1000)/General_Model!$E$15)^0.25))*General_Model!$E$7/(General_Model!$E$4/1000)+2)*(General_Model!$E$26/A859))</f>
        <v>-0.26298836482515775</v>
      </c>
      <c r="C859" s="13">
        <f t="shared" si="13"/>
        <v>0</v>
      </c>
    </row>
    <row r="860" spans="1:3" x14ac:dyDescent="0.25">
      <c r="A860" s="11">
        <v>0.85799999999999998</v>
      </c>
      <c r="B860" s="12">
        <f>(General_Model!$E$6/General_Model!$E$7)-1/(1+General_Model!$E$26/((1.2+0.2*(General_Model!$E$26/A860)+0.35*SQRT(9.80665*(General_Model!$E$4/1000))/A860)*A860))-(A860^2/(2*9.80665*General_Model!$E$7))*((4*(0.3164/((General_Model!$E$14*A860*(General_Model!$E$4/1000)/General_Model!$E$15)^0.25))*General_Model!$E$7/(General_Model!$E$4/1000)+1)+(4*(0.3164/((General_Model!$E$14*A860*(General_Model!$E$4/1000)/General_Model!$E$15)^0.25))*General_Model!$E$7/(General_Model!$E$4/1000)+2)*(General_Model!$E$26/A860))</f>
        <v>-0.26342412346724853</v>
      </c>
      <c r="C860" s="13">
        <f t="shared" si="13"/>
        <v>0</v>
      </c>
    </row>
    <row r="861" spans="1:3" x14ac:dyDescent="0.25">
      <c r="A861" s="11">
        <v>0.85899999999999999</v>
      </c>
      <c r="B861" s="12">
        <f>(General_Model!$E$6/General_Model!$E$7)-1/(1+General_Model!$E$26/((1.2+0.2*(General_Model!$E$26/A861)+0.35*SQRT(9.80665*(General_Model!$E$4/1000))/A861)*A861))-(A861^2/(2*9.80665*General_Model!$E$7))*((4*(0.3164/((General_Model!$E$14*A861*(General_Model!$E$4/1000)/General_Model!$E$15)^0.25))*General_Model!$E$7/(General_Model!$E$4/1000)+1)+(4*(0.3164/((General_Model!$E$14*A861*(General_Model!$E$4/1000)/General_Model!$E$15)^0.25))*General_Model!$E$7/(General_Model!$E$4/1000)+2)*(General_Model!$E$26/A861))</f>
        <v>-0.26385984776655175</v>
      </c>
      <c r="C861" s="13">
        <f t="shared" si="13"/>
        <v>0</v>
      </c>
    </row>
    <row r="862" spans="1:3" x14ac:dyDescent="0.25">
      <c r="A862" s="11">
        <v>0.86</v>
      </c>
      <c r="B862" s="12">
        <f>(General_Model!$E$6/General_Model!$E$7)-1/(1+General_Model!$E$26/((1.2+0.2*(General_Model!$E$26/A862)+0.35*SQRT(9.80665*(General_Model!$E$4/1000))/A862)*A862))-(A862^2/(2*9.80665*General_Model!$E$7))*((4*(0.3164/((General_Model!$E$14*A862*(General_Model!$E$4/1000)/General_Model!$E$15)^0.25))*General_Model!$E$7/(General_Model!$E$4/1000)+1)+(4*(0.3164/((General_Model!$E$14*A862*(General_Model!$E$4/1000)/General_Model!$E$15)^0.25))*General_Model!$E$7/(General_Model!$E$4/1000)+2)*(General_Model!$E$26/A862))</f>
        <v>-0.26429553806595885</v>
      </c>
      <c r="C862" s="13">
        <f t="shared" si="13"/>
        <v>0</v>
      </c>
    </row>
    <row r="863" spans="1:3" x14ac:dyDescent="0.25">
      <c r="A863" s="11">
        <v>0.86099999999999999</v>
      </c>
      <c r="B863" s="12">
        <f>(General_Model!$E$6/General_Model!$E$7)-1/(1+General_Model!$E$26/((1.2+0.2*(General_Model!$E$26/A863)+0.35*SQRT(9.80665*(General_Model!$E$4/1000))/A863)*A863))-(A863^2/(2*9.80665*General_Model!$E$7))*((4*(0.3164/((General_Model!$E$14*A863*(General_Model!$E$4/1000)/General_Model!$E$15)^0.25))*General_Model!$E$7/(General_Model!$E$4/1000)+1)+(4*(0.3164/((General_Model!$E$14*A863*(General_Model!$E$4/1000)/General_Model!$E$15)^0.25))*General_Model!$E$7/(General_Model!$E$4/1000)+2)*(General_Model!$E$26/A863))</f>
        <v>-0.26473119470754303</v>
      </c>
      <c r="C863" s="13">
        <f t="shared" si="13"/>
        <v>0</v>
      </c>
    </row>
    <row r="864" spans="1:3" x14ac:dyDescent="0.25">
      <c r="A864" s="11">
        <v>0.86199999999999999</v>
      </c>
      <c r="B864" s="12">
        <f>(General_Model!$E$6/General_Model!$E$7)-1/(1+General_Model!$E$26/((1.2+0.2*(General_Model!$E$26/A864)+0.35*SQRT(9.80665*(General_Model!$E$4/1000))/A864)*A864))-(A864^2/(2*9.80665*General_Model!$E$7))*((4*(0.3164/((General_Model!$E$14*A864*(General_Model!$E$4/1000)/General_Model!$E$15)^0.25))*General_Model!$E$7/(General_Model!$E$4/1000)+1)+(4*(0.3164/((General_Model!$E$14*A864*(General_Model!$E$4/1000)/General_Model!$E$15)^0.25))*General_Model!$E$7/(General_Model!$E$4/1000)+2)*(General_Model!$E$26/A864))</f>
        <v>-0.26516681803256203</v>
      </c>
      <c r="C864" s="13">
        <f t="shared" si="13"/>
        <v>0</v>
      </c>
    </row>
    <row r="865" spans="1:3" x14ac:dyDescent="0.25">
      <c r="A865" s="11">
        <v>0.86299999999999999</v>
      </c>
      <c r="B865" s="12">
        <f>(General_Model!$E$6/General_Model!$E$7)-1/(1+General_Model!$E$26/((1.2+0.2*(General_Model!$E$26/A865)+0.35*SQRT(9.80665*(General_Model!$E$4/1000))/A865)*A865))-(A865^2/(2*9.80665*General_Model!$E$7))*((4*(0.3164/((General_Model!$E$14*A865*(General_Model!$E$4/1000)/General_Model!$E$15)^0.25))*General_Model!$E$7/(General_Model!$E$4/1000)+1)+(4*(0.3164/((General_Model!$E$14*A865*(General_Model!$E$4/1000)/General_Model!$E$15)^0.25))*General_Model!$E$7/(General_Model!$E$4/1000)+2)*(General_Model!$E$26/A865))</f>
        <v>-0.26560240838145965</v>
      </c>
      <c r="C865" s="13">
        <f t="shared" si="13"/>
        <v>0</v>
      </c>
    </row>
    <row r="866" spans="1:3" x14ac:dyDescent="0.25">
      <c r="A866" s="11">
        <v>0.86399999999999999</v>
      </c>
      <c r="B866" s="12">
        <f>(General_Model!$E$6/General_Model!$E$7)-1/(1+General_Model!$E$26/((1.2+0.2*(General_Model!$E$26/A866)+0.35*SQRT(9.80665*(General_Model!$E$4/1000))/A866)*A866))-(A866^2/(2*9.80665*General_Model!$E$7))*((4*(0.3164/((General_Model!$E$14*A866*(General_Model!$E$4/1000)/General_Model!$E$15)^0.25))*General_Model!$E$7/(General_Model!$E$4/1000)+1)+(4*(0.3164/((General_Model!$E$14*A866*(General_Model!$E$4/1000)/General_Model!$E$15)^0.25))*General_Model!$E$7/(General_Model!$E$4/1000)+2)*(General_Model!$E$26/A866))</f>
        <v>-0.26603796609386854</v>
      </c>
      <c r="C866" s="13">
        <f t="shared" si="13"/>
        <v>0</v>
      </c>
    </row>
    <row r="867" spans="1:3" x14ac:dyDescent="0.25">
      <c r="A867" s="11">
        <v>0.86499999999999999</v>
      </c>
      <c r="B867" s="12">
        <f>(General_Model!$E$6/General_Model!$E$7)-1/(1+General_Model!$E$26/((1.2+0.2*(General_Model!$E$26/A867)+0.35*SQRT(9.80665*(General_Model!$E$4/1000))/A867)*A867))-(A867^2/(2*9.80665*General_Model!$E$7))*((4*(0.3164/((General_Model!$E$14*A867*(General_Model!$E$4/1000)/General_Model!$E$15)^0.25))*General_Model!$E$7/(General_Model!$E$4/1000)+1)+(4*(0.3164/((General_Model!$E$14*A867*(General_Model!$E$4/1000)/General_Model!$E$15)^0.25))*General_Model!$E$7/(General_Model!$E$4/1000)+2)*(General_Model!$E$26/A867))</f>
        <v>-0.26647349150861321</v>
      </c>
      <c r="C867" s="13">
        <f t="shared" si="13"/>
        <v>0</v>
      </c>
    </row>
    <row r="868" spans="1:3" x14ac:dyDescent="0.25">
      <c r="A868" s="11">
        <v>0.86599999999999999</v>
      </c>
      <c r="B868" s="12">
        <f>(General_Model!$E$6/General_Model!$E$7)-1/(1+General_Model!$E$26/((1.2+0.2*(General_Model!$E$26/A868)+0.35*SQRT(9.80665*(General_Model!$E$4/1000))/A868)*A868))-(A868^2/(2*9.80665*General_Model!$E$7))*((4*(0.3164/((General_Model!$E$14*A868*(General_Model!$E$4/1000)/General_Model!$E$15)^0.25))*General_Model!$E$7/(General_Model!$E$4/1000)+1)+(4*(0.3164/((General_Model!$E$14*A868*(General_Model!$E$4/1000)/General_Model!$E$15)^0.25))*General_Model!$E$7/(General_Model!$E$4/1000)+2)*(General_Model!$E$26/A868))</f>
        <v>-0.26690898496371074</v>
      </c>
      <c r="C868" s="13">
        <f t="shared" si="13"/>
        <v>0</v>
      </c>
    </row>
    <row r="869" spans="1:3" x14ac:dyDescent="0.25">
      <c r="A869" s="11">
        <v>0.86699999999999999</v>
      </c>
      <c r="B869" s="12">
        <f>(General_Model!$E$6/General_Model!$E$7)-1/(1+General_Model!$E$26/((1.2+0.2*(General_Model!$E$26/A869)+0.35*SQRT(9.80665*(General_Model!$E$4/1000))/A869)*A869))-(A869^2/(2*9.80665*General_Model!$E$7))*((4*(0.3164/((General_Model!$E$14*A869*(General_Model!$E$4/1000)/General_Model!$E$15)^0.25))*General_Model!$E$7/(General_Model!$E$4/1000)+1)+(4*(0.3164/((General_Model!$E$14*A869*(General_Model!$E$4/1000)/General_Model!$E$15)^0.25))*General_Model!$E$7/(General_Model!$E$4/1000)+2)*(General_Model!$E$26/A869))</f>
        <v>-0.26734444679637559</v>
      </c>
      <c r="C869" s="13">
        <f t="shared" si="13"/>
        <v>0</v>
      </c>
    </row>
    <row r="870" spans="1:3" x14ac:dyDescent="0.25">
      <c r="A870" s="11">
        <v>0.86799999999999999</v>
      </c>
      <c r="B870" s="12">
        <f>(General_Model!$E$6/General_Model!$E$7)-1/(1+General_Model!$E$26/((1.2+0.2*(General_Model!$E$26/A870)+0.35*SQRT(9.80665*(General_Model!$E$4/1000))/A870)*A870))-(A870^2/(2*9.80665*General_Model!$E$7))*((4*(0.3164/((General_Model!$E$14*A870*(General_Model!$E$4/1000)/General_Model!$E$15)^0.25))*General_Model!$E$7/(General_Model!$E$4/1000)+1)+(4*(0.3164/((General_Model!$E$14*A870*(General_Model!$E$4/1000)/General_Model!$E$15)^0.25))*General_Model!$E$7/(General_Model!$E$4/1000)+2)*(General_Model!$E$26/A870))</f>
        <v>-0.26777987734301945</v>
      </c>
      <c r="C870" s="13">
        <f t="shared" si="13"/>
        <v>0</v>
      </c>
    </row>
    <row r="871" spans="1:3" x14ac:dyDescent="0.25">
      <c r="A871" s="11">
        <v>0.86899999999999999</v>
      </c>
      <c r="B871" s="12">
        <f>(General_Model!$E$6/General_Model!$E$7)-1/(1+General_Model!$E$26/((1.2+0.2*(General_Model!$E$26/A871)+0.35*SQRT(9.80665*(General_Model!$E$4/1000))/A871)*A871))-(A871^2/(2*9.80665*General_Model!$E$7))*((4*(0.3164/((General_Model!$E$14*A871*(General_Model!$E$4/1000)/General_Model!$E$15)^0.25))*General_Model!$E$7/(General_Model!$E$4/1000)+1)+(4*(0.3164/((General_Model!$E$14*A871*(General_Model!$E$4/1000)/General_Model!$E$15)^0.25))*General_Model!$E$7/(General_Model!$E$4/1000)+2)*(General_Model!$E$26/A871))</f>
        <v>-0.26821527693925523</v>
      </c>
      <c r="C871" s="13">
        <f t="shared" si="13"/>
        <v>0</v>
      </c>
    </row>
    <row r="872" spans="1:3" x14ac:dyDescent="0.25">
      <c r="A872" s="11">
        <v>0.87</v>
      </c>
      <c r="B872" s="12">
        <f>(General_Model!$E$6/General_Model!$E$7)-1/(1+General_Model!$E$26/((1.2+0.2*(General_Model!$E$26/A872)+0.35*SQRT(9.80665*(General_Model!$E$4/1000))/A872)*A872))-(A872^2/(2*9.80665*General_Model!$E$7))*((4*(0.3164/((General_Model!$E$14*A872*(General_Model!$E$4/1000)/General_Model!$E$15)^0.25))*General_Model!$E$7/(General_Model!$E$4/1000)+1)+(4*(0.3164/((General_Model!$E$14*A872*(General_Model!$E$4/1000)/General_Model!$E$15)^0.25))*General_Model!$E$7/(General_Model!$E$4/1000)+2)*(General_Model!$E$26/A872))</f>
        <v>-0.26865064591989862</v>
      </c>
      <c r="C872" s="13">
        <f t="shared" si="13"/>
        <v>0</v>
      </c>
    </row>
    <row r="873" spans="1:3" x14ac:dyDescent="0.25">
      <c r="A873" s="11">
        <v>0.871</v>
      </c>
      <c r="B873" s="12">
        <f>(General_Model!$E$6/General_Model!$E$7)-1/(1+General_Model!$E$26/((1.2+0.2*(General_Model!$E$26/A873)+0.35*SQRT(9.80665*(General_Model!$E$4/1000))/A873)*A873))-(A873^2/(2*9.80665*General_Model!$E$7))*((4*(0.3164/((General_Model!$E$14*A873*(General_Model!$E$4/1000)/General_Model!$E$15)^0.25))*General_Model!$E$7/(General_Model!$E$4/1000)+1)+(4*(0.3164/((General_Model!$E$14*A873*(General_Model!$E$4/1000)/General_Model!$E$15)^0.25))*General_Model!$E$7/(General_Model!$E$4/1000)+2)*(General_Model!$E$26/A873))</f>
        <v>-0.26908598461897115</v>
      </c>
      <c r="C873" s="13">
        <f t="shared" si="13"/>
        <v>0</v>
      </c>
    </row>
    <row r="874" spans="1:3" x14ac:dyDescent="0.25">
      <c r="A874" s="11">
        <v>0.872</v>
      </c>
      <c r="B874" s="12">
        <f>(General_Model!$E$6/General_Model!$E$7)-1/(1+General_Model!$E$26/((1.2+0.2*(General_Model!$E$26/A874)+0.35*SQRT(9.80665*(General_Model!$E$4/1000))/A874)*A874))-(A874^2/(2*9.80665*General_Model!$E$7))*((4*(0.3164/((General_Model!$E$14*A874*(General_Model!$E$4/1000)/General_Model!$E$15)^0.25))*General_Model!$E$7/(General_Model!$E$4/1000)+1)+(4*(0.3164/((General_Model!$E$14*A874*(General_Model!$E$4/1000)/General_Model!$E$15)^0.25))*General_Model!$E$7/(General_Model!$E$4/1000)+2)*(General_Model!$E$26/A874))</f>
        <v>-0.26952129336970188</v>
      </c>
      <c r="C874" s="13">
        <f t="shared" si="13"/>
        <v>0</v>
      </c>
    </row>
    <row r="875" spans="1:3" x14ac:dyDescent="0.25">
      <c r="A875" s="11">
        <v>0.873</v>
      </c>
      <c r="B875" s="12">
        <f>(General_Model!$E$6/General_Model!$E$7)-1/(1+General_Model!$E$26/((1.2+0.2*(General_Model!$E$26/A875)+0.35*SQRT(9.80665*(General_Model!$E$4/1000))/A875)*A875))-(A875^2/(2*9.80665*General_Model!$E$7))*((4*(0.3164/((General_Model!$E$14*A875*(General_Model!$E$4/1000)/General_Model!$E$15)^0.25))*General_Model!$E$7/(General_Model!$E$4/1000)+1)+(4*(0.3164/((General_Model!$E$14*A875*(General_Model!$E$4/1000)/General_Model!$E$15)^0.25))*General_Model!$E$7/(General_Model!$E$4/1000)+2)*(General_Model!$E$26/A875))</f>
        <v>-0.26995657250452976</v>
      </c>
      <c r="C875" s="13">
        <f t="shared" si="13"/>
        <v>0</v>
      </c>
    </row>
    <row r="876" spans="1:3" x14ac:dyDescent="0.25">
      <c r="A876" s="11">
        <v>0.874</v>
      </c>
      <c r="B876" s="12">
        <f>(General_Model!$E$6/General_Model!$E$7)-1/(1+General_Model!$E$26/((1.2+0.2*(General_Model!$E$26/A876)+0.35*SQRT(9.80665*(General_Model!$E$4/1000))/A876)*A876))-(A876^2/(2*9.80665*General_Model!$E$7))*((4*(0.3164/((General_Model!$E$14*A876*(General_Model!$E$4/1000)/General_Model!$E$15)^0.25))*General_Model!$E$7/(General_Model!$E$4/1000)+1)+(4*(0.3164/((General_Model!$E$14*A876*(General_Model!$E$4/1000)/General_Model!$E$15)^0.25))*General_Model!$E$7/(General_Model!$E$4/1000)+2)*(General_Model!$E$26/A876))</f>
        <v>-0.27039182235510573</v>
      </c>
      <c r="C876" s="13">
        <f t="shared" si="13"/>
        <v>0</v>
      </c>
    </row>
    <row r="877" spans="1:3" x14ac:dyDescent="0.25">
      <c r="A877" s="11">
        <v>0.875</v>
      </c>
      <c r="B877" s="12">
        <f>(General_Model!$E$6/General_Model!$E$7)-1/(1+General_Model!$E$26/((1.2+0.2*(General_Model!$E$26/A877)+0.35*SQRT(9.80665*(General_Model!$E$4/1000))/A877)*A877))-(A877^2/(2*9.80665*General_Model!$E$7))*((4*(0.3164/((General_Model!$E$14*A877*(General_Model!$E$4/1000)/General_Model!$E$15)^0.25))*General_Model!$E$7/(General_Model!$E$4/1000)+1)+(4*(0.3164/((General_Model!$E$14*A877*(General_Model!$E$4/1000)/General_Model!$E$15)^0.25))*General_Model!$E$7/(General_Model!$E$4/1000)+2)*(General_Model!$E$26/A877))</f>
        <v>-0.27082704325229628</v>
      </c>
      <c r="C877" s="13">
        <f t="shared" si="13"/>
        <v>0</v>
      </c>
    </row>
    <row r="878" spans="1:3" x14ac:dyDescent="0.25">
      <c r="A878" s="11">
        <v>0.876</v>
      </c>
      <c r="B878" s="12">
        <f>(General_Model!$E$6/General_Model!$E$7)-1/(1+General_Model!$E$26/((1.2+0.2*(General_Model!$E$26/A878)+0.35*SQRT(9.80665*(General_Model!$E$4/1000))/A878)*A878))-(A878^2/(2*9.80665*General_Model!$E$7))*((4*(0.3164/((General_Model!$E$14*A878*(General_Model!$E$4/1000)/General_Model!$E$15)^0.25))*General_Model!$E$7/(General_Model!$E$4/1000)+1)+(4*(0.3164/((General_Model!$E$14*A878*(General_Model!$E$4/1000)/General_Model!$E$15)^0.25))*General_Model!$E$7/(General_Model!$E$4/1000)+2)*(General_Model!$E$26/A878))</f>
        <v>-0.27126223552618434</v>
      </c>
      <c r="C878" s="13">
        <f t="shared" si="13"/>
        <v>0</v>
      </c>
    </row>
    <row r="879" spans="1:3" x14ac:dyDescent="0.25">
      <c r="A879" s="11">
        <v>0.877</v>
      </c>
      <c r="B879" s="12">
        <f>(General_Model!$E$6/General_Model!$E$7)-1/(1+General_Model!$E$26/((1.2+0.2*(General_Model!$E$26/A879)+0.35*SQRT(9.80665*(General_Model!$E$4/1000))/A879)*A879))-(A879^2/(2*9.80665*General_Model!$E$7))*((4*(0.3164/((General_Model!$E$14*A879*(General_Model!$E$4/1000)/General_Model!$E$15)^0.25))*General_Model!$E$7/(General_Model!$E$4/1000)+1)+(4*(0.3164/((General_Model!$E$14*A879*(General_Model!$E$4/1000)/General_Model!$E$15)^0.25))*General_Model!$E$7/(General_Model!$E$4/1000)+2)*(General_Model!$E$26/A879))</f>
        <v>-0.27169739950607152</v>
      </c>
      <c r="C879" s="13">
        <f t="shared" si="13"/>
        <v>0</v>
      </c>
    </row>
    <row r="880" spans="1:3" x14ac:dyDescent="0.25">
      <c r="A880" s="11">
        <v>0.878</v>
      </c>
      <c r="B880" s="12">
        <f>(General_Model!$E$6/General_Model!$E$7)-1/(1+General_Model!$E$26/((1.2+0.2*(General_Model!$E$26/A880)+0.35*SQRT(9.80665*(General_Model!$E$4/1000))/A880)*A880))-(A880^2/(2*9.80665*General_Model!$E$7))*((4*(0.3164/((General_Model!$E$14*A880*(General_Model!$E$4/1000)/General_Model!$E$15)^0.25))*General_Model!$E$7/(General_Model!$E$4/1000)+1)+(4*(0.3164/((General_Model!$E$14*A880*(General_Model!$E$4/1000)/General_Model!$E$15)^0.25))*General_Model!$E$7/(General_Model!$E$4/1000)+2)*(General_Model!$E$26/A880))</f>
        <v>-0.27213253552048222</v>
      </c>
      <c r="C880" s="13">
        <f t="shared" si="13"/>
        <v>0</v>
      </c>
    </row>
    <row r="881" spans="1:3" x14ac:dyDescent="0.25">
      <c r="A881" s="11">
        <v>0.879</v>
      </c>
      <c r="B881" s="12">
        <f>(General_Model!$E$6/General_Model!$E$7)-1/(1+General_Model!$E$26/((1.2+0.2*(General_Model!$E$26/A881)+0.35*SQRT(9.80665*(General_Model!$E$4/1000))/A881)*A881))-(A881^2/(2*9.80665*General_Model!$E$7))*((4*(0.3164/((General_Model!$E$14*A881*(General_Model!$E$4/1000)/General_Model!$E$15)^0.25))*General_Model!$E$7/(General_Model!$E$4/1000)+1)+(4*(0.3164/((General_Model!$E$14*A881*(General_Model!$E$4/1000)/General_Model!$E$15)^0.25))*General_Model!$E$7/(General_Model!$E$4/1000)+2)*(General_Model!$E$26/A881))</f>
        <v>-0.27256764389716348</v>
      </c>
      <c r="C881" s="13">
        <f t="shared" si="13"/>
        <v>0</v>
      </c>
    </row>
    <row r="882" spans="1:3" x14ac:dyDescent="0.25">
      <c r="A882" s="11">
        <v>0.88</v>
      </c>
      <c r="B882" s="12">
        <f>(General_Model!$E$6/General_Model!$E$7)-1/(1+General_Model!$E$26/((1.2+0.2*(General_Model!$E$26/A882)+0.35*SQRT(9.80665*(General_Model!$E$4/1000))/A882)*A882))-(A882^2/(2*9.80665*General_Model!$E$7))*((4*(0.3164/((General_Model!$E$14*A882*(General_Model!$E$4/1000)/General_Model!$E$15)^0.25))*General_Model!$E$7/(General_Model!$E$4/1000)+1)+(4*(0.3164/((General_Model!$E$14*A882*(General_Model!$E$4/1000)/General_Model!$E$15)^0.25))*General_Model!$E$7/(General_Model!$E$4/1000)+2)*(General_Model!$E$26/A882))</f>
        <v>-0.27300272496308869</v>
      </c>
      <c r="C882" s="13">
        <f t="shared" si="13"/>
        <v>0</v>
      </c>
    </row>
    <row r="883" spans="1:3" x14ac:dyDescent="0.25">
      <c r="A883" s="11">
        <v>0.88100000000000001</v>
      </c>
      <c r="B883" s="12">
        <f>(General_Model!$E$6/General_Model!$E$7)-1/(1+General_Model!$E$26/((1.2+0.2*(General_Model!$E$26/A883)+0.35*SQRT(9.80665*(General_Model!$E$4/1000))/A883)*A883))-(A883^2/(2*9.80665*General_Model!$E$7))*((4*(0.3164/((General_Model!$E$14*A883*(General_Model!$E$4/1000)/General_Model!$E$15)^0.25))*General_Model!$E$7/(General_Model!$E$4/1000)+1)+(4*(0.3164/((General_Model!$E$14*A883*(General_Model!$E$4/1000)/General_Model!$E$15)^0.25))*General_Model!$E$7/(General_Model!$E$4/1000)+2)*(General_Model!$E$26/A883))</f>
        <v>-0.27343777904445954</v>
      </c>
      <c r="C883" s="13">
        <f t="shared" si="13"/>
        <v>0</v>
      </c>
    </row>
    <row r="884" spans="1:3" x14ac:dyDescent="0.25">
      <c r="A884" s="11">
        <v>0.88200000000000001</v>
      </c>
      <c r="B884" s="12">
        <f>(General_Model!$E$6/General_Model!$E$7)-1/(1+General_Model!$E$26/((1.2+0.2*(General_Model!$E$26/A884)+0.35*SQRT(9.80665*(General_Model!$E$4/1000))/A884)*A884))-(A884^2/(2*9.80665*General_Model!$E$7))*((4*(0.3164/((General_Model!$E$14*A884*(General_Model!$E$4/1000)/General_Model!$E$15)^0.25))*General_Model!$E$7/(General_Model!$E$4/1000)+1)+(4*(0.3164/((General_Model!$E$14*A884*(General_Model!$E$4/1000)/General_Model!$E$15)^0.25))*General_Model!$E$7/(General_Model!$E$4/1000)+2)*(General_Model!$E$26/A884))</f>
        <v>-0.27387280646670842</v>
      </c>
      <c r="C884" s="13">
        <f t="shared" si="13"/>
        <v>0</v>
      </c>
    </row>
    <row r="885" spans="1:3" x14ac:dyDescent="0.25">
      <c r="A885" s="11">
        <v>0.88300000000000001</v>
      </c>
      <c r="B885" s="12">
        <f>(General_Model!$E$6/General_Model!$E$7)-1/(1+General_Model!$E$26/((1.2+0.2*(General_Model!$E$26/A885)+0.35*SQRT(9.80665*(General_Model!$E$4/1000))/A885)*A885))-(A885^2/(2*9.80665*General_Model!$E$7))*((4*(0.3164/((General_Model!$E$14*A885*(General_Model!$E$4/1000)/General_Model!$E$15)^0.25))*General_Model!$E$7/(General_Model!$E$4/1000)+1)+(4*(0.3164/((General_Model!$E$14*A885*(General_Model!$E$4/1000)/General_Model!$E$15)^0.25))*General_Model!$E$7/(General_Model!$E$4/1000)+2)*(General_Model!$E$26/A885))</f>
        <v>-0.27430780755450024</v>
      </c>
      <c r="C885" s="13">
        <f t="shared" si="13"/>
        <v>0</v>
      </c>
    </row>
    <row r="886" spans="1:3" x14ac:dyDescent="0.25">
      <c r="A886" s="11">
        <v>0.88400000000000001</v>
      </c>
      <c r="B886" s="12">
        <f>(General_Model!$E$6/General_Model!$E$7)-1/(1+General_Model!$E$26/((1.2+0.2*(General_Model!$E$26/A886)+0.35*SQRT(9.80665*(General_Model!$E$4/1000))/A886)*A886))-(A886^2/(2*9.80665*General_Model!$E$7))*((4*(0.3164/((General_Model!$E$14*A886*(General_Model!$E$4/1000)/General_Model!$E$15)^0.25))*General_Model!$E$7/(General_Model!$E$4/1000)+1)+(4*(0.3164/((General_Model!$E$14*A886*(General_Model!$E$4/1000)/General_Model!$E$15)^0.25))*General_Model!$E$7/(General_Model!$E$4/1000)+2)*(General_Model!$E$26/A886))</f>
        <v>-0.27474278263173502</v>
      </c>
      <c r="C886" s="13">
        <f t="shared" si="13"/>
        <v>0</v>
      </c>
    </row>
    <row r="887" spans="1:3" x14ac:dyDescent="0.25">
      <c r="A887" s="11">
        <v>0.88500000000000001</v>
      </c>
      <c r="B887" s="12">
        <f>(General_Model!$E$6/General_Model!$E$7)-1/(1+General_Model!$E$26/((1.2+0.2*(General_Model!$E$26/A887)+0.35*SQRT(9.80665*(General_Model!$E$4/1000))/A887)*A887))-(A887^2/(2*9.80665*General_Model!$E$7))*((4*(0.3164/((General_Model!$E$14*A887*(General_Model!$E$4/1000)/General_Model!$E$15)^0.25))*General_Model!$E$7/(General_Model!$E$4/1000)+1)+(4*(0.3164/((General_Model!$E$14*A887*(General_Model!$E$4/1000)/General_Model!$E$15)^0.25))*General_Model!$E$7/(General_Model!$E$4/1000)+2)*(General_Model!$E$26/A887))</f>
        <v>-0.27517773202155005</v>
      </c>
      <c r="C887" s="13">
        <f t="shared" si="13"/>
        <v>0</v>
      </c>
    </row>
    <row r="888" spans="1:3" x14ac:dyDescent="0.25">
      <c r="A888" s="11">
        <v>0.88600000000000001</v>
      </c>
      <c r="B888" s="12">
        <f>(General_Model!$E$6/General_Model!$E$7)-1/(1+General_Model!$E$26/((1.2+0.2*(General_Model!$E$26/A888)+0.35*SQRT(9.80665*(General_Model!$E$4/1000))/A888)*A888))-(A888^2/(2*9.80665*General_Model!$E$7))*((4*(0.3164/((General_Model!$E$14*A888*(General_Model!$E$4/1000)/General_Model!$E$15)^0.25))*General_Model!$E$7/(General_Model!$E$4/1000)+1)+(4*(0.3164/((General_Model!$E$14*A888*(General_Model!$E$4/1000)/General_Model!$E$15)^0.25))*General_Model!$E$7/(General_Model!$E$4/1000)+2)*(General_Model!$E$26/A888))</f>
        <v>-0.27561265604632179</v>
      </c>
      <c r="C888" s="13">
        <f t="shared" si="13"/>
        <v>0</v>
      </c>
    </row>
    <row r="889" spans="1:3" x14ac:dyDescent="0.25">
      <c r="A889" s="11">
        <v>0.88700000000000001</v>
      </c>
      <c r="B889" s="12">
        <f>(General_Model!$E$6/General_Model!$E$7)-1/(1+General_Model!$E$26/((1.2+0.2*(General_Model!$E$26/A889)+0.35*SQRT(9.80665*(General_Model!$E$4/1000))/A889)*A889))-(A889^2/(2*9.80665*General_Model!$E$7))*((4*(0.3164/((General_Model!$E$14*A889*(General_Model!$E$4/1000)/General_Model!$E$15)^0.25))*General_Model!$E$7/(General_Model!$E$4/1000)+1)+(4*(0.3164/((General_Model!$E$14*A889*(General_Model!$E$4/1000)/General_Model!$E$15)^0.25))*General_Model!$E$7/(General_Model!$E$4/1000)+2)*(General_Model!$E$26/A889))</f>
        <v>-0.27604755502766853</v>
      </c>
      <c r="C889" s="13">
        <f t="shared" si="13"/>
        <v>0</v>
      </c>
    </row>
    <row r="890" spans="1:3" x14ac:dyDescent="0.25">
      <c r="A890" s="11">
        <v>0.88800000000000001</v>
      </c>
      <c r="B890" s="12">
        <f>(General_Model!$E$6/General_Model!$E$7)-1/(1+General_Model!$E$26/((1.2+0.2*(General_Model!$E$26/A890)+0.35*SQRT(9.80665*(General_Model!$E$4/1000))/A890)*A890))-(A890^2/(2*9.80665*General_Model!$E$7))*((4*(0.3164/((General_Model!$E$14*A890*(General_Model!$E$4/1000)/General_Model!$E$15)^0.25))*General_Model!$E$7/(General_Model!$E$4/1000)+1)+(4*(0.3164/((General_Model!$E$14*A890*(General_Model!$E$4/1000)/General_Model!$E$15)^0.25))*General_Model!$E$7/(General_Model!$E$4/1000)+2)*(General_Model!$E$26/A890))</f>
        <v>-0.27648242928645217</v>
      </c>
      <c r="C890" s="13">
        <f t="shared" si="13"/>
        <v>0</v>
      </c>
    </row>
    <row r="891" spans="1:3" x14ac:dyDescent="0.25">
      <c r="A891" s="11">
        <v>0.88900000000000001</v>
      </c>
      <c r="B891" s="12">
        <f>(General_Model!$E$6/General_Model!$E$7)-1/(1+General_Model!$E$26/((1.2+0.2*(General_Model!$E$26/A891)+0.35*SQRT(9.80665*(General_Model!$E$4/1000))/A891)*A891))-(A891^2/(2*9.80665*General_Model!$E$7))*((4*(0.3164/((General_Model!$E$14*A891*(General_Model!$E$4/1000)/General_Model!$E$15)^0.25))*General_Model!$E$7/(General_Model!$E$4/1000)+1)+(4*(0.3164/((General_Model!$E$14*A891*(General_Model!$E$4/1000)/General_Model!$E$15)^0.25))*General_Model!$E$7/(General_Model!$E$4/1000)+2)*(General_Model!$E$26/A891))</f>
        <v>-0.27691727914278108</v>
      </c>
      <c r="C891" s="13">
        <f t="shared" si="13"/>
        <v>0</v>
      </c>
    </row>
    <row r="892" spans="1:3" x14ac:dyDescent="0.25">
      <c r="A892" s="11">
        <v>0.89</v>
      </c>
      <c r="B892" s="12">
        <f>(General_Model!$E$6/General_Model!$E$7)-1/(1+General_Model!$E$26/((1.2+0.2*(General_Model!$E$26/A892)+0.35*SQRT(9.80665*(General_Model!$E$4/1000))/A892)*A892))-(A892^2/(2*9.80665*General_Model!$E$7))*((4*(0.3164/((General_Model!$E$14*A892*(General_Model!$E$4/1000)/General_Model!$E$15)^0.25))*General_Model!$E$7/(General_Model!$E$4/1000)+1)+(4*(0.3164/((General_Model!$E$14*A892*(General_Model!$E$4/1000)/General_Model!$E$15)^0.25))*General_Model!$E$7/(General_Model!$E$4/1000)+2)*(General_Model!$E$26/A892))</f>
        <v>-0.27735210491601148</v>
      </c>
      <c r="C892" s="13">
        <f t="shared" si="13"/>
        <v>0</v>
      </c>
    </row>
    <row r="893" spans="1:3" x14ac:dyDescent="0.25">
      <c r="A893" s="11">
        <v>0.89100000000000001</v>
      </c>
      <c r="B893" s="12">
        <f>(General_Model!$E$6/General_Model!$E$7)-1/(1+General_Model!$E$26/((1.2+0.2*(General_Model!$E$26/A893)+0.35*SQRT(9.80665*(General_Model!$E$4/1000))/A893)*A893))-(A893^2/(2*9.80665*General_Model!$E$7))*((4*(0.3164/((General_Model!$E$14*A893*(General_Model!$E$4/1000)/General_Model!$E$15)^0.25))*General_Model!$E$7/(General_Model!$E$4/1000)+1)+(4*(0.3164/((General_Model!$E$14*A893*(General_Model!$E$4/1000)/General_Model!$E$15)^0.25))*General_Model!$E$7/(General_Model!$E$4/1000)+2)*(General_Model!$E$26/A893))</f>
        <v>-0.27778690692474972</v>
      </c>
      <c r="C893" s="13">
        <f t="shared" si="13"/>
        <v>0</v>
      </c>
    </row>
    <row r="894" spans="1:3" x14ac:dyDescent="0.25">
      <c r="A894" s="11">
        <v>0.89200000000000002</v>
      </c>
      <c r="B894" s="12">
        <f>(General_Model!$E$6/General_Model!$E$7)-1/(1+General_Model!$E$26/((1.2+0.2*(General_Model!$E$26/A894)+0.35*SQRT(9.80665*(General_Model!$E$4/1000))/A894)*A894))-(A894^2/(2*9.80665*General_Model!$E$7))*((4*(0.3164/((General_Model!$E$14*A894*(General_Model!$E$4/1000)/General_Model!$E$15)^0.25))*General_Model!$E$7/(General_Model!$E$4/1000)+1)+(4*(0.3164/((General_Model!$E$14*A894*(General_Model!$E$4/1000)/General_Model!$E$15)^0.25))*General_Model!$E$7/(General_Model!$E$4/1000)+2)*(General_Model!$E$26/A894))</f>
        <v>-0.27822168548685544</v>
      </c>
      <c r="C894" s="13">
        <f t="shared" si="13"/>
        <v>0</v>
      </c>
    </row>
    <row r="895" spans="1:3" x14ac:dyDescent="0.25">
      <c r="A895" s="11">
        <v>0.89300000000000002</v>
      </c>
      <c r="B895" s="12">
        <f>(General_Model!$E$6/General_Model!$E$7)-1/(1+General_Model!$E$26/((1.2+0.2*(General_Model!$E$26/A895)+0.35*SQRT(9.80665*(General_Model!$E$4/1000))/A895)*A895))-(A895^2/(2*9.80665*General_Model!$E$7))*((4*(0.3164/((General_Model!$E$14*A895*(General_Model!$E$4/1000)/General_Model!$E$15)^0.25))*General_Model!$E$7/(General_Model!$E$4/1000)+1)+(4*(0.3164/((General_Model!$E$14*A895*(General_Model!$E$4/1000)/General_Model!$E$15)^0.25))*General_Model!$E$7/(General_Model!$E$4/1000)+2)*(General_Model!$E$26/A895))</f>
        <v>-0.27865644091944231</v>
      </c>
      <c r="C895" s="13">
        <f t="shared" si="13"/>
        <v>0</v>
      </c>
    </row>
    <row r="896" spans="1:3" x14ac:dyDescent="0.25">
      <c r="A896" s="11">
        <v>0.89400000000000002</v>
      </c>
      <c r="B896" s="12">
        <f>(General_Model!$E$6/General_Model!$E$7)-1/(1+General_Model!$E$26/((1.2+0.2*(General_Model!$E$26/A896)+0.35*SQRT(9.80665*(General_Model!$E$4/1000))/A896)*A896))-(A896^2/(2*9.80665*General_Model!$E$7))*((4*(0.3164/((General_Model!$E$14*A896*(General_Model!$E$4/1000)/General_Model!$E$15)^0.25))*General_Model!$E$7/(General_Model!$E$4/1000)+1)+(4*(0.3164/((General_Model!$E$14*A896*(General_Model!$E$4/1000)/General_Model!$E$15)^0.25))*General_Model!$E$7/(General_Model!$E$4/1000)+2)*(General_Model!$E$26/A896))</f>
        <v>-0.27909117353888108</v>
      </c>
      <c r="C896" s="13">
        <f t="shared" si="13"/>
        <v>0</v>
      </c>
    </row>
    <row r="897" spans="1:3" x14ac:dyDescent="0.25">
      <c r="A897" s="11">
        <v>0.89500000000000002</v>
      </c>
      <c r="B897" s="12">
        <f>(General_Model!$E$6/General_Model!$E$7)-1/(1+General_Model!$E$26/((1.2+0.2*(General_Model!$E$26/A897)+0.35*SQRT(9.80665*(General_Model!$E$4/1000))/A897)*A897))-(A897^2/(2*9.80665*General_Model!$E$7))*((4*(0.3164/((General_Model!$E$14*A897*(General_Model!$E$4/1000)/General_Model!$E$15)^0.25))*General_Model!$E$7/(General_Model!$E$4/1000)+1)+(4*(0.3164/((General_Model!$E$14*A897*(General_Model!$E$4/1000)/General_Model!$E$15)^0.25))*General_Model!$E$7/(General_Model!$E$4/1000)+2)*(General_Model!$E$26/A897))</f>
        <v>-0.27952588366080178</v>
      </c>
      <c r="C897" s="13">
        <f t="shared" si="13"/>
        <v>0</v>
      </c>
    </row>
    <row r="898" spans="1:3" x14ac:dyDescent="0.25">
      <c r="A898" s="11">
        <v>0.89600000000000002</v>
      </c>
      <c r="B898" s="12">
        <f>(General_Model!$E$6/General_Model!$E$7)-1/(1+General_Model!$E$26/((1.2+0.2*(General_Model!$E$26/A898)+0.35*SQRT(9.80665*(General_Model!$E$4/1000))/A898)*A898))-(A898^2/(2*9.80665*General_Model!$E$7))*((4*(0.3164/((General_Model!$E$14*A898*(General_Model!$E$4/1000)/General_Model!$E$15)^0.25))*General_Model!$E$7/(General_Model!$E$4/1000)+1)+(4*(0.3164/((General_Model!$E$14*A898*(General_Model!$E$4/1000)/General_Model!$E$15)^0.25))*General_Model!$E$7/(General_Model!$E$4/1000)+2)*(General_Model!$E$26/A898))</f>
        <v>-0.27996057160009502</v>
      </c>
      <c r="C898" s="13">
        <f t="shared" si="13"/>
        <v>0</v>
      </c>
    </row>
    <row r="899" spans="1:3" x14ac:dyDescent="0.25">
      <c r="A899" s="11">
        <v>0.89700000000000002</v>
      </c>
      <c r="B899" s="12">
        <f>(General_Model!$E$6/General_Model!$E$7)-1/(1+General_Model!$E$26/((1.2+0.2*(General_Model!$E$26/A899)+0.35*SQRT(9.80665*(General_Model!$E$4/1000))/A899)*A899))-(A899^2/(2*9.80665*General_Model!$E$7))*((4*(0.3164/((General_Model!$E$14*A899*(General_Model!$E$4/1000)/General_Model!$E$15)^0.25))*General_Model!$E$7/(General_Model!$E$4/1000)+1)+(4*(0.3164/((General_Model!$E$14*A899*(General_Model!$E$4/1000)/General_Model!$E$15)^0.25))*General_Model!$E$7/(General_Model!$E$4/1000)+2)*(General_Model!$E$26/A899))</f>
        <v>-0.2803952376709149</v>
      </c>
      <c r="C899" s="13">
        <f t="shared" ref="C899:C962" si="14">IF(B899*B900&lt;=0,1,0)</f>
        <v>0</v>
      </c>
    </row>
    <row r="900" spans="1:3" x14ac:dyDescent="0.25">
      <c r="A900" s="11">
        <v>0.89800000000000002</v>
      </c>
      <c r="B900" s="12">
        <f>(General_Model!$E$6/General_Model!$E$7)-1/(1+General_Model!$E$26/((1.2+0.2*(General_Model!$E$26/A900)+0.35*SQRT(9.80665*(General_Model!$E$4/1000))/A900)*A900))-(A900^2/(2*9.80665*General_Model!$E$7))*((4*(0.3164/((General_Model!$E$14*A900*(General_Model!$E$4/1000)/General_Model!$E$15)^0.25))*General_Model!$E$7/(General_Model!$E$4/1000)+1)+(4*(0.3164/((General_Model!$E$14*A900*(General_Model!$E$4/1000)/General_Model!$E$15)^0.25))*General_Model!$E$7/(General_Model!$E$4/1000)+2)*(General_Model!$E$26/A900))</f>
        <v>-0.28082988218668126</v>
      </c>
      <c r="C900" s="13">
        <f t="shared" si="14"/>
        <v>0</v>
      </c>
    </row>
    <row r="901" spans="1:3" x14ac:dyDescent="0.25">
      <c r="A901" s="11">
        <v>0.89900000000000002</v>
      </c>
      <c r="B901" s="12">
        <f>(General_Model!$E$6/General_Model!$E$7)-1/(1+General_Model!$E$26/((1.2+0.2*(General_Model!$E$26/A901)+0.35*SQRT(9.80665*(General_Model!$E$4/1000))/A901)*A901))-(A901^2/(2*9.80665*General_Model!$E$7))*((4*(0.3164/((General_Model!$E$14*A901*(General_Model!$E$4/1000)/General_Model!$E$15)^0.25))*General_Model!$E$7/(General_Model!$E$4/1000)+1)+(4*(0.3164/((General_Model!$E$14*A901*(General_Model!$E$4/1000)/General_Model!$E$15)^0.25))*General_Model!$E$7/(General_Model!$E$4/1000)+2)*(General_Model!$E$26/A901))</f>
        <v>-0.28126450546008097</v>
      </c>
      <c r="C901" s="13">
        <f t="shared" si="14"/>
        <v>0</v>
      </c>
    </row>
    <row r="902" spans="1:3" x14ac:dyDescent="0.25">
      <c r="A902" s="11">
        <v>0.9</v>
      </c>
      <c r="B902" s="12">
        <f>(General_Model!$E$6/General_Model!$E$7)-1/(1+General_Model!$E$26/((1.2+0.2*(General_Model!$E$26/A902)+0.35*SQRT(9.80665*(General_Model!$E$4/1000))/A902)*A902))-(A902^2/(2*9.80665*General_Model!$E$7))*((4*(0.3164/((General_Model!$E$14*A902*(General_Model!$E$4/1000)/General_Model!$E$15)^0.25))*General_Model!$E$7/(General_Model!$E$4/1000)+1)+(4*(0.3164/((General_Model!$E$14*A902*(General_Model!$E$4/1000)/General_Model!$E$15)^0.25))*General_Model!$E$7/(General_Model!$E$4/1000)+2)*(General_Model!$E$26/A902))</f>
        <v>-0.28169910780307095</v>
      </c>
      <c r="C902" s="13">
        <f t="shared" si="14"/>
        <v>0</v>
      </c>
    </row>
    <row r="903" spans="1:3" x14ac:dyDescent="0.25">
      <c r="A903" s="11">
        <v>0.90100000000000002</v>
      </c>
      <c r="B903" s="12">
        <f>(General_Model!$E$6/General_Model!$E$7)-1/(1+General_Model!$E$26/((1.2+0.2*(General_Model!$E$26/A903)+0.35*SQRT(9.80665*(General_Model!$E$4/1000))/A903)*A903))-(A903^2/(2*9.80665*General_Model!$E$7))*((4*(0.3164/((General_Model!$E$14*A903*(General_Model!$E$4/1000)/General_Model!$E$15)^0.25))*General_Model!$E$7/(General_Model!$E$4/1000)+1)+(4*(0.3164/((General_Model!$E$14*A903*(General_Model!$E$4/1000)/General_Model!$E$15)^0.25))*General_Model!$E$7/(General_Model!$E$4/1000)+2)*(General_Model!$E$26/A903))</f>
        <v>-0.28213368952687934</v>
      </c>
      <c r="C903" s="13">
        <f t="shared" si="14"/>
        <v>0</v>
      </c>
    </row>
    <row r="904" spans="1:3" x14ac:dyDescent="0.25">
      <c r="A904" s="11">
        <v>0.90200000000000002</v>
      </c>
      <c r="B904" s="12">
        <f>(General_Model!$E$6/General_Model!$E$7)-1/(1+General_Model!$E$26/((1.2+0.2*(General_Model!$E$26/A904)+0.35*SQRT(9.80665*(General_Model!$E$4/1000))/A904)*A904))-(A904^2/(2*9.80665*General_Model!$E$7))*((4*(0.3164/((General_Model!$E$14*A904*(General_Model!$E$4/1000)/General_Model!$E$15)^0.25))*General_Model!$E$7/(General_Model!$E$4/1000)+1)+(4*(0.3164/((General_Model!$E$14*A904*(General_Model!$E$4/1000)/General_Model!$E$15)^0.25))*General_Model!$E$7/(General_Model!$E$4/1000)+2)*(General_Model!$E$26/A904))</f>
        <v>-0.28256825094200866</v>
      </c>
      <c r="C904" s="13">
        <f t="shared" si="14"/>
        <v>0</v>
      </c>
    </row>
    <row r="905" spans="1:3" x14ac:dyDescent="0.25">
      <c r="A905" s="11">
        <v>0.90300000000000002</v>
      </c>
      <c r="B905" s="12">
        <f>(General_Model!$E$6/General_Model!$E$7)-1/(1+General_Model!$E$26/((1.2+0.2*(General_Model!$E$26/A905)+0.35*SQRT(9.80665*(General_Model!$E$4/1000))/A905)*A905))-(A905^2/(2*9.80665*General_Model!$E$7))*((4*(0.3164/((General_Model!$E$14*A905*(General_Model!$E$4/1000)/General_Model!$E$15)^0.25))*General_Model!$E$7/(General_Model!$E$4/1000)+1)+(4*(0.3164/((General_Model!$E$14*A905*(General_Model!$E$4/1000)/General_Model!$E$15)^0.25))*General_Model!$E$7/(General_Model!$E$4/1000)+2)*(General_Model!$E$26/A905))</f>
        <v>-0.28300279235823678</v>
      </c>
      <c r="C905" s="13">
        <f t="shared" si="14"/>
        <v>0</v>
      </c>
    </row>
    <row r="906" spans="1:3" x14ac:dyDescent="0.25">
      <c r="A906" s="11">
        <v>0.90400000000000003</v>
      </c>
      <c r="B906" s="12">
        <f>(General_Model!$E$6/General_Model!$E$7)-1/(1+General_Model!$E$26/((1.2+0.2*(General_Model!$E$26/A906)+0.35*SQRT(9.80665*(General_Model!$E$4/1000))/A906)*A906))-(A906^2/(2*9.80665*General_Model!$E$7))*((4*(0.3164/((General_Model!$E$14*A906*(General_Model!$E$4/1000)/General_Model!$E$15)^0.25))*General_Model!$E$7/(General_Model!$E$4/1000)+1)+(4*(0.3164/((General_Model!$E$14*A906*(General_Model!$E$4/1000)/General_Model!$E$15)^0.25))*General_Model!$E$7/(General_Model!$E$4/1000)+2)*(General_Model!$E$26/A906))</f>
        <v>-0.28343731408461981</v>
      </c>
      <c r="C906" s="13">
        <f t="shared" si="14"/>
        <v>0</v>
      </c>
    </row>
    <row r="907" spans="1:3" x14ac:dyDescent="0.25">
      <c r="A907" s="11">
        <v>0.90500000000000003</v>
      </c>
      <c r="B907" s="12">
        <f>(General_Model!$E$6/General_Model!$E$7)-1/(1+General_Model!$E$26/((1.2+0.2*(General_Model!$E$26/A907)+0.35*SQRT(9.80665*(General_Model!$E$4/1000))/A907)*A907))-(A907^2/(2*9.80665*General_Model!$E$7))*((4*(0.3164/((General_Model!$E$14*A907*(General_Model!$E$4/1000)/General_Model!$E$15)^0.25))*General_Model!$E$7/(General_Model!$E$4/1000)+1)+(4*(0.3164/((General_Model!$E$14*A907*(General_Model!$E$4/1000)/General_Model!$E$15)^0.25))*General_Model!$E$7/(General_Model!$E$4/1000)+2)*(General_Model!$E$26/A907))</f>
        <v>-0.28387181642949405</v>
      </c>
      <c r="C907" s="13">
        <f t="shared" si="14"/>
        <v>0</v>
      </c>
    </row>
    <row r="908" spans="1:3" x14ac:dyDescent="0.25">
      <c r="A908" s="11">
        <v>0.90600000000000003</v>
      </c>
      <c r="B908" s="12">
        <f>(General_Model!$E$6/General_Model!$E$7)-1/(1+General_Model!$E$26/((1.2+0.2*(General_Model!$E$26/A908)+0.35*SQRT(9.80665*(General_Model!$E$4/1000))/A908)*A908))-(A908^2/(2*9.80665*General_Model!$E$7))*((4*(0.3164/((General_Model!$E$14*A908*(General_Model!$E$4/1000)/General_Model!$E$15)^0.25))*General_Model!$E$7/(General_Model!$E$4/1000)+1)+(4*(0.3164/((General_Model!$E$14*A908*(General_Model!$E$4/1000)/General_Model!$E$15)^0.25))*General_Model!$E$7/(General_Model!$E$4/1000)+2)*(General_Model!$E$26/A908))</f>
        <v>-0.28430629970047766</v>
      </c>
      <c r="C908" s="13">
        <f t="shared" si="14"/>
        <v>0</v>
      </c>
    </row>
    <row r="909" spans="1:3" x14ac:dyDescent="0.25">
      <c r="A909" s="11">
        <v>0.90700000000000003</v>
      </c>
      <c r="B909" s="12">
        <f>(General_Model!$E$6/General_Model!$E$7)-1/(1+General_Model!$E$26/((1.2+0.2*(General_Model!$E$26/A909)+0.35*SQRT(9.80665*(General_Model!$E$4/1000))/A909)*A909))-(A909^2/(2*9.80665*General_Model!$E$7))*((4*(0.3164/((General_Model!$E$14*A909*(General_Model!$E$4/1000)/General_Model!$E$15)^0.25))*General_Model!$E$7/(General_Model!$E$4/1000)+1)+(4*(0.3164/((General_Model!$E$14*A909*(General_Model!$E$4/1000)/General_Model!$E$15)^0.25))*General_Model!$E$7/(General_Model!$E$4/1000)+2)*(General_Model!$E$26/A909))</f>
        <v>-0.28474076420447314</v>
      </c>
      <c r="C909" s="13">
        <f t="shared" si="14"/>
        <v>0</v>
      </c>
    </row>
    <row r="910" spans="1:3" x14ac:dyDescent="0.25">
      <c r="A910" s="11">
        <v>0.90800000000000003</v>
      </c>
      <c r="B910" s="12">
        <f>(General_Model!$E$6/General_Model!$E$7)-1/(1+General_Model!$E$26/((1.2+0.2*(General_Model!$E$26/A910)+0.35*SQRT(9.80665*(General_Model!$E$4/1000))/A910)*A910))-(A910^2/(2*9.80665*General_Model!$E$7))*((4*(0.3164/((General_Model!$E$14*A910*(General_Model!$E$4/1000)/General_Model!$E$15)^0.25))*General_Model!$E$7/(General_Model!$E$4/1000)+1)+(4*(0.3164/((General_Model!$E$14*A910*(General_Model!$E$4/1000)/General_Model!$E$15)^0.25))*General_Model!$E$7/(General_Model!$E$4/1000)+2)*(General_Model!$E$26/A910))</f>
        <v>-0.28517521024766918</v>
      </c>
      <c r="C910" s="13">
        <f t="shared" si="14"/>
        <v>0</v>
      </c>
    </row>
    <row r="911" spans="1:3" x14ac:dyDescent="0.25">
      <c r="A911" s="11">
        <v>0.90900000000000003</v>
      </c>
      <c r="B911" s="12">
        <f>(General_Model!$E$6/General_Model!$E$7)-1/(1+General_Model!$E$26/((1.2+0.2*(General_Model!$E$26/A911)+0.35*SQRT(9.80665*(General_Model!$E$4/1000))/A911)*A911))-(A911^2/(2*9.80665*General_Model!$E$7))*((4*(0.3164/((General_Model!$E$14*A911*(General_Model!$E$4/1000)/General_Model!$E$15)^0.25))*General_Model!$E$7/(General_Model!$E$4/1000)+1)+(4*(0.3164/((General_Model!$E$14*A911*(General_Model!$E$4/1000)/General_Model!$E$15)^0.25))*General_Model!$E$7/(General_Model!$E$4/1000)+2)*(General_Model!$E$26/A911))</f>
        <v>-0.28560963813554247</v>
      </c>
      <c r="C911" s="13">
        <f t="shared" si="14"/>
        <v>0</v>
      </c>
    </row>
    <row r="912" spans="1:3" x14ac:dyDescent="0.25">
      <c r="A912" s="11">
        <v>0.91</v>
      </c>
      <c r="B912" s="12">
        <f>(General_Model!$E$6/General_Model!$E$7)-1/(1+General_Model!$E$26/((1.2+0.2*(General_Model!$E$26/A912)+0.35*SQRT(9.80665*(General_Model!$E$4/1000))/A912)*A912))-(A912^2/(2*9.80665*General_Model!$E$7))*((4*(0.3164/((General_Model!$E$14*A912*(General_Model!$E$4/1000)/General_Model!$E$15)^0.25))*General_Model!$E$7/(General_Model!$E$4/1000)+1)+(4*(0.3164/((General_Model!$E$14*A912*(General_Model!$E$4/1000)/General_Model!$E$15)^0.25))*General_Model!$E$7/(General_Model!$E$4/1000)+2)*(General_Model!$E$26/A912))</f>
        <v>-0.28604404817286055</v>
      </c>
      <c r="C912" s="13">
        <f t="shared" si="14"/>
        <v>0</v>
      </c>
    </row>
    <row r="913" spans="1:3" x14ac:dyDescent="0.25">
      <c r="A913" s="11">
        <v>0.91100000000000003</v>
      </c>
      <c r="B913" s="12">
        <f>(General_Model!$E$6/General_Model!$E$7)-1/(1+General_Model!$E$26/((1.2+0.2*(General_Model!$E$26/A913)+0.35*SQRT(9.80665*(General_Model!$E$4/1000))/A913)*A913))-(A913^2/(2*9.80665*General_Model!$E$7))*((4*(0.3164/((General_Model!$E$14*A913*(General_Model!$E$4/1000)/General_Model!$E$15)^0.25))*General_Model!$E$7/(General_Model!$E$4/1000)+1)+(4*(0.3164/((General_Model!$E$14*A913*(General_Model!$E$4/1000)/General_Model!$E$15)^0.25))*General_Model!$E$7/(General_Model!$E$4/1000)+2)*(General_Model!$E$26/A913))</f>
        <v>-0.28647844066368289</v>
      </c>
      <c r="C913" s="13">
        <f t="shared" si="14"/>
        <v>0</v>
      </c>
    </row>
    <row r="914" spans="1:3" x14ac:dyDescent="0.25">
      <c r="A914" s="11">
        <v>0.91200000000000003</v>
      </c>
      <c r="B914" s="12">
        <f>(General_Model!$E$6/General_Model!$E$7)-1/(1+General_Model!$E$26/((1.2+0.2*(General_Model!$E$26/A914)+0.35*SQRT(9.80665*(General_Model!$E$4/1000))/A914)*A914))-(A914^2/(2*9.80665*General_Model!$E$7))*((4*(0.3164/((General_Model!$E$14*A914*(General_Model!$E$4/1000)/General_Model!$E$15)^0.25))*General_Model!$E$7/(General_Model!$E$4/1000)+1)+(4*(0.3164/((General_Model!$E$14*A914*(General_Model!$E$4/1000)/General_Model!$E$15)^0.25))*General_Model!$E$7/(General_Model!$E$4/1000)+2)*(General_Model!$E$26/A914))</f>
        <v>-0.28691281591136347</v>
      </c>
      <c r="C914" s="13">
        <f t="shared" si="14"/>
        <v>0</v>
      </c>
    </row>
    <row r="915" spans="1:3" x14ac:dyDescent="0.25">
      <c r="A915" s="11">
        <v>0.91300000000000003</v>
      </c>
      <c r="B915" s="12">
        <f>(General_Model!$E$6/General_Model!$E$7)-1/(1+General_Model!$E$26/((1.2+0.2*(General_Model!$E$26/A915)+0.35*SQRT(9.80665*(General_Model!$E$4/1000))/A915)*A915))-(A915^2/(2*9.80665*General_Model!$E$7))*((4*(0.3164/((General_Model!$E$14*A915*(General_Model!$E$4/1000)/General_Model!$E$15)^0.25))*General_Model!$E$7/(General_Model!$E$4/1000)+1)+(4*(0.3164/((General_Model!$E$14*A915*(General_Model!$E$4/1000)/General_Model!$E$15)^0.25))*General_Model!$E$7/(General_Model!$E$4/1000)+2)*(General_Model!$E$26/A915))</f>
        <v>-0.28734717421855238</v>
      </c>
      <c r="C915" s="13">
        <f t="shared" si="14"/>
        <v>0</v>
      </c>
    </row>
    <row r="916" spans="1:3" x14ac:dyDescent="0.25">
      <c r="A916" s="11">
        <v>0.91400000000000003</v>
      </c>
      <c r="B916" s="12">
        <f>(General_Model!$E$6/General_Model!$E$7)-1/(1+General_Model!$E$26/((1.2+0.2*(General_Model!$E$26/A916)+0.35*SQRT(9.80665*(General_Model!$E$4/1000))/A916)*A916))-(A916^2/(2*9.80665*General_Model!$E$7))*((4*(0.3164/((General_Model!$E$14*A916*(General_Model!$E$4/1000)/General_Model!$E$15)^0.25))*General_Model!$E$7/(General_Model!$E$4/1000)+1)+(4*(0.3164/((General_Model!$E$14*A916*(General_Model!$E$4/1000)/General_Model!$E$15)^0.25))*General_Model!$E$7/(General_Model!$E$4/1000)+2)*(General_Model!$E$26/A916))</f>
        <v>-0.28778151588719852</v>
      </c>
      <c r="C916" s="13">
        <f t="shared" si="14"/>
        <v>0</v>
      </c>
    </row>
    <row r="917" spans="1:3" x14ac:dyDescent="0.25">
      <c r="A917" s="11">
        <v>0.91500000000000004</v>
      </c>
      <c r="B917" s="12">
        <f>(General_Model!$E$6/General_Model!$E$7)-1/(1+General_Model!$E$26/((1.2+0.2*(General_Model!$E$26/A917)+0.35*SQRT(9.80665*(General_Model!$E$4/1000))/A917)*A917))-(A917^2/(2*9.80665*General_Model!$E$7))*((4*(0.3164/((General_Model!$E$14*A917*(General_Model!$E$4/1000)/General_Model!$E$15)^0.25))*General_Model!$E$7/(General_Model!$E$4/1000)+1)+(4*(0.3164/((General_Model!$E$14*A917*(General_Model!$E$4/1000)/General_Model!$E$15)^0.25))*General_Model!$E$7/(General_Model!$E$4/1000)+2)*(General_Model!$E$26/A917))</f>
        <v>-0.28821584121855109</v>
      </c>
      <c r="C917" s="13">
        <f t="shared" si="14"/>
        <v>0</v>
      </c>
    </row>
    <row r="918" spans="1:3" x14ac:dyDescent="0.25">
      <c r="A918" s="11">
        <v>0.91600000000000004</v>
      </c>
      <c r="B918" s="12">
        <f>(General_Model!$E$6/General_Model!$E$7)-1/(1+General_Model!$E$26/((1.2+0.2*(General_Model!$E$26/A918)+0.35*SQRT(9.80665*(General_Model!$E$4/1000))/A918)*A918))-(A918^2/(2*9.80665*General_Model!$E$7))*((4*(0.3164/((General_Model!$E$14*A918*(General_Model!$E$4/1000)/General_Model!$E$15)^0.25))*General_Model!$E$7/(General_Model!$E$4/1000)+1)+(4*(0.3164/((General_Model!$E$14*A918*(General_Model!$E$4/1000)/General_Model!$E$15)^0.25))*General_Model!$E$7/(General_Model!$E$4/1000)+2)*(General_Model!$E$26/A918))</f>
        <v>-0.28865015051316123</v>
      </c>
      <c r="C918" s="13">
        <f t="shared" si="14"/>
        <v>0</v>
      </c>
    </row>
    <row r="919" spans="1:3" x14ac:dyDescent="0.25">
      <c r="A919" s="11">
        <v>0.91700000000000004</v>
      </c>
      <c r="B919" s="12">
        <f>(General_Model!$E$6/General_Model!$E$7)-1/(1+General_Model!$E$26/((1.2+0.2*(General_Model!$E$26/A919)+0.35*SQRT(9.80665*(General_Model!$E$4/1000))/A919)*A919))-(A919^2/(2*9.80665*General_Model!$E$7))*((4*(0.3164/((General_Model!$E$14*A919*(General_Model!$E$4/1000)/General_Model!$E$15)^0.25))*General_Model!$E$7/(General_Model!$E$4/1000)+1)+(4*(0.3164/((General_Model!$E$14*A919*(General_Model!$E$4/1000)/General_Model!$E$15)^0.25))*General_Model!$E$7/(General_Model!$E$4/1000)+2)*(General_Model!$E$26/A919))</f>
        <v>-0.28908444407088485</v>
      </c>
      <c r="C919" s="13">
        <f t="shared" si="14"/>
        <v>0</v>
      </c>
    </row>
    <row r="920" spans="1:3" x14ac:dyDescent="0.25">
      <c r="A920" s="11">
        <v>0.91800000000000004</v>
      </c>
      <c r="B920" s="12">
        <f>(General_Model!$E$6/General_Model!$E$7)-1/(1+General_Model!$E$26/((1.2+0.2*(General_Model!$E$26/A920)+0.35*SQRT(9.80665*(General_Model!$E$4/1000))/A920)*A920))-(A920^2/(2*9.80665*General_Model!$E$7))*((4*(0.3164/((General_Model!$E$14*A920*(General_Model!$E$4/1000)/General_Model!$E$15)^0.25))*General_Model!$E$7/(General_Model!$E$4/1000)+1)+(4*(0.3164/((General_Model!$E$14*A920*(General_Model!$E$4/1000)/General_Model!$E$15)^0.25))*General_Model!$E$7/(General_Model!$E$4/1000)+2)*(General_Model!$E$26/A920))</f>
        <v>-0.28951872219088426</v>
      </c>
      <c r="C920" s="13">
        <f t="shared" si="14"/>
        <v>0</v>
      </c>
    </row>
    <row r="921" spans="1:3" x14ac:dyDescent="0.25">
      <c r="A921" s="11">
        <v>0.91900000000000004</v>
      </c>
      <c r="B921" s="12">
        <f>(General_Model!$E$6/General_Model!$E$7)-1/(1+General_Model!$E$26/((1.2+0.2*(General_Model!$E$26/A921)+0.35*SQRT(9.80665*(General_Model!$E$4/1000))/A921)*A921))-(A921^2/(2*9.80665*General_Model!$E$7))*((4*(0.3164/((General_Model!$E$14*A921*(General_Model!$E$4/1000)/General_Model!$E$15)^0.25))*General_Model!$E$7/(General_Model!$E$4/1000)+1)+(4*(0.3164/((General_Model!$E$14*A921*(General_Model!$E$4/1000)/General_Model!$E$15)^0.25))*General_Model!$E$7/(General_Model!$E$4/1000)+2)*(General_Model!$E$26/A921))</f>
        <v>-0.28995298517162987</v>
      </c>
      <c r="C921" s="13">
        <f t="shared" si="14"/>
        <v>0</v>
      </c>
    </row>
    <row r="922" spans="1:3" x14ac:dyDescent="0.25">
      <c r="A922" s="11">
        <v>0.92</v>
      </c>
      <c r="B922" s="12">
        <f>(General_Model!$E$6/General_Model!$E$7)-1/(1+General_Model!$E$26/((1.2+0.2*(General_Model!$E$26/A922)+0.35*SQRT(9.80665*(General_Model!$E$4/1000))/A922)*A922))-(A922^2/(2*9.80665*General_Model!$E$7))*((4*(0.3164/((General_Model!$E$14*A922*(General_Model!$E$4/1000)/General_Model!$E$15)^0.25))*General_Model!$E$7/(General_Model!$E$4/1000)+1)+(4*(0.3164/((General_Model!$E$14*A922*(General_Model!$E$4/1000)/General_Model!$E$15)^0.25))*General_Model!$E$7/(General_Model!$E$4/1000)+2)*(General_Model!$E$26/A922))</f>
        <v>-0.29038723331090255</v>
      </c>
      <c r="C922" s="13">
        <f t="shared" si="14"/>
        <v>0</v>
      </c>
    </row>
    <row r="923" spans="1:3" x14ac:dyDescent="0.25">
      <c r="A923" s="11">
        <v>0.92100000000000004</v>
      </c>
      <c r="B923" s="12">
        <f>(General_Model!$E$6/General_Model!$E$7)-1/(1+General_Model!$E$26/((1.2+0.2*(General_Model!$E$26/A923)+0.35*SQRT(9.80665*(General_Model!$E$4/1000))/A923)*A923))-(A923^2/(2*9.80665*General_Model!$E$7))*((4*(0.3164/((General_Model!$E$14*A923*(General_Model!$E$4/1000)/General_Model!$E$15)^0.25))*General_Model!$E$7/(General_Model!$E$4/1000)+1)+(4*(0.3164/((General_Model!$E$14*A923*(General_Model!$E$4/1000)/General_Model!$E$15)^0.25))*General_Model!$E$7/(General_Model!$E$4/1000)+2)*(General_Model!$E$26/A923))</f>
        <v>-0.29082146690579513</v>
      </c>
      <c r="C923" s="13">
        <f t="shared" si="14"/>
        <v>0</v>
      </c>
    </row>
    <row r="924" spans="1:3" x14ac:dyDescent="0.25">
      <c r="A924" s="11">
        <v>0.92200000000000004</v>
      </c>
      <c r="B924" s="12">
        <f>(General_Model!$E$6/General_Model!$E$7)-1/(1+General_Model!$E$26/((1.2+0.2*(General_Model!$E$26/A924)+0.35*SQRT(9.80665*(General_Model!$E$4/1000))/A924)*A924))-(A924^2/(2*9.80665*General_Model!$E$7))*((4*(0.3164/((General_Model!$E$14*A924*(General_Model!$E$4/1000)/General_Model!$E$15)^0.25))*General_Model!$E$7/(General_Model!$E$4/1000)+1)+(4*(0.3164/((General_Model!$E$14*A924*(General_Model!$E$4/1000)/General_Model!$E$15)^0.25))*General_Model!$E$7/(General_Model!$E$4/1000)+2)*(General_Model!$E$26/A924))</f>
        <v>-0.29125568625271525</v>
      </c>
      <c r="C924" s="13">
        <f t="shared" si="14"/>
        <v>0</v>
      </c>
    </row>
    <row r="925" spans="1:3" x14ac:dyDescent="0.25">
      <c r="A925" s="11">
        <v>0.92300000000000004</v>
      </c>
      <c r="B925" s="12">
        <f>(General_Model!$E$6/General_Model!$E$7)-1/(1+General_Model!$E$26/((1.2+0.2*(General_Model!$E$26/A925)+0.35*SQRT(9.80665*(General_Model!$E$4/1000))/A925)*A925))-(A925^2/(2*9.80665*General_Model!$E$7))*((4*(0.3164/((General_Model!$E$14*A925*(General_Model!$E$4/1000)/General_Model!$E$15)^0.25))*General_Model!$E$7/(General_Model!$E$4/1000)+1)+(4*(0.3164/((General_Model!$E$14*A925*(General_Model!$E$4/1000)/General_Model!$E$15)^0.25))*General_Model!$E$7/(General_Model!$E$4/1000)+2)*(General_Model!$E$26/A925))</f>
        <v>-0.29168989164738612</v>
      </c>
      <c r="C925" s="13">
        <f t="shared" si="14"/>
        <v>0</v>
      </c>
    </row>
    <row r="926" spans="1:3" x14ac:dyDescent="0.25">
      <c r="A926" s="11">
        <v>0.92400000000000004</v>
      </c>
      <c r="B926" s="12">
        <f>(General_Model!$E$6/General_Model!$E$7)-1/(1+General_Model!$E$26/((1.2+0.2*(General_Model!$E$26/A926)+0.35*SQRT(9.80665*(General_Model!$E$4/1000))/A926)*A926))-(A926^2/(2*9.80665*General_Model!$E$7))*((4*(0.3164/((General_Model!$E$14*A926*(General_Model!$E$4/1000)/General_Model!$E$15)^0.25))*General_Model!$E$7/(General_Model!$E$4/1000)+1)+(4*(0.3164/((General_Model!$E$14*A926*(General_Model!$E$4/1000)/General_Model!$E$15)^0.25))*General_Model!$E$7/(General_Model!$E$4/1000)+2)*(General_Model!$E$26/A926))</f>
        <v>-0.2921240833848493</v>
      </c>
      <c r="C926" s="13">
        <f t="shared" si="14"/>
        <v>0</v>
      </c>
    </row>
    <row r="927" spans="1:3" x14ac:dyDescent="0.25">
      <c r="A927" s="11">
        <v>0.92500000000000004</v>
      </c>
      <c r="B927" s="12">
        <f>(General_Model!$E$6/General_Model!$E$7)-1/(1+General_Model!$E$26/((1.2+0.2*(General_Model!$E$26/A927)+0.35*SQRT(9.80665*(General_Model!$E$4/1000))/A927)*A927))-(A927^2/(2*9.80665*General_Model!$E$7))*((4*(0.3164/((General_Model!$E$14*A927*(General_Model!$E$4/1000)/General_Model!$E$15)^0.25))*General_Model!$E$7/(General_Model!$E$4/1000)+1)+(4*(0.3164/((General_Model!$E$14*A927*(General_Model!$E$4/1000)/General_Model!$E$15)^0.25))*General_Model!$E$7/(General_Model!$E$4/1000)+2)*(General_Model!$E$26/A927))</f>
        <v>-0.2925582617594662</v>
      </c>
      <c r="C927" s="13">
        <f t="shared" si="14"/>
        <v>0</v>
      </c>
    </row>
    <row r="928" spans="1:3" x14ac:dyDescent="0.25">
      <c r="A928" s="11">
        <v>0.92600000000000005</v>
      </c>
      <c r="B928" s="12">
        <f>(General_Model!$E$6/General_Model!$E$7)-1/(1+General_Model!$E$26/((1.2+0.2*(General_Model!$E$26/A928)+0.35*SQRT(9.80665*(General_Model!$E$4/1000))/A928)*A928))-(A928^2/(2*9.80665*General_Model!$E$7))*((4*(0.3164/((General_Model!$E$14*A928*(General_Model!$E$4/1000)/General_Model!$E$15)^0.25))*General_Model!$E$7/(General_Model!$E$4/1000)+1)+(4*(0.3164/((General_Model!$E$14*A928*(General_Model!$E$4/1000)/General_Model!$E$15)^0.25))*General_Model!$E$7/(General_Model!$E$4/1000)+2)*(General_Model!$E$26/A928))</f>
        <v>-0.29299242706492057</v>
      </c>
      <c r="C928" s="13">
        <f t="shared" si="14"/>
        <v>0</v>
      </c>
    </row>
    <row r="929" spans="1:3" x14ac:dyDescent="0.25">
      <c r="A929" s="11">
        <v>0.92700000000000005</v>
      </c>
      <c r="B929" s="12">
        <f>(General_Model!$E$6/General_Model!$E$7)-1/(1+General_Model!$E$26/((1.2+0.2*(General_Model!$E$26/A929)+0.35*SQRT(9.80665*(General_Model!$E$4/1000))/A929)*A929))-(A929^2/(2*9.80665*General_Model!$E$7))*((4*(0.3164/((General_Model!$E$14*A929*(General_Model!$E$4/1000)/General_Model!$E$15)^0.25))*General_Model!$E$7/(General_Model!$E$4/1000)+1)+(4*(0.3164/((General_Model!$E$14*A929*(General_Model!$E$4/1000)/General_Model!$E$15)^0.25))*General_Model!$E$7/(General_Model!$E$4/1000)+2)*(General_Model!$E$26/A929))</f>
        <v>-0.29342657959421992</v>
      </c>
      <c r="C929" s="13">
        <f t="shared" si="14"/>
        <v>0</v>
      </c>
    </row>
    <row r="930" spans="1:3" x14ac:dyDescent="0.25">
      <c r="A930" s="11">
        <v>0.92800000000000005</v>
      </c>
      <c r="B930" s="12">
        <f>(General_Model!$E$6/General_Model!$E$7)-1/(1+General_Model!$E$26/((1.2+0.2*(General_Model!$E$26/A930)+0.35*SQRT(9.80665*(General_Model!$E$4/1000))/A930)*A930))-(A930^2/(2*9.80665*General_Model!$E$7))*((4*(0.3164/((General_Model!$E$14*A930*(General_Model!$E$4/1000)/General_Model!$E$15)^0.25))*General_Model!$E$7/(General_Model!$E$4/1000)+1)+(4*(0.3164/((General_Model!$E$14*A930*(General_Model!$E$4/1000)/General_Model!$E$15)^0.25))*General_Model!$E$7/(General_Model!$E$4/1000)+2)*(General_Model!$E$26/A930))</f>
        <v>-0.29386071963969707</v>
      </c>
      <c r="C930" s="13">
        <f t="shared" si="14"/>
        <v>0</v>
      </c>
    </row>
    <row r="931" spans="1:3" x14ac:dyDescent="0.25">
      <c r="A931" s="11">
        <v>0.92900000000000005</v>
      </c>
      <c r="B931" s="12">
        <f>(General_Model!$E$6/General_Model!$E$7)-1/(1+General_Model!$E$26/((1.2+0.2*(General_Model!$E$26/A931)+0.35*SQRT(9.80665*(General_Model!$E$4/1000))/A931)*A931))-(A931^2/(2*9.80665*General_Model!$E$7))*((4*(0.3164/((General_Model!$E$14*A931*(General_Model!$E$4/1000)/General_Model!$E$15)^0.25))*General_Model!$E$7/(General_Model!$E$4/1000)+1)+(4*(0.3164/((General_Model!$E$14*A931*(General_Model!$E$4/1000)/General_Model!$E$15)^0.25))*General_Model!$E$7/(General_Model!$E$4/1000)+2)*(General_Model!$E$26/A931))</f>
        <v>-0.29429484749301316</v>
      </c>
      <c r="C931" s="13">
        <f t="shared" si="14"/>
        <v>0</v>
      </c>
    </row>
    <row r="932" spans="1:3" x14ac:dyDescent="0.25">
      <c r="A932" s="11">
        <v>0.93</v>
      </c>
      <c r="B932" s="12">
        <f>(General_Model!$E$6/General_Model!$E$7)-1/(1+General_Model!$E$26/((1.2+0.2*(General_Model!$E$26/A932)+0.35*SQRT(9.80665*(General_Model!$E$4/1000))/A932)*A932))-(A932^2/(2*9.80665*General_Model!$E$7))*((4*(0.3164/((General_Model!$E$14*A932*(General_Model!$E$4/1000)/General_Model!$E$15)^0.25))*General_Model!$E$7/(General_Model!$E$4/1000)+1)+(4*(0.3164/((General_Model!$E$14*A932*(General_Model!$E$4/1000)/General_Model!$E$15)^0.25))*General_Model!$E$7/(General_Model!$E$4/1000)+2)*(General_Model!$E$26/A932))</f>
        <v>-0.29472896344515886</v>
      </c>
      <c r="C932" s="13">
        <f t="shared" si="14"/>
        <v>0</v>
      </c>
    </row>
    <row r="933" spans="1:3" x14ac:dyDescent="0.25">
      <c r="A933" s="11">
        <v>0.93100000000000005</v>
      </c>
      <c r="B933" s="12">
        <f>(General_Model!$E$6/General_Model!$E$7)-1/(1+General_Model!$E$26/((1.2+0.2*(General_Model!$E$26/A933)+0.35*SQRT(9.80665*(General_Model!$E$4/1000))/A933)*A933))-(A933^2/(2*9.80665*General_Model!$E$7))*((4*(0.3164/((General_Model!$E$14*A933*(General_Model!$E$4/1000)/General_Model!$E$15)^0.25))*General_Model!$E$7/(General_Model!$E$4/1000)+1)+(4*(0.3164/((General_Model!$E$14*A933*(General_Model!$E$4/1000)/General_Model!$E$15)^0.25))*General_Model!$E$7/(General_Model!$E$4/1000)+2)*(General_Model!$E$26/A933))</f>
        <v>-0.29516306778645607</v>
      </c>
      <c r="C933" s="13">
        <f t="shared" si="14"/>
        <v>0</v>
      </c>
    </row>
    <row r="934" spans="1:3" x14ac:dyDescent="0.25">
      <c r="A934" s="11">
        <v>0.93200000000000005</v>
      </c>
      <c r="B934" s="12">
        <f>(General_Model!$E$6/General_Model!$E$7)-1/(1+General_Model!$E$26/((1.2+0.2*(General_Model!$E$26/A934)+0.35*SQRT(9.80665*(General_Model!$E$4/1000))/A934)*A934))-(A934^2/(2*9.80665*General_Model!$E$7))*((4*(0.3164/((General_Model!$E$14*A934*(General_Model!$E$4/1000)/General_Model!$E$15)^0.25))*General_Model!$E$7/(General_Model!$E$4/1000)+1)+(4*(0.3164/((General_Model!$E$14*A934*(General_Model!$E$4/1000)/General_Model!$E$15)^0.25))*General_Model!$E$7/(General_Model!$E$4/1000)+2)*(General_Model!$E$26/A934))</f>
        <v>-0.29559716080656023</v>
      </c>
      <c r="C934" s="13">
        <f t="shared" si="14"/>
        <v>0</v>
      </c>
    </row>
    <row r="935" spans="1:3" x14ac:dyDescent="0.25">
      <c r="A935" s="11">
        <v>0.93300000000000005</v>
      </c>
      <c r="B935" s="12">
        <f>(General_Model!$E$6/General_Model!$E$7)-1/(1+General_Model!$E$26/((1.2+0.2*(General_Model!$E$26/A935)+0.35*SQRT(9.80665*(General_Model!$E$4/1000))/A935)*A935))-(A935^2/(2*9.80665*General_Model!$E$7))*((4*(0.3164/((General_Model!$E$14*A935*(General_Model!$E$4/1000)/General_Model!$E$15)^0.25))*General_Model!$E$7/(General_Model!$E$4/1000)+1)+(4*(0.3164/((General_Model!$E$14*A935*(General_Model!$E$4/1000)/General_Model!$E$15)^0.25))*General_Model!$E$7/(General_Model!$E$4/1000)+2)*(General_Model!$E$26/A935))</f>
        <v>-0.29603124279446191</v>
      </c>
      <c r="C935" s="13">
        <f t="shared" si="14"/>
        <v>0</v>
      </c>
    </row>
    <row r="936" spans="1:3" x14ac:dyDescent="0.25">
      <c r="A936" s="11">
        <v>0.93400000000000005</v>
      </c>
      <c r="B936" s="12">
        <f>(General_Model!$E$6/General_Model!$E$7)-1/(1+General_Model!$E$26/((1.2+0.2*(General_Model!$E$26/A936)+0.35*SQRT(9.80665*(General_Model!$E$4/1000))/A936)*A936))-(A936^2/(2*9.80665*General_Model!$E$7))*((4*(0.3164/((General_Model!$E$14*A936*(General_Model!$E$4/1000)/General_Model!$E$15)^0.25))*General_Model!$E$7/(General_Model!$E$4/1000)+1)+(4*(0.3164/((General_Model!$E$14*A936*(General_Model!$E$4/1000)/General_Model!$E$15)^0.25))*General_Model!$E$7/(General_Model!$E$4/1000)+2)*(General_Model!$E$26/A936))</f>
        <v>-0.2964653140384893</v>
      </c>
      <c r="C936" s="13">
        <f t="shared" si="14"/>
        <v>0</v>
      </c>
    </row>
    <row r="937" spans="1:3" x14ac:dyDescent="0.25">
      <c r="A937" s="11">
        <v>0.93500000000000005</v>
      </c>
      <c r="B937" s="12">
        <f>(General_Model!$E$6/General_Model!$E$7)-1/(1+General_Model!$E$26/((1.2+0.2*(General_Model!$E$26/A937)+0.35*SQRT(9.80665*(General_Model!$E$4/1000))/A937)*A937))-(A937^2/(2*9.80665*General_Model!$E$7))*((4*(0.3164/((General_Model!$E$14*A937*(General_Model!$E$4/1000)/General_Model!$E$15)^0.25))*General_Model!$E$7/(General_Model!$E$4/1000)+1)+(4*(0.3164/((General_Model!$E$14*A937*(General_Model!$E$4/1000)/General_Model!$E$15)^0.25))*General_Model!$E$7/(General_Model!$E$4/1000)+2)*(General_Model!$E$26/A937))</f>
        <v>-0.29689937482630907</v>
      </c>
      <c r="C937" s="13">
        <f t="shared" si="14"/>
        <v>0</v>
      </c>
    </row>
    <row r="938" spans="1:3" x14ac:dyDescent="0.25">
      <c r="A938" s="11">
        <v>0.93600000000000005</v>
      </c>
      <c r="B938" s="12">
        <f>(General_Model!$E$6/General_Model!$E$7)-1/(1+General_Model!$E$26/((1.2+0.2*(General_Model!$E$26/A938)+0.35*SQRT(9.80665*(General_Model!$E$4/1000))/A938)*A938))-(A938^2/(2*9.80665*General_Model!$E$7))*((4*(0.3164/((General_Model!$E$14*A938*(General_Model!$E$4/1000)/General_Model!$E$15)^0.25))*General_Model!$E$7/(General_Model!$E$4/1000)+1)+(4*(0.3164/((General_Model!$E$14*A938*(General_Model!$E$4/1000)/General_Model!$E$15)^0.25))*General_Model!$E$7/(General_Model!$E$4/1000)+2)*(General_Model!$E$26/A938))</f>
        <v>-0.29733342544492913</v>
      </c>
      <c r="C938" s="13">
        <f t="shared" si="14"/>
        <v>0</v>
      </c>
    </row>
    <row r="939" spans="1:3" x14ac:dyDescent="0.25">
      <c r="A939" s="11">
        <v>0.93700000000000006</v>
      </c>
      <c r="B939" s="12">
        <f>(General_Model!$E$6/General_Model!$E$7)-1/(1+General_Model!$E$26/((1.2+0.2*(General_Model!$E$26/A939)+0.35*SQRT(9.80665*(General_Model!$E$4/1000))/A939)*A939))-(A939^2/(2*9.80665*General_Model!$E$7))*((4*(0.3164/((General_Model!$E$14*A939*(General_Model!$E$4/1000)/General_Model!$E$15)^0.25))*General_Model!$E$7/(General_Model!$E$4/1000)+1)+(4*(0.3164/((General_Model!$E$14*A939*(General_Model!$E$4/1000)/General_Model!$E$15)^0.25))*General_Model!$E$7/(General_Model!$E$4/1000)+2)*(General_Model!$E$26/A939))</f>
        <v>-0.29776746618069994</v>
      </c>
      <c r="C939" s="13">
        <f t="shared" si="14"/>
        <v>0</v>
      </c>
    </row>
    <row r="940" spans="1:3" x14ac:dyDescent="0.25">
      <c r="A940" s="11">
        <v>0.93800000000000006</v>
      </c>
      <c r="B940" s="12">
        <f>(General_Model!$E$6/General_Model!$E$7)-1/(1+General_Model!$E$26/((1.2+0.2*(General_Model!$E$26/A940)+0.35*SQRT(9.80665*(General_Model!$E$4/1000))/A940)*A940))-(A940^2/(2*9.80665*General_Model!$E$7))*((4*(0.3164/((General_Model!$E$14*A940*(General_Model!$E$4/1000)/General_Model!$E$15)^0.25))*General_Model!$E$7/(General_Model!$E$4/1000)+1)+(4*(0.3164/((General_Model!$E$14*A940*(General_Model!$E$4/1000)/General_Model!$E$15)^0.25))*General_Model!$E$7/(General_Model!$E$4/1000)+2)*(General_Model!$E$26/A940))</f>
        <v>-0.29820149731931678</v>
      </c>
      <c r="C940" s="13">
        <f t="shared" si="14"/>
        <v>0</v>
      </c>
    </row>
    <row r="941" spans="1:3" x14ac:dyDescent="0.25">
      <c r="A941" s="11">
        <v>0.93900000000000006</v>
      </c>
      <c r="B941" s="12">
        <f>(General_Model!$E$6/General_Model!$E$7)-1/(1+General_Model!$E$26/((1.2+0.2*(General_Model!$E$26/A941)+0.35*SQRT(9.80665*(General_Model!$E$4/1000))/A941)*A941))-(A941^2/(2*9.80665*General_Model!$E$7))*((4*(0.3164/((General_Model!$E$14*A941*(General_Model!$E$4/1000)/General_Model!$E$15)^0.25))*General_Model!$E$7/(General_Model!$E$4/1000)+1)+(4*(0.3164/((General_Model!$E$14*A941*(General_Model!$E$4/1000)/General_Model!$E$15)^0.25))*General_Model!$E$7/(General_Model!$E$4/1000)+2)*(General_Model!$E$26/A941))</f>
        <v>-0.29863551914582109</v>
      </c>
      <c r="C941" s="13">
        <f t="shared" si="14"/>
        <v>0</v>
      </c>
    </row>
    <row r="942" spans="1:3" x14ac:dyDescent="0.25">
      <c r="A942" s="11">
        <v>0.94000000000000006</v>
      </c>
      <c r="B942" s="12">
        <f>(General_Model!$E$6/General_Model!$E$7)-1/(1+General_Model!$E$26/((1.2+0.2*(General_Model!$E$26/A942)+0.35*SQRT(9.80665*(General_Model!$E$4/1000))/A942)*A942))-(A942^2/(2*9.80665*General_Model!$E$7))*((4*(0.3164/((General_Model!$E$14*A942*(General_Model!$E$4/1000)/General_Model!$E$15)^0.25))*General_Model!$E$7/(General_Model!$E$4/1000)+1)+(4*(0.3164/((General_Model!$E$14*A942*(General_Model!$E$4/1000)/General_Model!$E$15)^0.25))*General_Model!$E$7/(General_Model!$E$4/1000)+2)*(General_Model!$E$26/A942))</f>
        <v>-0.29906953194460262</v>
      </c>
      <c r="C942" s="13">
        <f t="shared" si="14"/>
        <v>0</v>
      </c>
    </row>
    <row r="943" spans="1:3" x14ac:dyDescent="0.25">
      <c r="A943" s="11">
        <v>0.94100000000000006</v>
      </c>
      <c r="B943" s="12">
        <f>(General_Model!$E$6/General_Model!$E$7)-1/(1+General_Model!$E$26/((1.2+0.2*(General_Model!$E$26/A943)+0.35*SQRT(9.80665*(General_Model!$E$4/1000))/A943)*A943))-(A943^2/(2*9.80665*General_Model!$E$7))*((4*(0.3164/((General_Model!$E$14*A943*(General_Model!$E$4/1000)/General_Model!$E$15)^0.25))*General_Model!$E$7/(General_Model!$E$4/1000)+1)+(4*(0.3164/((General_Model!$E$14*A943*(General_Model!$E$4/1000)/General_Model!$E$15)^0.25))*General_Model!$E$7/(General_Model!$E$4/1000)+2)*(General_Model!$E$26/A943))</f>
        <v>-0.2995035359994016</v>
      </c>
      <c r="C943" s="13">
        <f t="shared" si="14"/>
        <v>0</v>
      </c>
    </row>
    <row r="944" spans="1:3" x14ac:dyDescent="0.25">
      <c r="A944" s="11">
        <v>0.94200000000000006</v>
      </c>
      <c r="B944" s="12">
        <f>(General_Model!$E$6/General_Model!$E$7)-1/(1+General_Model!$E$26/((1.2+0.2*(General_Model!$E$26/A944)+0.35*SQRT(9.80665*(General_Model!$E$4/1000))/A944)*A944))-(A944^2/(2*9.80665*General_Model!$E$7))*((4*(0.3164/((General_Model!$E$14*A944*(General_Model!$E$4/1000)/General_Model!$E$15)^0.25))*General_Model!$E$7/(General_Model!$E$4/1000)+1)+(4*(0.3164/((General_Model!$E$14*A944*(General_Model!$E$4/1000)/General_Model!$E$15)^0.25))*General_Model!$E$7/(General_Model!$E$4/1000)+2)*(General_Model!$E$26/A944))</f>
        <v>-0.29993753159331005</v>
      </c>
      <c r="C944" s="13">
        <f t="shared" si="14"/>
        <v>0</v>
      </c>
    </row>
    <row r="945" spans="1:3" x14ac:dyDescent="0.25">
      <c r="A945" s="11">
        <v>0.94300000000000006</v>
      </c>
      <c r="B945" s="12">
        <f>(General_Model!$E$6/General_Model!$E$7)-1/(1+General_Model!$E$26/((1.2+0.2*(General_Model!$E$26/A945)+0.35*SQRT(9.80665*(General_Model!$E$4/1000))/A945)*A945))-(A945^2/(2*9.80665*General_Model!$E$7))*((4*(0.3164/((General_Model!$E$14*A945*(General_Model!$E$4/1000)/General_Model!$E$15)^0.25))*General_Model!$E$7/(General_Model!$E$4/1000)+1)+(4*(0.3164/((General_Model!$E$14*A945*(General_Model!$E$4/1000)/General_Model!$E$15)^0.25))*General_Model!$E$7/(General_Model!$E$4/1000)+2)*(General_Model!$E$26/A945))</f>
        <v>-0.30037151900877324</v>
      </c>
      <c r="C945" s="13">
        <f t="shared" si="14"/>
        <v>0</v>
      </c>
    </row>
    <row r="946" spans="1:3" x14ac:dyDescent="0.25">
      <c r="A946" s="11">
        <v>0.94400000000000006</v>
      </c>
      <c r="B946" s="12">
        <f>(General_Model!$E$6/General_Model!$E$7)-1/(1+General_Model!$E$26/((1.2+0.2*(General_Model!$E$26/A946)+0.35*SQRT(9.80665*(General_Model!$E$4/1000))/A946)*A946))-(A946^2/(2*9.80665*General_Model!$E$7))*((4*(0.3164/((General_Model!$E$14*A946*(General_Model!$E$4/1000)/General_Model!$E$15)^0.25))*General_Model!$E$7/(General_Model!$E$4/1000)+1)+(4*(0.3164/((General_Model!$E$14*A946*(General_Model!$E$4/1000)/General_Model!$E$15)^0.25))*General_Model!$E$7/(General_Model!$E$4/1000)+2)*(General_Model!$E$26/A946))</f>
        <v>-0.30080549852759281</v>
      </c>
      <c r="C946" s="13">
        <f t="shared" si="14"/>
        <v>0</v>
      </c>
    </row>
    <row r="947" spans="1:3" x14ac:dyDescent="0.25">
      <c r="A947" s="11">
        <v>0.94500000000000006</v>
      </c>
      <c r="B947" s="12">
        <f>(General_Model!$E$6/General_Model!$E$7)-1/(1+General_Model!$E$26/((1.2+0.2*(General_Model!$E$26/A947)+0.35*SQRT(9.80665*(General_Model!$E$4/1000))/A947)*A947))-(A947^2/(2*9.80665*General_Model!$E$7))*((4*(0.3164/((General_Model!$E$14*A947*(General_Model!$E$4/1000)/General_Model!$E$15)^0.25))*General_Model!$E$7/(General_Model!$E$4/1000)+1)+(4*(0.3164/((General_Model!$E$14*A947*(General_Model!$E$4/1000)/General_Model!$E$15)^0.25))*General_Model!$E$7/(General_Model!$E$4/1000)+2)*(General_Model!$E$26/A947))</f>
        <v>-0.30123947043092719</v>
      </c>
      <c r="C947" s="13">
        <f t="shared" si="14"/>
        <v>0</v>
      </c>
    </row>
    <row r="948" spans="1:3" x14ac:dyDescent="0.25">
      <c r="A948" s="11">
        <v>0.94600000000000006</v>
      </c>
      <c r="B948" s="12">
        <f>(General_Model!$E$6/General_Model!$E$7)-1/(1+General_Model!$E$26/((1.2+0.2*(General_Model!$E$26/A948)+0.35*SQRT(9.80665*(General_Model!$E$4/1000))/A948)*A948))-(A948^2/(2*9.80665*General_Model!$E$7))*((4*(0.3164/((General_Model!$E$14*A948*(General_Model!$E$4/1000)/General_Model!$E$15)^0.25))*General_Model!$E$7/(General_Model!$E$4/1000)+1)+(4*(0.3164/((General_Model!$E$14*A948*(General_Model!$E$4/1000)/General_Model!$E$15)^0.25))*General_Model!$E$7/(General_Model!$E$4/1000)+2)*(General_Model!$E$26/A948))</f>
        <v>-0.30167343499929433</v>
      </c>
      <c r="C948" s="13">
        <f t="shared" si="14"/>
        <v>0</v>
      </c>
    </row>
    <row r="949" spans="1:3" x14ac:dyDescent="0.25">
      <c r="A949" s="11">
        <v>0.94700000000000006</v>
      </c>
      <c r="B949" s="12">
        <f>(General_Model!$E$6/General_Model!$E$7)-1/(1+General_Model!$E$26/((1.2+0.2*(General_Model!$E$26/A949)+0.35*SQRT(9.80665*(General_Model!$E$4/1000))/A949)*A949))-(A949^2/(2*9.80665*General_Model!$E$7))*((4*(0.3164/((General_Model!$E$14*A949*(General_Model!$E$4/1000)/General_Model!$E$15)^0.25))*General_Model!$E$7/(General_Model!$E$4/1000)+1)+(4*(0.3164/((General_Model!$E$14*A949*(General_Model!$E$4/1000)/General_Model!$E$15)^0.25))*General_Model!$E$7/(General_Model!$E$4/1000)+2)*(General_Model!$E$26/A949))</f>
        <v>-0.30210739251257307</v>
      </c>
      <c r="C949" s="13">
        <f t="shared" si="14"/>
        <v>0</v>
      </c>
    </row>
    <row r="950" spans="1:3" x14ac:dyDescent="0.25">
      <c r="A950" s="11">
        <v>0.94800000000000006</v>
      </c>
      <c r="B950" s="12">
        <f>(General_Model!$E$6/General_Model!$E$7)-1/(1+General_Model!$E$26/((1.2+0.2*(General_Model!$E$26/A950)+0.35*SQRT(9.80665*(General_Model!$E$4/1000))/A950)*A950))-(A950^2/(2*9.80665*General_Model!$E$7))*((4*(0.3164/((General_Model!$E$14*A950*(General_Model!$E$4/1000)/General_Model!$E$15)^0.25))*General_Model!$E$7/(General_Model!$E$4/1000)+1)+(4*(0.3164/((General_Model!$E$14*A950*(General_Model!$E$4/1000)/General_Model!$E$15)^0.25))*General_Model!$E$7/(General_Model!$E$4/1000)+2)*(General_Model!$E$26/A950))</f>
        <v>-0.30254134325000487</v>
      </c>
      <c r="C950" s="13">
        <f t="shared" si="14"/>
        <v>0</v>
      </c>
    </row>
    <row r="951" spans="1:3" x14ac:dyDescent="0.25">
      <c r="A951" s="11">
        <v>0.94900000000000007</v>
      </c>
      <c r="B951" s="12">
        <f>(General_Model!$E$6/General_Model!$E$7)-1/(1+General_Model!$E$26/((1.2+0.2*(General_Model!$E$26/A951)+0.35*SQRT(9.80665*(General_Model!$E$4/1000))/A951)*A951))-(A951^2/(2*9.80665*General_Model!$E$7))*((4*(0.3164/((General_Model!$E$14*A951*(General_Model!$E$4/1000)/General_Model!$E$15)^0.25))*General_Model!$E$7/(General_Model!$E$4/1000)+1)+(4*(0.3164/((General_Model!$E$14*A951*(General_Model!$E$4/1000)/General_Model!$E$15)^0.25))*General_Model!$E$7/(General_Model!$E$4/1000)+2)*(General_Model!$E$26/A951))</f>
        <v>-0.30297528749019609</v>
      </c>
      <c r="C951" s="13">
        <f t="shared" si="14"/>
        <v>0</v>
      </c>
    </row>
    <row r="952" spans="1:3" x14ac:dyDescent="0.25">
      <c r="A952" s="11">
        <v>0.95000000000000007</v>
      </c>
      <c r="B952" s="12">
        <f>(General_Model!$E$6/General_Model!$E$7)-1/(1+General_Model!$E$26/((1.2+0.2*(General_Model!$E$26/A952)+0.35*SQRT(9.80665*(General_Model!$E$4/1000))/A952)*A952))-(A952^2/(2*9.80665*General_Model!$E$7))*((4*(0.3164/((General_Model!$E$14*A952*(General_Model!$E$4/1000)/General_Model!$E$15)^0.25))*General_Model!$E$7/(General_Model!$E$4/1000)+1)+(4*(0.3164/((General_Model!$E$14*A952*(General_Model!$E$4/1000)/General_Model!$E$15)^0.25))*General_Model!$E$7/(General_Model!$E$4/1000)+2)*(General_Model!$E$26/A952))</f>
        <v>-0.30340922551111904</v>
      </c>
      <c r="C952" s="13">
        <f t="shared" si="14"/>
        <v>0</v>
      </c>
    </row>
    <row r="953" spans="1:3" x14ac:dyDescent="0.25">
      <c r="A953" s="11">
        <v>0.95100000000000007</v>
      </c>
      <c r="B953" s="12">
        <f>(General_Model!$E$6/General_Model!$E$7)-1/(1+General_Model!$E$26/((1.2+0.2*(General_Model!$E$26/A953)+0.35*SQRT(9.80665*(General_Model!$E$4/1000))/A953)*A953))-(A953^2/(2*9.80665*General_Model!$E$7))*((4*(0.3164/((General_Model!$E$14*A953*(General_Model!$E$4/1000)/General_Model!$E$15)^0.25))*General_Model!$E$7/(General_Model!$E$4/1000)+1)+(4*(0.3164/((General_Model!$E$14*A953*(General_Model!$E$4/1000)/General_Model!$E$15)^0.25))*General_Model!$E$7/(General_Model!$E$4/1000)+2)*(General_Model!$E$26/A953))</f>
        <v>-0.30384315759011427</v>
      </c>
      <c r="C953" s="13">
        <f t="shared" si="14"/>
        <v>0</v>
      </c>
    </row>
    <row r="954" spans="1:3" x14ac:dyDescent="0.25">
      <c r="A954" s="11">
        <v>0.95200000000000007</v>
      </c>
      <c r="B954" s="12">
        <f>(General_Model!$E$6/General_Model!$E$7)-1/(1+General_Model!$E$26/((1.2+0.2*(General_Model!$E$26/A954)+0.35*SQRT(9.80665*(General_Model!$E$4/1000))/A954)*A954))-(A954^2/(2*9.80665*General_Model!$E$7))*((4*(0.3164/((General_Model!$E$14*A954*(General_Model!$E$4/1000)/General_Model!$E$15)^0.25))*General_Model!$E$7/(General_Model!$E$4/1000)+1)+(4*(0.3164/((General_Model!$E$14*A954*(General_Model!$E$4/1000)/General_Model!$E$15)^0.25))*General_Model!$E$7/(General_Model!$E$4/1000)+2)*(General_Model!$E$26/A954))</f>
        <v>-0.30427708400389242</v>
      </c>
      <c r="C954" s="13">
        <f t="shared" si="14"/>
        <v>0</v>
      </c>
    </row>
    <row r="955" spans="1:3" x14ac:dyDescent="0.25">
      <c r="A955" s="11">
        <v>0.95300000000000007</v>
      </c>
      <c r="B955" s="12">
        <f>(General_Model!$E$6/General_Model!$E$7)-1/(1+General_Model!$E$26/((1.2+0.2*(General_Model!$E$26/A955)+0.35*SQRT(9.80665*(General_Model!$E$4/1000))/A955)*A955))-(A955^2/(2*9.80665*General_Model!$E$7))*((4*(0.3164/((General_Model!$E$14*A955*(General_Model!$E$4/1000)/General_Model!$E$15)^0.25))*General_Model!$E$7/(General_Model!$E$4/1000)+1)+(4*(0.3164/((General_Model!$E$14*A955*(General_Model!$E$4/1000)/General_Model!$E$15)^0.25))*General_Model!$E$7/(General_Model!$E$4/1000)+2)*(General_Model!$E$26/A955))</f>
        <v>-0.30471100502853543</v>
      </c>
      <c r="C955" s="13">
        <f t="shared" si="14"/>
        <v>0</v>
      </c>
    </row>
    <row r="956" spans="1:3" x14ac:dyDescent="0.25">
      <c r="A956" s="11">
        <v>0.95400000000000007</v>
      </c>
      <c r="B956" s="12">
        <f>(General_Model!$E$6/General_Model!$E$7)-1/(1+General_Model!$E$26/((1.2+0.2*(General_Model!$E$26/A956)+0.35*SQRT(9.80665*(General_Model!$E$4/1000))/A956)*A956))-(A956^2/(2*9.80665*General_Model!$E$7))*((4*(0.3164/((General_Model!$E$14*A956*(General_Model!$E$4/1000)/General_Model!$E$15)^0.25))*General_Model!$E$7/(General_Model!$E$4/1000)+1)+(4*(0.3164/((General_Model!$E$14*A956*(General_Model!$E$4/1000)/General_Model!$E$15)^0.25))*General_Model!$E$7/(General_Model!$E$4/1000)+2)*(General_Model!$E$26/A956))</f>
        <v>-0.30514492093949896</v>
      </c>
      <c r="C956" s="13">
        <f t="shared" si="14"/>
        <v>0</v>
      </c>
    </row>
    <row r="957" spans="1:3" x14ac:dyDescent="0.25">
      <c r="A957" s="11">
        <v>0.95500000000000007</v>
      </c>
      <c r="B957" s="12">
        <f>(General_Model!$E$6/General_Model!$E$7)-1/(1+General_Model!$E$26/((1.2+0.2*(General_Model!$E$26/A957)+0.35*SQRT(9.80665*(General_Model!$E$4/1000))/A957)*A957))-(A957^2/(2*9.80665*General_Model!$E$7))*((4*(0.3164/((General_Model!$E$14*A957*(General_Model!$E$4/1000)/General_Model!$E$15)^0.25))*General_Model!$E$7/(General_Model!$E$4/1000)+1)+(4*(0.3164/((General_Model!$E$14*A957*(General_Model!$E$4/1000)/General_Model!$E$15)^0.25))*General_Model!$E$7/(General_Model!$E$4/1000)+2)*(General_Model!$E$26/A957))</f>
        <v>-0.30557883201161351</v>
      </c>
      <c r="C957" s="13">
        <f t="shared" si="14"/>
        <v>0</v>
      </c>
    </row>
    <row r="958" spans="1:3" x14ac:dyDescent="0.25">
      <c r="A958" s="11">
        <v>0.95600000000000007</v>
      </c>
      <c r="B958" s="12">
        <f>(General_Model!$E$6/General_Model!$E$7)-1/(1+General_Model!$E$26/((1.2+0.2*(General_Model!$E$26/A958)+0.35*SQRT(9.80665*(General_Model!$E$4/1000))/A958)*A958))-(A958^2/(2*9.80665*General_Model!$E$7))*((4*(0.3164/((General_Model!$E$14*A958*(General_Model!$E$4/1000)/General_Model!$E$15)^0.25))*General_Model!$E$7/(General_Model!$E$4/1000)+1)+(4*(0.3164/((General_Model!$E$14*A958*(General_Model!$E$4/1000)/General_Model!$E$15)^0.25))*General_Model!$E$7/(General_Model!$E$4/1000)+2)*(General_Model!$E$26/A958))</f>
        <v>-0.30601273851908645</v>
      </c>
      <c r="C958" s="13">
        <f t="shared" si="14"/>
        <v>0</v>
      </c>
    </row>
    <row r="959" spans="1:3" x14ac:dyDescent="0.25">
      <c r="A959" s="11">
        <v>0.95700000000000007</v>
      </c>
      <c r="B959" s="12">
        <f>(General_Model!$E$6/General_Model!$E$7)-1/(1+General_Model!$E$26/((1.2+0.2*(General_Model!$E$26/A959)+0.35*SQRT(9.80665*(General_Model!$E$4/1000))/A959)*A959))-(A959^2/(2*9.80665*General_Model!$E$7))*((4*(0.3164/((General_Model!$E$14*A959*(General_Model!$E$4/1000)/General_Model!$E$15)^0.25))*General_Model!$E$7/(General_Model!$E$4/1000)+1)+(4*(0.3164/((General_Model!$E$14*A959*(General_Model!$E$4/1000)/General_Model!$E$15)^0.25))*General_Model!$E$7/(General_Model!$E$4/1000)+2)*(General_Model!$E$26/A959))</f>
        <v>-0.30644664073550415</v>
      </c>
      <c r="C959" s="13">
        <f t="shared" si="14"/>
        <v>0</v>
      </c>
    </row>
    <row r="960" spans="1:3" x14ac:dyDescent="0.25">
      <c r="A960" s="11">
        <v>0.95800000000000007</v>
      </c>
      <c r="B960" s="12">
        <f>(General_Model!$E$6/General_Model!$E$7)-1/(1+General_Model!$E$26/((1.2+0.2*(General_Model!$E$26/A960)+0.35*SQRT(9.80665*(General_Model!$E$4/1000))/A960)*A960))-(A960^2/(2*9.80665*General_Model!$E$7))*((4*(0.3164/((General_Model!$E$14*A960*(General_Model!$E$4/1000)/General_Model!$E$15)^0.25))*General_Model!$E$7/(General_Model!$E$4/1000)+1)+(4*(0.3164/((General_Model!$E$14*A960*(General_Model!$E$4/1000)/General_Model!$E$15)^0.25))*General_Model!$E$7/(General_Model!$E$4/1000)+2)*(General_Model!$E$26/A960))</f>
        <v>-0.30688053893383277</v>
      </c>
      <c r="C960" s="13">
        <f t="shared" si="14"/>
        <v>0</v>
      </c>
    </row>
    <row r="961" spans="1:3" x14ac:dyDescent="0.25">
      <c r="A961" s="11">
        <v>0.95900000000000007</v>
      </c>
      <c r="B961" s="12">
        <f>(General_Model!$E$6/General_Model!$E$7)-1/(1+General_Model!$E$26/((1.2+0.2*(General_Model!$E$26/A961)+0.35*SQRT(9.80665*(General_Model!$E$4/1000))/A961)*A961))-(A961^2/(2*9.80665*General_Model!$E$7))*((4*(0.3164/((General_Model!$E$14*A961*(General_Model!$E$4/1000)/General_Model!$E$15)^0.25))*General_Model!$E$7/(General_Model!$E$4/1000)+1)+(4*(0.3164/((General_Model!$E$14*A961*(General_Model!$E$4/1000)/General_Model!$E$15)^0.25))*General_Model!$E$7/(General_Model!$E$4/1000)+2)*(General_Model!$E$26/A961))</f>
        <v>-0.30731443338642112</v>
      </c>
      <c r="C961" s="13">
        <f t="shared" si="14"/>
        <v>0</v>
      </c>
    </row>
    <row r="962" spans="1:3" x14ac:dyDescent="0.25">
      <c r="A962" s="11">
        <v>0.96000000000000008</v>
      </c>
      <c r="B962" s="12">
        <f>(General_Model!$E$6/General_Model!$E$7)-1/(1+General_Model!$E$26/((1.2+0.2*(General_Model!$E$26/A962)+0.35*SQRT(9.80665*(General_Model!$E$4/1000))/A962)*A962))-(A962^2/(2*9.80665*General_Model!$E$7))*((4*(0.3164/((General_Model!$E$14*A962*(General_Model!$E$4/1000)/General_Model!$E$15)^0.25))*General_Model!$E$7/(General_Model!$E$4/1000)+1)+(4*(0.3164/((General_Model!$E$14*A962*(General_Model!$E$4/1000)/General_Model!$E$15)^0.25))*General_Model!$E$7/(General_Model!$E$4/1000)+2)*(General_Model!$E$26/A962))</f>
        <v>-0.30774832436500127</v>
      </c>
      <c r="C962" s="13">
        <f t="shared" si="14"/>
        <v>0</v>
      </c>
    </row>
    <row r="963" spans="1:3" x14ac:dyDescent="0.25">
      <c r="A963" s="11">
        <v>0.96099999999999997</v>
      </c>
      <c r="B963" s="12">
        <f>(General_Model!$E$6/General_Model!$E$7)-1/(1+General_Model!$E$26/((1.2+0.2*(General_Model!$E$26/A963)+0.35*SQRT(9.80665*(General_Model!$E$4/1000))/A963)*A963))-(A963^2/(2*9.80665*General_Model!$E$7))*((4*(0.3164/((General_Model!$E$14*A963*(General_Model!$E$4/1000)/General_Model!$E$15)^0.25))*General_Model!$E$7/(General_Model!$E$4/1000)+1)+(4*(0.3164/((General_Model!$E$14*A963*(General_Model!$E$4/1000)/General_Model!$E$15)^0.25))*General_Model!$E$7/(General_Model!$E$4/1000)+2)*(General_Model!$E$26/A963))</f>
        <v>-0.30818221214069119</v>
      </c>
      <c r="C963" s="13">
        <f t="shared" ref="C963:C1026" si="15">IF(B963*B964&lt;=0,1,0)</f>
        <v>0</v>
      </c>
    </row>
    <row r="964" spans="1:3" x14ac:dyDescent="0.25">
      <c r="A964" s="11">
        <v>0.96199999999999997</v>
      </c>
      <c r="B964" s="12">
        <f>(General_Model!$E$6/General_Model!$E$7)-1/(1+General_Model!$E$26/((1.2+0.2*(General_Model!$E$26/A964)+0.35*SQRT(9.80665*(General_Model!$E$4/1000))/A964)*A964))-(A964^2/(2*9.80665*General_Model!$E$7))*((4*(0.3164/((General_Model!$E$14*A964*(General_Model!$E$4/1000)/General_Model!$E$15)^0.25))*General_Model!$E$7/(General_Model!$E$4/1000)+1)+(4*(0.3164/((General_Model!$E$14*A964*(General_Model!$E$4/1000)/General_Model!$E$15)^0.25))*General_Model!$E$7/(General_Model!$E$4/1000)+2)*(General_Model!$E$26/A964))</f>
        <v>-0.30861609698399584</v>
      </c>
      <c r="C964" s="13">
        <f t="shared" si="15"/>
        <v>0</v>
      </c>
    </row>
    <row r="965" spans="1:3" x14ac:dyDescent="0.25">
      <c r="A965" s="11">
        <v>0.96299999999999997</v>
      </c>
      <c r="B965" s="12">
        <f>(General_Model!$E$6/General_Model!$E$7)-1/(1+General_Model!$E$26/((1.2+0.2*(General_Model!$E$26/A965)+0.35*SQRT(9.80665*(General_Model!$E$4/1000))/A965)*A965))-(A965^2/(2*9.80665*General_Model!$E$7))*((4*(0.3164/((General_Model!$E$14*A965*(General_Model!$E$4/1000)/General_Model!$E$15)^0.25))*General_Model!$E$7/(General_Model!$E$4/1000)+1)+(4*(0.3164/((General_Model!$E$14*A965*(General_Model!$E$4/1000)/General_Model!$E$15)^0.25))*General_Model!$E$7/(General_Model!$E$4/1000)+2)*(General_Model!$E$26/A965))</f>
        <v>-0.30904997916480914</v>
      </c>
      <c r="C965" s="13">
        <f t="shared" si="15"/>
        <v>0</v>
      </c>
    </row>
    <row r="966" spans="1:3" x14ac:dyDescent="0.25">
      <c r="A966" s="11">
        <v>0.96399999999999997</v>
      </c>
      <c r="B966" s="12">
        <f>(General_Model!$E$6/General_Model!$E$7)-1/(1+General_Model!$E$26/((1.2+0.2*(General_Model!$E$26/A966)+0.35*SQRT(9.80665*(General_Model!$E$4/1000))/A966)*A966))-(A966^2/(2*9.80665*General_Model!$E$7))*((4*(0.3164/((General_Model!$E$14*A966*(General_Model!$E$4/1000)/General_Model!$E$15)^0.25))*General_Model!$E$7/(General_Model!$E$4/1000)+1)+(4*(0.3164/((General_Model!$E$14*A966*(General_Model!$E$4/1000)/General_Model!$E$15)^0.25))*General_Model!$E$7/(General_Model!$E$4/1000)+2)*(General_Model!$E$26/A966))</f>
        <v>-0.30948385895241559</v>
      </c>
      <c r="C966" s="13">
        <f t="shared" si="15"/>
        <v>0</v>
      </c>
    </row>
    <row r="967" spans="1:3" x14ac:dyDescent="0.25">
      <c r="A967" s="11">
        <v>0.96499999999999997</v>
      </c>
      <c r="B967" s="12">
        <f>(General_Model!$E$6/General_Model!$E$7)-1/(1+General_Model!$E$26/((1.2+0.2*(General_Model!$E$26/A967)+0.35*SQRT(9.80665*(General_Model!$E$4/1000))/A967)*A967))-(A967^2/(2*9.80665*General_Model!$E$7))*((4*(0.3164/((General_Model!$E$14*A967*(General_Model!$E$4/1000)/General_Model!$E$15)^0.25))*General_Model!$E$7/(General_Model!$E$4/1000)+1)+(4*(0.3164/((General_Model!$E$14*A967*(General_Model!$E$4/1000)/General_Model!$E$15)^0.25))*General_Model!$E$7/(General_Model!$E$4/1000)+2)*(General_Model!$E$26/A967))</f>
        <v>-0.30991773661549227</v>
      </c>
      <c r="C967" s="13">
        <f t="shared" si="15"/>
        <v>0</v>
      </c>
    </row>
    <row r="968" spans="1:3" x14ac:dyDescent="0.25">
      <c r="A968" s="11">
        <v>0.96599999999999997</v>
      </c>
      <c r="B968" s="12">
        <f>(General_Model!$E$6/General_Model!$E$7)-1/(1+General_Model!$E$26/((1.2+0.2*(General_Model!$E$26/A968)+0.35*SQRT(9.80665*(General_Model!$E$4/1000))/A968)*A968))-(A968^2/(2*9.80665*General_Model!$E$7))*((4*(0.3164/((General_Model!$E$14*A968*(General_Model!$E$4/1000)/General_Model!$E$15)^0.25))*General_Model!$E$7/(General_Model!$E$4/1000)+1)+(4*(0.3164/((General_Model!$E$14*A968*(General_Model!$E$4/1000)/General_Model!$E$15)^0.25))*General_Model!$E$7/(General_Model!$E$4/1000)+2)*(General_Model!$E$26/A968))</f>
        <v>-0.31035161242210968</v>
      </c>
      <c r="C968" s="13">
        <f t="shared" si="15"/>
        <v>0</v>
      </c>
    </row>
    <row r="969" spans="1:3" x14ac:dyDescent="0.25">
      <c r="A969" s="11">
        <v>0.96699999999999997</v>
      </c>
      <c r="B969" s="12">
        <f>(General_Model!$E$6/General_Model!$E$7)-1/(1+General_Model!$E$26/((1.2+0.2*(General_Model!$E$26/A969)+0.35*SQRT(9.80665*(General_Model!$E$4/1000))/A969)*A969))-(A969^2/(2*9.80665*General_Model!$E$7))*((4*(0.3164/((General_Model!$E$14*A969*(General_Model!$E$4/1000)/General_Model!$E$15)^0.25))*General_Model!$E$7/(General_Model!$E$4/1000)+1)+(4*(0.3164/((General_Model!$E$14*A969*(General_Model!$E$4/1000)/General_Model!$E$15)^0.25))*General_Model!$E$7/(General_Model!$E$4/1000)+2)*(General_Model!$E$26/A969))</f>
        <v>-0.31078548663973454</v>
      </c>
      <c r="C969" s="13">
        <f t="shared" si="15"/>
        <v>0</v>
      </c>
    </row>
    <row r="970" spans="1:3" x14ac:dyDescent="0.25">
      <c r="A970" s="11">
        <v>0.96799999999999997</v>
      </c>
      <c r="B970" s="12">
        <f>(General_Model!$E$6/General_Model!$E$7)-1/(1+General_Model!$E$26/((1.2+0.2*(General_Model!$E$26/A970)+0.35*SQRT(9.80665*(General_Model!$E$4/1000))/A970)*A970))-(A970^2/(2*9.80665*General_Model!$E$7))*((4*(0.3164/((General_Model!$E$14*A970*(General_Model!$E$4/1000)/General_Model!$E$15)^0.25))*General_Model!$E$7/(General_Model!$E$4/1000)+1)+(4*(0.3164/((General_Model!$E$14*A970*(General_Model!$E$4/1000)/General_Model!$E$15)^0.25))*General_Model!$E$7/(General_Model!$E$4/1000)+2)*(General_Model!$E$26/A970))</f>
        <v>-0.31121935953523067</v>
      </c>
      <c r="C970" s="13">
        <f t="shared" si="15"/>
        <v>0</v>
      </c>
    </row>
    <row r="971" spans="1:3" x14ac:dyDescent="0.25">
      <c r="A971" s="11">
        <v>0.96899999999999997</v>
      </c>
      <c r="B971" s="12">
        <f>(General_Model!$E$6/General_Model!$E$7)-1/(1+General_Model!$E$26/((1.2+0.2*(General_Model!$E$26/A971)+0.35*SQRT(9.80665*(General_Model!$E$4/1000))/A971)*A971))-(A971^2/(2*9.80665*General_Model!$E$7))*((4*(0.3164/((General_Model!$E$14*A971*(General_Model!$E$4/1000)/General_Model!$E$15)^0.25))*General_Model!$E$7/(General_Model!$E$4/1000)+1)+(4*(0.3164/((General_Model!$E$14*A971*(General_Model!$E$4/1000)/General_Model!$E$15)^0.25))*General_Model!$E$7/(General_Model!$E$4/1000)+2)*(General_Model!$E$26/A971))</f>
        <v>-0.31165323137486067</v>
      </c>
      <c r="C971" s="13">
        <f t="shared" si="15"/>
        <v>0</v>
      </c>
    </row>
    <row r="972" spans="1:3" x14ac:dyDescent="0.25">
      <c r="A972" s="11">
        <v>0.97</v>
      </c>
      <c r="B972" s="12">
        <f>(General_Model!$E$6/General_Model!$E$7)-1/(1+General_Model!$E$26/((1.2+0.2*(General_Model!$E$26/A972)+0.35*SQRT(9.80665*(General_Model!$E$4/1000))/A972)*A972))-(A972^2/(2*9.80665*General_Model!$E$7))*((4*(0.3164/((General_Model!$E$14*A972*(General_Model!$E$4/1000)/General_Model!$E$15)^0.25))*General_Model!$E$7/(General_Model!$E$4/1000)+1)+(4*(0.3164/((General_Model!$E$14*A972*(General_Model!$E$4/1000)/General_Model!$E$15)^0.25))*General_Model!$E$7/(General_Model!$E$4/1000)+2)*(General_Model!$E$26/A972))</f>
        <v>-0.3120871024242885</v>
      </c>
      <c r="C972" s="13">
        <f t="shared" si="15"/>
        <v>0</v>
      </c>
    </row>
    <row r="973" spans="1:3" x14ac:dyDescent="0.25">
      <c r="A973" s="11">
        <v>0.97099999999999997</v>
      </c>
      <c r="B973" s="12">
        <f>(General_Model!$E$6/General_Model!$E$7)-1/(1+General_Model!$E$26/((1.2+0.2*(General_Model!$E$26/A973)+0.35*SQRT(9.80665*(General_Model!$E$4/1000))/A973)*A973))-(A973^2/(2*9.80665*General_Model!$E$7))*((4*(0.3164/((General_Model!$E$14*A973*(General_Model!$E$4/1000)/General_Model!$E$15)^0.25))*General_Model!$E$7/(General_Model!$E$4/1000)+1)+(4*(0.3164/((General_Model!$E$14*A973*(General_Model!$E$4/1000)/General_Model!$E$15)^0.25))*General_Model!$E$7/(General_Model!$E$4/1000)+2)*(General_Model!$E$26/A973))</f>
        <v>-0.31252097294857939</v>
      </c>
      <c r="C973" s="13">
        <f t="shared" si="15"/>
        <v>0</v>
      </c>
    </row>
    <row r="974" spans="1:3" x14ac:dyDescent="0.25">
      <c r="A974" s="11">
        <v>0.97199999999999998</v>
      </c>
      <c r="B974" s="12">
        <f>(General_Model!$E$6/General_Model!$E$7)-1/(1+General_Model!$E$26/((1.2+0.2*(General_Model!$E$26/A974)+0.35*SQRT(9.80665*(General_Model!$E$4/1000))/A974)*A974))-(A974^2/(2*9.80665*General_Model!$E$7))*((4*(0.3164/((General_Model!$E$14*A974*(General_Model!$E$4/1000)/General_Model!$E$15)^0.25))*General_Model!$E$7/(General_Model!$E$4/1000)+1)+(4*(0.3164/((General_Model!$E$14*A974*(General_Model!$E$4/1000)/General_Model!$E$15)^0.25))*General_Model!$E$7/(General_Model!$E$4/1000)+2)*(General_Model!$E$26/A974))</f>
        <v>-0.31295484321220379</v>
      </c>
      <c r="C974" s="13">
        <f t="shared" si="15"/>
        <v>0</v>
      </c>
    </row>
    <row r="975" spans="1:3" x14ac:dyDescent="0.25">
      <c r="A975" s="11">
        <v>0.97299999999999998</v>
      </c>
      <c r="B975" s="12">
        <f>(General_Model!$E$6/General_Model!$E$7)-1/(1+General_Model!$E$26/((1.2+0.2*(General_Model!$E$26/A975)+0.35*SQRT(9.80665*(General_Model!$E$4/1000))/A975)*A975))-(A975^2/(2*9.80665*General_Model!$E$7))*((4*(0.3164/((General_Model!$E$14*A975*(General_Model!$E$4/1000)/General_Model!$E$15)^0.25))*General_Model!$E$7/(General_Model!$E$4/1000)+1)+(4*(0.3164/((General_Model!$E$14*A975*(General_Model!$E$4/1000)/General_Model!$E$15)^0.25))*General_Model!$E$7/(General_Model!$E$4/1000)+2)*(General_Model!$E$26/A975))</f>
        <v>-0.31338871347903663</v>
      </c>
      <c r="C975" s="13">
        <f t="shared" si="15"/>
        <v>0</v>
      </c>
    </row>
    <row r="976" spans="1:3" x14ac:dyDescent="0.25">
      <c r="A976" s="11">
        <v>0.97399999999999998</v>
      </c>
      <c r="B976" s="12">
        <f>(General_Model!$E$6/General_Model!$E$7)-1/(1+General_Model!$E$26/((1.2+0.2*(General_Model!$E$26/A976)+0.35*SQRT(9.80665*(General_Model!$E$4/1000))/A976)*A976))-(A976^2/(2*9.80665*General_Model!$E$7))*((4*(0.3164/((General_Model!$E$14*A976*(General_Model!$E$4/1000)/General_Model!$E$15)^0.25))*General_Model!$E$7/(General_Model!$E$4/1000)+1)+(4*(0.3164/((General_Model!$E$14*A976*(General_Model!$E$4/1000)/General_Model!$E$15)^0.25))*General_Model!$E$7/(General_Model!$E$4/1000)+2)*(General_Model!$E$26/A976))</f>
        <v>-0.31382258401236107</v>
      </c>
      <c r="C976" s="13">
        <f t="shared" si="15"/>
        <v>0</v>
      </c>
    </row>
    <row r="977" spans="1:3" x14ac:dyDescent="0.25">
      <c r="A977" s="11">
        <v>0.97499999999999998</v>
      </c>
      <c r="B977" s="12">
        <f>(General_Model!$E$6/General_Model!$E$7)-1/(1+General_Model!$E$26/((1.2+0.2*(General_Model!$E$26/A977)+0.35*SQRT(9.80665*(General_Model!$E$4/1000))/A977)*A977))-(A977^2/(2*9.80665*General_Model!$E$7))*((4*(0.3164/((General_Model!$E$14*A977*(General_Model!$E$4/1000)/General_Model!$E$15)^0.25))*General_Model!$E$7/(General_Model!$E$4/1000)+1)+(4*(0.3164/((General_Model!$E$14*A977*(General_Model!$E$4/1000)/General_Model!$E$15)^0.25))*General_Model!$E$7/(General_Model!$E$4/1000)+2)*(General_Model!$E$26/A977))</f>
        <v>-0.31425645507486838</v>
      </c>
      <c r="C977" s="13">
        <f t="shared" si="15"/>
        <v>0</v>
      </c>
    </row>
    <row r="978" spans="1:3" x14ac:dyDescent="0.25">
      <c r="A978" s="11">
        <v>0.97599999999999998</v>
      </c>
      <c r="B978" s="12">
        <f>(General_Model!$E$6/General_Model!$E$7)-1/(1+General_Model!$E$26/((1.2+0.2*(General_Model!$E$26/A978)+0.35*SQRT(9.80665*(General_Model!$E$4/1000))/A978)*A978))-(A978^2/(2*9.80665*General_Model!$E$7))*((4*(0.3164/((General_Model!$E$14*A978*(General_Model!$E$4/1000)/General_Model!$E$15)^0.25))*General_Model!$E$7/(General_Model!$E$4/1000)+1)+(4*(0.3164/((General_Model!$E$14*A978*(General_Model!$E$4/1000)/General_Model!$E$15)^0.25))*General_Model!$E$7/(General_Model!$E$4/1000)+2)*(General_Model!$E$26/A978))</f>
        <v>-0.31469032692866072</v>
      </c>
      <c r="C978" s="13">
        <f t="shared" si="15"/>
        <v>0</v>
      </c>
    </row>
    <row r="979" spans="1:3" x14ac:dyDescent="0.25">
      <c r="A979" s="11">
        <v>0.97699999999999998</v>
      </c>
      <c r="B979" s="12">
        <f>(General_Model!$E$6/General_Model!$E$7)-1/(1+General_Model!$E$26/((1.2+0.2*(General_Model!$E$26/A979)+0.35*SQRT(9.80665*(General_Model!$E$4/1000))/A979)*A979))-(A979^2/(2*9.80665*General_Model!$E$7))*((4*(0.3164/((General_Model!$E$14*A979*(General_Model!$E$4/1000)/General_Model!$E$15)^0.25))*General_Model!$E$7/(General_Model!$E$4/1000)+1)+(4*(0.3164/((General_Model!$E$14*A979*(General_Model!$E$4/1000)/General_Model!$E$15)^0.25))*General_Model!$E$7/(General_Model!$E$4/1000)+2)*(General_Model!$E$26/A979))</f>
        <v>-0.31512419983525253</v>
      </c>
      <c r="C979" s="13">
        <f t="shared" si="15"/>
        <v>0</v>
      </c>
    </row>
    <row r="980" spans="1:3" x14ac:dyDescent="0.25">
      <c r="A980" s="11">
        <v>0.97799999999999998</v>
      </c>
      <c r="B980" s="12">
        <f>(General_Model!$E$6/General_Model!$E$7)-1/(1+General_Model!$E$26/((1.2+0.2*(General_Model!$E$26/A980)+0.35*SQRT(9.80665*(General_Model!$E$4/1000))/A980)*A980))-(A980^2/(2*9.80665*General_Model!$E$7))*((4*(0.3164/((General_Model!$E$14*A980*(General_Model!$E$4/1000)/General_Model!$E$15)^0.25))*General_Model!$E$7/(General_Model!$E$4/1000)+1)+(4*(0.3164/((General_Model!$E$14*A980*(General_Model!$E$4/1000)/General_Model!$E$15)^0.25))*General_Model!$E$7/(General_Model!$E$4/1000)+2)*(General_Model!$E$26/A980))</f>
        <v>-0.3155580740555719</v>
      </c>
      <c r="C980" s="13">
        <f t="shared" si="15"/>
        <v>0</v>
      </c>
    </row>
    <row r="981" spans="1:3" x14ac:dyDescent="0.25">
      <c r="A981" s="11">
        <v>0.97899999999999998</v>
      </c>
      <c r="B981" s="12">
        <f>(General_Model!$E$6/General_Model!$E$7)-1/(1+General_Model!$E$26/((1.2+0.2*(General_Model!$E$26/A981)+0.35*SQRT(9.80665*(General_Model!$E$4/1000))/A981)*A981))-(A981^2/(2*9.80665*General_Model!$E$7))*((4*(0.3164/((General_Model!$E$14*A981*(General_Model!$E$4/1000)/General_Model!$E$15)^0.25))*General_Model!$E$7/(General_Model!$E$4/1000)+1)+(4*(0.3164/((General_Model!$E$14*A981*(General_Model!$E$4/1000)/General_Model!$E$15)^0.25))*General_Model!$E$7/(General_Model!$E$4/1000)+2)*(General_Model!$E$26/A981))</f>
        <v>-0.31599194984996221</v>
      </c>
      <c r="C981" s="13">
        <f t="shared" si="15"/>
        <v>0</v>
      </c>
    </row>
    <row r="982" spans="1:3" x14ac:dyDescent="0.25">
      <c r="A982" s="11">
        <v>0.98</v>
      </c>
      <c r="B982" s="12">
        <f>(General_Model!$E$6/General_Model!$E$7)-1/(1+General_Model!$E$26/((1.2+0.2*(General_Model!$E$26/A982)+0.35*SQRT(9.80665*(General_Model!$E$4/1000))/A982)*A982))-(A982^2/(2*9.80665*General_Model!$E$7))*((4*(0.3164/((General_Model!$E$14*A982*(General_Model!$E$4/1000)/General_Model!$E$15)^0.25))*General_Model!$E$7/(General_Model!$E$4/1000)+1)+(4*(0.3164/((General_Model!$E$14*A982*(General_Model!$E$4/1000)/General_Model!$E$15)^0.25))*General_Model!$E$7/(General_Model!$E$4/1000)+2)*(General_Model!$E$26/A982))</f>
        <v>-0.31642582747818393</v>
      </c>
      <c r="C982" s="13">
        <f t="shared" si="15"/>
        <v>0</v>
      </c>
    </row>
    <row r="983" spans="1:3" x14ac:dyDescent="0.25">
      <c r="A983" s="11">
        <v>0.98099999999999998</v>
      </c>
      <c r="B983" s="12">
        <f>(General_Model!$E$6/General_Model!$E$7)-1/(1+General_Model!$E$26/((1.2+0.2*(General_Model!$E$26/A983)+0.35*SQRT(9.80665*(General_Model!$E$4/1000))/A983)*A983))-(A983^2/(2*9.80665*General_Model!$E$7))*((4*(0.3164/((General_Model!$E$14*A983*(General_Model!$E$4/1000)/General_Model!$E$15)^0.25))*General_Model!$E$7/(General_Model!$E$4/1000)+1)+(4*(0.3164/((General_Model!$E$14*A983*(General_Model!$E$4/1000)/General_Model!$E$15)^0.25))*General_Model!$E$7/(General_Model!$E$4/1000)+2)*(General_Model!$E$26/A983))</f>
        <v>-0.3168597071994162</v>
      </c>
      <c r="C983" s="13">
        <f t="shared" si="15"/>
        <v>0</v>
      </c>
    </row>
    <row r="984" spans="1:3" x14ac:dyDescent="0.25">
      <c r="A984" s="11">
        <v>0.98199999999999998</v>
      </c>
      <c r="B984" s="12">
        <f>(General_Model!$E$6/General_Model!$E$7)-1/(1+General_Model!$E$26/((1.2+0.2*(General_Model!$E$26/A984)+0.35*SQRT(9.80665*(General_Model!$E$4/1000))/A984)*A984))-(A984^2/(2*9.80665*General_Model!$E$7))*((4*(0.3164/((General_Model!$E$14*A984*(General_Model!$E$4/1000)/General_Model!$E$15)^0.25))*General_Model!$E$7/(General_Model!$E$4/1000)+1)+(4*(0.3164/((General_Model!$E$14*A984*(General_Model!$E$4/1000)/General_Model!$E$15)^0.25))*General_Model!$E$7/(General_Model!$E$4/1000)+2)*(General_Model!$E$26/A984))</f>
        <v>-0.31729358927225826</v>
      </c>
      <c r="C984" s="13">
        <f t="shared" si="15"/>
        <v>0</v>
      </c>
    </row>
    <row r="985" spans="1:3" x14ac:dyDescent="0.25">
      <c r="A985" s="11">
        <v>0.98299999999999998</v>
      </c>
      <c r="B985" s="12">
        <f>(General_Model!$E$6/General_Model!$E$7)-1/(1+General_Model!$E$26/((1.2+0.2*(General_Model!$E$26/A985)+0.35*SQRT(9.80665*(General_Model!$E$4/1000))/A985)*A985))-(A985^2/(2*9.80665*General_Model!$E$7))*((4*(0.3164/((General_Model!$E$14*A985*(General_Model!$E$4/1000)/General_Model!$E$15)^0.25))*General_Model!$E$7/(General_Model!$E$4/1000)+1)+(4*(0.3164/((General_Model!$E$14*A985*(General_Model!$E$4/1000)/General_Model!$E$15)^0.25))*General_Model!$E$7/(General_Model!$E$4/1000)+2)*(General_Model!$E$26/A985))</f>
        <v>-0.31772747395473117</v>
      </c>
      <c r="C985" s="13">
        <f t="shared" si="15"/>
        <v>0</v>
      </c>
    </row>
    <row r="986" spans="1:3" x14ac:dyDescent="0.25">
      <c r="A986" s="11">
        <v>0.98399999999999999</v>
      </c>
      <c r="B986" s="12">
        <f>(General_Model!$E$6/General_Model!$E$7)-1/(1+General_Model!$E$26/((1.2+0.2*(General_Model!$E$26/A986)+0.35*SQRT(9.80665*(General_Model!$E$4/1000))/A986)*A986))-(A986^2/(2*9.80665*General_Model!$E$7))*((4*(0.3164/((General_Model!$E$14*A986*(General_Model!$E$4/1000)/General_Model!$E$15)^0.25))*General_Model!$E$7/(General_Model!$E$4/1000)+1)+(4*(0.3164/((General_Model!$E$14*A986*(General_Model!$E$4/1000)/General_Model!$E$15)^0.25))*General_Model!$E$7/(General_Model!$E$4/1000)+2)*(General_Model!$E$26/A986))</f>
        <v>-0.31816136150427943</v>
      </c>
      <c r="C986" s="13">
        <f t="shared" si="15"/>
        <v>0</v>
      </c>
    </row>
    <row r="987" spans="1:3" x14ac:dyDescent="0.25">
      <c r="A987" s="11">
        <v>0.98499999999999999</v>
      </c>
      <c r="B987" s="12">
        <f>(General_Model!$E$6/General_Model!$E$7)-1/(1+General_Model!$E$26/((1.2+0.2*(General_Model!$E$26/A987)+0.35*SQRT(9.80665*(General_Model!$E$4/1000))/A987)*A987))-(A987^2/(2*9.80665*General_Model!$E$7))*((4*(0.3164/((General_Model!$E$14*A987*(General_Model!$E$4/1000)/General_Model!$E$15)^0.25))*General_Model!$E$7/(General_Model!$E$4/1000)+1)+(4*(0.3164/((General_Model!$E$14*A987*(General_Model!$E$4/1000)/General_Model!$E$15)^0.25))*General_Model!$E$7/(General_Model!$E$4/1000)+2)*(General_Model!$E$26/A987))</f>
        <v>-0.31859525217777224</v>
      </c>
      <c r="C987" s="13">
        <f t="shared" si="15"/>
        <v>0</v>
      </c>
    </row>
    <row r="988" spans="1:3" x14ac:dyDescent="0.25">
      <c r="A988" s="11">
        <v>0.98599999999999999</v>
      </c>
      <c r="B988" s="12">
        <f>(General_Model!$E$6/General_Model!$E$7)-1/(1+General_Model!$E$26/((1.2+0.2*(General_Model!$E$26/A988)+0.35*SQRT(9.80665*(General_Model!$E$4/1000))/A988)*A988))-(A988^2/(2*9.80665*General_Model!$E$7))*((4*(0.3164/((General_Model!$E$14*A988*(General_Model!$E$4/1000)/General_Model!$E$15)^0.25))*General_Model!$E$7/(General_Model!$E$4/1000)+1)+(4*(0.3164/((General_Model!$E$14*A988*(General_Model!$E$4/1000)/General_Model!$E$15)^0.25))*General_Model!$E$7/(General_Model!$E$4/1000)+2)*(General_Model!$E$26/A988))</f>
        <v>-0.31902914623150591</v>
      </c>
      <c r="C988" s="13">
        <f t="shared" si="15"/>
        <v>0</v>
      </c>
    </row>
    <row r="989" spans="1:3" x14ac:dyDescent="0.25">
      <c r="A989" s="11">
        <v>0.98699999999999999</v>
      </c>
      <c r="B989" s="12">
        <f>(General_Model!$E$6/General_Model!$E$7)-1/(1+General_Model!$E$26/((1.2+0.2*(General_Model!$E$26/A989)+0.35*SQRT(9.80665*(General_Model!$E$4/1000))/A989)*A989))-(A989^2/(2*9.80665*General_Model!$E$7))*((4*(0.3164/((General_Model!$E$14*A989*(General_Model!$E$4/1000)/General_Model!$E$15)^0.25))*General_Model!$E$7/(General_Model!$E$4/1000)+1)+(4*(0.3164/((General_Model!$E$14*A989*(General_Model!$E$4/1000)/General_Model!$E$15)^0.25))*General_Model!$E$7/(General_Model!$E$4/1000)+2)*(General_Model!$E$26/A989))</f>
        <v>-0.31946304392120423</v>
      </c>
      <c r="C989" s="13">
        <f t="shared" si="15"/>
        <v>0</v>
      </c>
    </row>
    <row r="990" spans="1:3" x14ac:dyDescent="0.25">
      <c r="A990" s="11">
        <v>0.98799999999999999</v>
      </c>
      <c r="B990" s="12">
        <f>(General_Model!$E$6/General_Model!$E$7)-1/(1+General_Model!$E$26/((1.2+0.2*(General_Model!$E$26/A990)+0.35*SQRT(9.80665*(General_Model!$E$4/1000))/A990)*A990))-(A990^2/(2*9.80665*General_Model!$E$7))*((4*(0.3164/((General_Model!$E$14*A990*(General_Model!$E$4/1000)/General_Model!$E$15)^0.25))*General_Model!$E$7/(General_Model!$E$4/1000)+1)+(4*(0.3164/((General_Model!$E$14*A990*(General_Model!$E$4/1000)/General_Model!$E$15)^0.25))*General_Model!$E$7/(General_Model!$E$4/1000)+2)*(General_Model!$E$26/A990))</f>
        <v>-0.31989694550202108</v>
      </c>
      <c r="C990" s="13">
        <f t="shared" si="15"/>
        <v>0</v>
      </c>
    </row>
    <row r="991" spans="1:3" x14ac:dyDescent="0.25">
      <c r="A991" s="11">
        <v>0.98899999999999999</v>
      </c>
      <c r="B991" s="12">
        <f>(General_Model!$E$6/General_Model!$E$7)-1/(1+General_Model!$E$26/((1.2+0.2*(General_Model!$E$26/A991)+0.35*SQRT(9.80665*(General_Model!$E$4/1000))/A991)*A991))-(A991^2/(2*9.80665*General_Model!$E$7))*((4*(0.3164/((General_Model!$E$14*A991*(General_Model!$E$4/1000)/General_Model!$E$15)^0.25))*General_Model!$E$7/(General_Model!$E$4/1000)+1)+(4*(0.3164/((General_Model!$E$14*A991*(General_Model!$E$4/1000)/General_Model!$E$15)^0.25))*General_Model!$E$7/(General_Model!$E$4/1000)+2)*(General_Model!$E$26/A991))</f>
        <v>-0.32033085122854132</v>
      </c>
      <c r="C991" s="13">
        <f t="shared" si="15"/>
        <v>0</v>
      </c>
    </row>
    <row r="992" spans="1:3" x14ac:dyDescent="0.25">
      <c r="A992" s="11">
        <v>0.99</v>
      </c>
      <c r="B992" s="12">
        <f>(General_Model!$E$6/General_Model!$E$7)-1/(1+General_Model!$E$26/((1.2+0.2*(General_Model!$E$26/A992)+0.35*SQRT(9.80665*(General_Model!$E$4/1000))/A992)*A992))-(A992^2/(2*9.80665*General_Model!$E$7))*((4*(0.3164/((General_Model!$E$14*A992*(General_Model!$E$4/1000)/General_Model!$E$15)^0.25))*General_Model!$E$7/(General_Model!$E$4/1000)+1)+(4*(0.3164/((General_Model!$E$14*A992*(General_Model!$E$4/1000)/General_Model!$E$15)^0.25))*General_Model!$E$7/(General_Model!$E$4/1000)+2)*(General_Model!$E$26/A992))</f>
        <v>-0.32076476135478305</v>
      </c>
      <c r="C992" s="13">
        <f t="shared" si="15"/>
        <v>0</v>
      </c>
    </row>
    <row r="993" spans="1:3" x14ac:dyDescent="0.25">
      <c r="A993" s="11">
        <v>0.99099999999999999</v>
      </c>
      <c r="B993" s="12">
        <f>(General_Model!$E$6/General_Model!$E$7)-1/(1+General_Model!$E$26/((1.2+0.2*(General_Model!$E$26/A993)+0.35*SQRT(9.80665*(General_Model!$E$4/1000))/A993)*A993))-(A993^2/(2*9.80665*General_Model!$E$7))*((4*(0.3164/((General_Model!$E$14*A993*(General_Model!$E$4/1000)/General_Model!$E$15)^0.25))*General_Model!$E$7/(General_Model!$E$4/1000)+1)+(4*(0.3164/((General_Model!$E$14*A993*(General_Model!$E$4/1000)/General_Model!$E$15)^0.25))*General_Model!$E$7/(General_Model!$E$4/1000)+2)*(General_Model!$E$26/A993))</f>
        <v>-0.32119867613419806</v>
      </c>
      <c r="C993" s="13">
        <f t="shared" si="15"/>
        <v>0</v>
      </c>
    </row>
    <row r="994" spans="1:3" x14ac:dyDescent="0.25">
      <c r="A994" s="11">
        <v>0.99199999999999999</v>
      </c>
      <c r="B994" s="12">
        <f>(General_Model!$E$6/General_Model!$E$7)-1/(1+General_Model!$E$26/((1.2+0.2*(General_Model!$E$26/A994)+0.35*SQRT(9.80665*(General_Model!$E$4/1000))/A994)*A994))-(A994^2/(2*9.80665*General_Model!$E$7))*((4*(0.3164/((General_Model!$E$14*A994*(General_Model!$E$4/1000)/General_Model!$E$15)^0.25))*General_Model!$E$7/(General_Model!$E$4/1000)+1)+(4*(0.3164/((General_Model!$E$14*A994*(General_Model!$E$4/1000)/General_Model!$E$15)^0.25))*General_Model!$E$7/(General_Model!$E$4/1000)+2)*(General_Model!$E$26/A994))</f>
        <v>-0.32163259581967457</v>
      </c>
      <c r="C994" s="13">
        <f t="shared" si="15"/>
        <v>0</v>
      </c>
    </row>
    <row r="995" spans="1:3" x14ac:dyDescent="0.25">
      <c r="A995" s="11">
        <v>0.99299999999999999</v>
      </c>
      <c r="B995" s="12">
        <f>(General_Model!$E$6/General_Model!$E$7)-1/(1+General_Model!$E$26/((1.2+0.2*(General_Model!$E$26/A995)+0.35*SQRT(9.80665*(General_Model!$E$4/1000))/A995)*A995))-(A995^2/(2*9.80665*General_Model!$E$7))*((4*(0.3164/((General_Model!$E$14*A995*(General_Model!$E$4/1000)/General_Model!$E$15)^0.25))*General_Model!$E$7/(General_Model!$E$4/1000)+1)+(4*(0.3164/((General_Model!$E$14*A995*(General_Model!$E$4/1000)/General_Model!$E$15)^0.25))*General_Model!$E$7/(General_Model!$E$4/1000)+2)*(General_Model!$E$26/A995))</f>
        <v>-0.32206652066353803</v>
      </c>
      <c r="C995" s="13">
        <f t="shared" si="15"/>
        <v>0</v>
      </c>
    </row>
    <row r="996" spans="1:3" x14ac:dyDescent="0.25">
      <c r="A996" s="11">
        <v>0.99399999999999999</v>
      </c>
      <c r="B996" s="12">
        <f>(General_Model!$E$6/General_Model!$E$7)-1/(1+General_Model!$E$26/((1.2+0.2*(General_Model!$E$26/A996)+0.35*SQRT(9.80665*(General_Model!$E$4/1000))/A996)*A996))-(A996^2/(2*9.80665*General_Model!$E$7))*((4*(0.3164/((General_Model!$E$14*A996*(General_Model!$E$4/1000)/General_Model!$E$15)^0.25))*General_Model!$E$7/(General_Model!$E$4/1000)+1)+(4*(0.3164/((General_Model!$E$14*A996*(General_Model!$E$4/1000)/General_Model!$E$15)^0.25))*General_Model!$E$7/(General_Model!$E$4/1000)+2)*(General_Model!$E$26/A996))</f>
        <v>-0.32250045091755286</v>
      </c>
      <c r="C996" s="13">
        <f t="shared" si="15"/>
        <v>0</v>
      </c>
    </row>
    <row r="997" spans="1:3" x14ac:dyDescent="0.25">
      <c r="A997" s="11">
        <v>0.995</v>
      </c>
      <c r="B997" s="12">
        <f>(General_Model!$E$6/General_Model!$E$7)-1/(1+General_Model!$E$26/((1.2+0.2*(General_Model!$E$26/A997)+0.35*SQRT(9.80665*(General_Model!$E$4/1000))/A997)*A997))-(A997^2/(2*9.80665*General_Model!$E$7))*((4*(0.3164/((General_Model!$E$14*A997*(General_Model!$E$4/1000)/General_Model!$E$15)^0.25))*General_Model!$E$7/(General_Model!$E$4/1000)+1)+(4*(0.3164/((General_Model!$E$14*A997*(General_Model!$E$4/1000)/General_Model!$E$15)^0.25))*General_Model!$E$7/(General_Model!$E$4/1000)+2)*(General_Model!$E$26/A997))</f>
        <v>-0.32293438683292408</v>
      </c>
      <c r="C997" s="13">
        <f t="shared" si="15"/>
        <v>0</v>
      </c>
    </row>
    <row r="998" spans="1:3" x14ac:dyDescent="0.25">
      <c r="A998" s="11">
        <v>0.996</v>
      </c>
      <c r="B998" s="12">
        <f>(General_Model!$E$6/General_Model!$E$7)-1/(1+General_Model!$E$26/((1.2+0.2*(General_Model!$E$26/A998)+0.35*SQRT(9.80665*(General_Model!$E$4/1000))/A998)*A998))-(A998^2/(2*9.80665*General_Model!$E$7))*((4*(0.3164/((General_Model!$E$14*A998*(General_Model!$E$4/1000)/General_Model!$E$15)^0.25))*General_Model!$E$7/(General_Model!$E$4/1000)+1)+(4*(0.3164/((General_Model!$E$14*A998*(General_Model!$E$4/1000)/General_Model!$E$15)^0.25))*General_Model!$E$7/(General_Model!$E$4/1000)+2)*(General_Model!$E$26/A998))</f>
        <v>-0.32336832866029852</v>
      </c>
      <c r="C998" s="13">
        <f t="shared" si="15"/>
        <v>0</v>
      </c>
    </row>
    <row r="999" spans="1:3" x14ac:dyDescent="0.25">
      <c r="A999" s="11">
        <v>0.997</v>
      </c>
      <c r="B999" s="12">
        <f>(General_Model!$E$6/General_Model!$E$7)-1/(1+General_Model!$E$26/((1.2+0.2*(General_Model!$E$26/A999)+0.35*SQRT(9.80665*(General_Model!$E$4/1000))/A999)*A999))-(A999^2/(2*9.80665*General_Model!$E$7))*((4*(0.3164/((General_Model!$E$14*A999*(General_Model!$E$4/1000)/General_Model!$E$15)^0.25))*General_Model!$E$7/(General_Model!$E$4/1000)+1)+(4*(0.3164/((General_Model!$E$14*A999*(General_Model!$E$4/1000)/General_Model!$E$15)^0.25))*General_Model!$E$7/(General_Model!$E$4/1000)+2)*(General_Model!$E$26/A999))</f>
        <v>-0.32380227664976691</v>
      </c>
      <c r="C999" s="13">
        <f t="shared" si="15"/>
        <v>0</v>
      </c>
    </row>
    <row r="1000" spans="1:3" x14ac:dyDescent="0.25">
      <c r="A1000" s="11">
        <v>0.998</v>
      </c>
      <c r="B1000" s="12">
        <f>(General_Model!$E$6/General_Model!$E$7)-1/(1+General_Model!$E$26/((1.2+0.2*(General_Model!$E$26/A1000)+0.35*SQRT(9.80665*(General_Model!$E$4/1000))/A1000)*A1000))-(A1000^2/(2*9.80665*General_Model!$E$7))*((4*(0.3164/((General_Model!$E$14*A1000*(General_Model!$E$4/1000)/General_Model!$E$15)^0.25))*General_Model!$E$7/(General_Model!$E$4/1000)+1)+(4*(0.3164/((General_Model!$E$14*A1000*(General_Model!$E$4/1000)/General_Model!$E$15)^0.25))*General_Model!$E$7/(General_Model!$E$4/1000)+2)*(General_Model!$E$26/A1000))</f>
        <v>-0.32423623105086485</v>
      </c>
      <c r="C1000" s="13">
        <f t="shared" si="15"/>
        <v>0</v>
      </c>
    </row>
    <row r="1001" spans="1:3" x14ac:dyDescent="0.25">
      <c r="A1001" s="11">
        <v>0.999</v>
      </c>
      <c r="B1001" s="12">
        <f>(General_Model!$E$6/General_Model!$E$7)-1/(1+General_Model!$E$26/((1.2+0.2*(General_Model!$E$26/A1001)+0.35*SQRT(9.80665*(General_Model!$E$4/1000))/A1001)*A1001))-(A1001^2/(2*9.80665*General_Model!$E$7))*((4*(0.3164/((General_Model!$E$14*A1001*(General_Model!$E$4/1000)/General_Model!$E$15)^0.25))*General_Model!$E$7/(General_Model!$E$4/1000)+1)+(4*(0.3164/((General_Model!$E$14*A1001*(General_Model!$E$4/1000)/General_Model!$E$15)^0.25))*General_Model!$E$7/(General_Model!$E$4/1000)+2)*(General_Model!$E$26/A1001))</f>
        <v>-0.32467019211257442</v>
      </c>
      <c r="C1001" s="13">
        <f t="shared" si="15"/>
        <v>0</v>
      </c>
    </row>
    <row r="1002" spans="1:3" x14ac:dyDescent="0.25">
      <c r="A1002" s="11">
        <v>1</v>
      </c>
      <c r="B1002" s="12">
        <f>(General_Model!$E$6/General_Model!$E$7)-1/(1+General_Model!$E$26/((1.2+0.2*(General_Model!$E$26/A1002)+0.35*SQRT(9.80665*(General_Model!$E$4/1000))/A1002)*A1002))-(A1002^2/(2*9.80665*General_Model!$E$7))*((4*(0.3164/((General_Model!$E$14*A1002*(General_Model!$E$4/1000)/General_Model!$E$15)^0.25))*General_Model!$E$7/(General_Model!$E$4/1000)+1)+(4*(0.3164/((General_Model!$E$14*A1002*(General_Model!$E$4/1000)/General_Model!$E$15)^0.25))*General_Model!$E$7/(General_Model!$E$4/1000)+2)*(General_Model!$E$26/A1002))</f>
        <v>-0.32510416008332588</v>
      </c>
      <c r="C1002" s="13"/>
    </row>
  </sheetData>
  <autoFilter ref="A2:C1002" xr:uid="{00000000-0009-0000-0000-000003000000}"/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6.7109375" customWidth="1"/>
    <col min="2" max="2" width="75.7109375" customWidth="1"/>
    <col min="3" max="3" width="22.7109375" customWidth="1"/>
    <col min="4" max="4" width="38.7109375" customWidth="1"/>
  </cols>
  <sheetData>
    <row r="1" spans="1:4" ht="18.75" x14ac:dyDescent="0.25">
      <c r="A1" s="15" t="s">
        <v>54</v>
      </c>
      <c r="B1" s="15"/>
      <c r="C1" s="15"/>
      <c r="D1" s="15"/>
    </row>
    <row r="3" spans="1:4" x14ac:dyDescent="0.25">
      <c r="A3" s="1" t="s">
        <v>55</v>
      </c>
      <c r="B3" s="1" t="s">
        <v>56</v>
      </c>
      <c r="C3" s="1" t="s">
        <v>57</v>
      </c>
      <c r="D3" s="1" t="s">
        <v>58</v>
      </c>
    </row>
    <row r="4" spans="1:4" ht="45.95" customHeight="1" x14ac:dyDescent="0.25">
      <c r="A4" s="2" t="s">
        <v>59</v>
      </c>
      <c r="B4" s="14" t="s">
        <v>60</v>
      </c>
      <c r="C4" s="2" t="s">
        <v>61</v>
      </c>
      <c r="D4" s="14"/>
    </row>
    <row r="5" spans="1:4" ht="45.95" customHeight="1" x14ac:dyDescent="0.25">
      <c r="A5" s="2" t="s">
        <v>62</v>
      </c>
      <c r="B5" s="14" t="s">
        <v>63</v>
      </c>
      <c r="C5" s="2" t="s">
        <v>64</v>
      </c>
      <c r="D5" s="14" t="s">
        <v>65</v>
      </c>
    </row>
    <row r="6" spans="1:4" ht="45.95" customHeight="1" x14ac:dyDescent="0.25">
      <c r="A6" s="2" t="s">
        <v>66</v>
      </c>
      <c r="B6" s="14" t="s">
        <v>67</v>
      </c>
      <c r="C6" s="2" t="s">
        <v>68</v>
      </c>
      <c r="D6" s="14"/>
    </row>
    <row r="7" spans="1:4" ht="45.95" customHeight="1" x14ac:dyDescent="0.25">
      <c r="A7" s="2" t="s">
        <v>69</v>
      </c>
      <c r="B7" s="14" t="s">
        <v>70</v>
      </c>
      <c r="C7" s="2" t="s">
        <v>71</v>
      </c>
      <c r="D7" s="14" t="s">
        <v>72</v>
      </c>
    </row>
    <row r="8" spans="1:4" ht="45.95" customHeight="1" x14ac:dyDescent="0.25">
      <c r="A8" s="2" t="s">
        <v>73</v>
      </c>
      <c r="B8" s="14" t="s">
        <v>74</v>
      </c>
      <c r="C8" s="2" t="s">
        <v>75</v>
      </c>
      <c r="D8" s="14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General_Model</vt:lpstr>
      <vt:lpstr>Solver_C</vt:lpstr>
      <vt:lpstr>Solver_D</vt:lpstr>
      <vt:lpstr>Solver_E</vt:lpstr>
      <vt:lpstr>Model_Notes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Slamet slamet</cp:lastModifiedBy>
  <dcterms:created xsi:type="dcterms:W3CDTF">2026-06-26T04:24:49Z</dcterms:created>
  <dcterms:modified xsi:type="dcterms:W3CDTF">2026-06-26T07:37:24Z</dcterms:modified>
</cp:coreProperties>
</file>