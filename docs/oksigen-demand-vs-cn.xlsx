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8_{FF8E8047-948B-46BB-BCB1-030F6BAC2D02}" xr6:coauthVersionLast="47" xr6:coauthVersionMax="47" xr10:uidLastSave="{00000000-0000-0000-0000-000000000000}"/>
  <bookViews>
    <workbookView xWindow="390" yWindow="0" windowWidth="24780" windowHeight="15600" xr2:uid="{B8BE0705-28D9-4061-85C3-D5B46166E224}"/>
  </bookViews>
  <sheets>
    <sheet name="kebutuhan-o2-vs-cn" sheetId="2" r:id="rId1"/>
    <sheet name="Sheet1" sheetId="1" r:id="rId2"/>
  </sheets>
  <definedNames>
    <definedName name="ExternalData_1" localSheetId="0" hidden="1">'kebutuhan-o2-vs-cn'!$A$1:$V$42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2" l="1"/>
  <c r="M42" i="2"/>
  <c r="B42" i="2"/>
  <c r="N41" i="2"/>
  <c r="M41" i="2"/>
  <c r="B41" i="2"/>
  <c r="N40" i="2"/>
  <c r="M40" i="2"/>
  <c r="B40" i="2"/>
  <c r="N39" i="2"/>
  <c r="M39" i="2"/>
  <c r="B39" i="2"/>
  <c r="N38" i="2"/>
  <c r="M38" i="2"/>
  <c r="B38" i="2"/>
  <c r="N37" i="2"/>
  <c r="M37" i="2"/>
  <c r="B37" i="2"/>
  <c r="N36" i="2"/>
  <c r="M36" i="2"/>
  <c r="B36" i="2"/>
  <c r="N35" i="2"/>
  <c r="M35" i="2"/>
  <c r="B35" i="2"/>
  <c r="N34" i="2"/>
  <c r="M34" i="2"/>
  <c r="B34" i="2"/>
  <c r="N33" i="2"/>
  <c r="M33" i="2"/>
  <c r="B33" i="2"/>
  <c r="B29" i="2"/>
  <c r="B30" i="2" s="1"/>
  <c r="B27" i="2"/>
  <c r="C41" i="2" s="1"/>
  <c r="J41" i="2" l="1"/>
  <c r="K41" i="2" s="1"/>
  <c r="G41" i="2"/>
  <c r="E41" i="2"/>
  <c r="F41" i="2" s="1"/>
  <c r="H41" i="2" s="1"/>
  <c r="I41" i="2" s="1"/>
  <c r="D41" i="2"/>
  <c r="L36" i="2"/>
  <c r="L39" i="2"/>
  <c r="L42" i="2"/>
  <c r="L34" i="2"/>
  <c r="L37" i="2"/>
  <c r="L40" i="2"/>
  <c r="L35" i="2"/>
  <c r="L38" i="2"/>
  <c r="L33" i="2"/>
  <c r="L41" i="2"/>
  <c r="C38" i="2"/>
  <c r="C35" i="2"/>
  <c r="C40" i="2"/>
  <c r="B28" i="2"/>
  <c r="C37" i="2"/>
  <c r="C42" i="2"/>
  <c r="C34" i="2"/>
  <c r="C39" i="2"/>
  <c r="C36" i="2"/>
  <c r="C33" i="2"/>
  <c r="J33" i="2" l="1"/>
  <c r="K33" i="2" s="1"/>
  <c r="G33" i="2"/>
  <c r="E33" i="2"/>
  <c r="F33" i="2" s="1"/>
  <c r="D33" i="2"/>
  <c r="G35" i="2"/>
  <c r="E35" i="2"/>
  <c r="F35" i="2" s="1"/>
  <c r="D35" i="2"/>
  <c r="J35" i="2"/>
  <c r="K35" i="2" s="1"/>
  <c r="D36" i="2"/>
  <c r="J36" i="2"/>
  <c r="K36" i="2" s="1"/>
  <c r="G36" i="2"/>
  <c r="E36" i="2"/>
  <c r="F36" i="2" s="1"/>
  <c r="J38" i="2"/>
  <c r="K38" i="2" s="1"/>
  <c r="G38" i="2"/>
  <c r="E38" i="2"/>
  <c r="F38" i="2" s="1"/>
  <c r="D38" i="2"/>
  <c r="E39" i="2"/>
  <c r="F39" i="2" s="1"/>
  <c r="H39" i="2" s="1"/>
  <c r="I39" i="2" s="1"/>
  <c r="D39" i="2"/>
  <c r="O39" i="2" s="1"/>
  <c r="J39" i="2"/>
  <c r="K39" i="2" s="1"/>
  <c r="G39" i="2"/>
  <c r="O41" i="2"/>
  <c r="E34" i="2"/>
  <c r="F34" i="2" s="1"/>
  <c r="D34" i="2"/>
  <c r="J34" i="2"/>
  <c r="K34" i="2" s="1"/>
  <c r="G34" i="2"/>
  <c r="E42" i="2"/>
  <c r="F42" i="2" s="1"/>
  <c r="D42" i="2"/>
  <c r="J42" i="2"/>
  <c r="K42" i="2" s="1"/>
  <c r="G42" i="2"/>
  <c r="G37" i="2"/>
  <c r="E37" i="2"/>
  <c r="F37" i="2" s="1"/>
  <c r="D37" i="2"/>
  <c r="J37" i="2"/>
  <c r="K37" i="2" s="1"/>
  <c r="G40" i="2"/>
  <c r="E40" i="2"/>
  <c r="F40" i="2" s="1"/>
  <c r="D40" i="2"/>
  <c r="J40" i="2"/>
  <c r="K40" i="2" s="1"/>
  <c r="O36" i="2" l="1"/>
  <c r="R36" i="2" s="1"/>
  <c r="S36" i="2" s="1"/>
  <c r="T36" i="2" s="1"/>
  <c r="U36" i="2" s="1"/>
  <c r="O40" i="2"/>
  <c r="P40" i="2" s="1"/>
  <c r="Q40" i="2" s="1"/>
  <c r="H36" i="2"/>
  <c r="I36" i="2" s="1"/>
  <c r="H40" i="2"/>
  <c r="I40" i="2" s="1"/>
  <c r="H33" i="2"/>
  <c r="I33" i="2" s="1"/>
  <c r="O33" i="2" s="1"/>
  <c r="R33" i="2"/>
  <c r="S33" i="2" s="1"/>
  <c r="T33" i="2" s="1"/>
  <c r="U33" i="2" s="1"/>
  <c r="P33" i="2"/>
  <c r="Q33" i="2" s="1"/>
  <c r="R39" i="2"/>
  <c r="S39" i="2" s="1"/>
  <c r="T39" i="2" s="1"/>
  <c r="U39" i="2" s="1"/>
  <c r="P39" i="2"/>
  <c r="Q39" i="2" s="1"/>
  <c r="P36" i="2"/>
  <c r="Q36" i="2" s="1"/>
  <c r="H42" i="2"/>
  <c r="I42" i="2" s="1"/>
  <c r="O42" i="2" s="1"/>
  <c r="H35" i="2"/>
  <c r="I35" i="2" s="1"/>
  <c r="O35" i="2" s="1"/>
  <c r="H37" i="2"/>
  <c r="I37" i="2" s="1"/>
  <c r="O37" i="2" s="1"/>
  <c r="H34" i="2"/>
  <c r="I34" i="2" s="1"/>
  <c r="O34" i="2" s="1"/>
  <c r="R41" i="2"/>
  <c r="S41" i="2" s="1"/>
  <c r="T41" i="2" s="1"/>
  <c r="U41" i="2" s="1"/>
  <c r="P41" i="2"/>
  <c r="Q41" i="2" s="1"/>
  <c r="H38" i="2"/>
  <c r="I38" i="2" s="1"/>
  <c r="O38" i="2" s="1"/>
  <c r="R40" i="2" l="1"/>
  <c r="S40" i="2" s="1"/>
  <c r="T40" i="2" s="1"/>
  <c r="U40" i="2" s="1"/>
  <c r="V34" i="2"/>
  <c r="R34" i="2"/>
  <c r="S34" i="2" s="1"/>
  <c r="T34" i="2" s="1"/>
  <c r="U34" i="2" s="1"/>
  <c r="P34" i="2"/>
  <c r="Q34" i="2" s="1"/>
  <c r="V39" i="2"/>
  <c r="V33" i="2"/>
  <c r="V41" i="2"/>
  <c r="V36" i="2"/>
  <c r="V40" i="2"/>
  <c r="R38" i="2"/>
  <c r="S38" i="2" s="1"/>
  <c r="T38" i="2" s="1"/>
  <c r="U38" i="2" s="1"/>
  <c r="P38" i="2"/>
  <c r="Q38" i="2" s="1"/>
  <c r="V38" i="2"/>
  <c r="V42" i="2"/>
  <c r="R42" i="2"/>
  <c r="S42" i="2" s="1"/>
  <c r="T42" i="2" s="1"/>
  <c r="U42" i="2" s="1"/>
  <c r="P42" i="2"/>
  <c r="Q42" i="2" s="1"/>
  <c r="V35" i="2"/>
  <c r="P35" i="2"/>
  <c r="Q35" i="2" s="1"/>
  <c r="R35" i="2"/>
  <c r="S35" i="2" s="1"/>
  <c r="T35" i="2" s="1"/>
  <c r="U35" i="2" s="1"/>
  <c r="V37" i="2"/>
  <c r="R37" i="2"/>
  <c r="S37" i="2" s="1"/>
  <c r="T37" i="2" s="1"/>
  <c r="U37" i="2" s="1"/>
  <c r="P37" i="2"/>
  <c r="Q3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CB67C-0673-42E4-B39A-067678500F6F}" keepAlive="1" name="Query - kebutuhan-o2-vs-cn" description="Connection to the 'kebutuhan-o2-vs-cn' query in the workbook." type="5" refreshedVersion="8" background="1" saveData="1">
    <dbPr connection="Provider=Microsoft.Mashup.OleDb.1;Data Source=$Workbook$;Location=kebutuhan-o2-vs-cn;Extended Properties=&quot;&quot;" command="SELECT * FROM [kebutuhan-o2-vs-cn]"/>
  </connection>
</connections>
</file>

<file path=xl/sharedStrings.xml><?xml version="1.0" encoding="utf-8"?>
<sst xmlns="http://schemas.openxmlformats.org/spreadsheetml/2006/main" count="696" uniqueCount="124">
  <si>
    <t>MODEL FORMULA LAMPIRAN A - KEBUTUHAN OKSIGEN BIOFLOK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</si>
  <si>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</si>
  <si>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</si>
  <si>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</si>
  <si>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</si>
  <si>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</si>
  <si>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</si>
  <si>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</si>
  <si>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</si>
  <si>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</si>
  <si>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</si>
  <si>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</si>
  <si>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</si>
  <si>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</si>
  <si>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</si>
  <si>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</si>
  <si>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</si>
  <si>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</si>
  <si>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</si>
  <si>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</si>
  <si>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</si>
  <si>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</si>
  <si>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/>
  </si>
  <si>
    <t>INPUT PARAMETER</t>
  </si>
  <si>
    <t>NILAI</t>
  </si>
  <si>
    <t>SATUAN</t>
  </si>
  <si>
    <t>CATATAN</t>
  </si>
  <si>
    <t>Feed_kg_hari</t>
  </si>
  <si>
    <t>kg/hari</t>
  </si>
  <si>
    <t>pakan harian</t>
  </si>
  <si>
    <t>Protein</t>
  </si>
  <si>
    <t>fraksi</t>
  </si>
  <si>
    <t>contoh 30% = 0,30</t>
  </si>
  <si>
    <t>f_TAN</t>
  </si>
  <si>
    <t>fraksi N pakan menjadi TAN</t>
  </si>
  <si>
    <t>Volume_m3</t>
  </si>
  <si>
    <t>1</t>
  </si>
  <si>
    <t>m3</t>
  </si>
  <si>
    <t>volume air</t>
  </si>
  <si>
    <t>Biomassa_ikan_kg</t>
  </si>
  <si>
    <t>18</t>
  </si>
  <si>
    <t>kg</t>
  </si>
  <si>
    <t>biomassa puncak</t>
  </si>
  <si>
    <t>Respirasi_ikan</t>
  </si>
  <si>
    <t>g O2/kg ikan/jam</t>
  </si>
  <si>
    <t>asumsi desain</t>
  </si>
  <si>
    <t>O2_alga_malam</t>
  </si>
  <si>
    <t>g O2/jam</t>
  </si>
  <si>
    <t>O2_mikroba_flok</t>
  </si>
  <si>
    <t>3</t>
  </si>
  <si>
    <t>eta_C_tersedia</t>
  </si>
  <si>
    <t>karbon tersedia biologis</t>
  </si>
  <si>
    <t>phi_C_teroksidasi</t>
  </si>
  <si>
    <t>karbon berlebih teroksidasi 24 jam</t>
  </si>
  <si>
    <t>k_TSS_resp</t>
  </si>
  <si>
    <t>kg O2/kg VSS/hari</t>
  </si>
  <si>
    <t>awal 0,05 sampai 0,15</t>
  </si>
  <si>
    <t>Faktor_keamanan</t>
  </si>
  <si>
    <t>2</t>
  </si>
  <si>
    <t>x</t>
  </si>
  <si>
    <t>untuk desain aerasi</t>
  </si>
  <si>
    <t>OTR_aktual</t>
  </si>
  <si>
    <t>kg O2/kWh</t>
  </si>
  <si>
    <t>efisiensi transfer aktual</t>
  </si>
  <si>
    <t>KONSTANTA</t>
  </si>
  <si>
    <t>N_dalam_protein</t>
  </si>
  <si>
    <t>kg N/kg protein</t>
  </si>
  <si>
    <t>protein mengandung sekitar 16% N</t>
  </si>
  <si>
    <t>O2_nitrifikasi</t>
  </si>
  <si>
    <t>kg O2/kg TAN-N</t>
  </si>
  <si>
    <t>nitrifikasi</t>
  </si>
  <si>
    <t>O2_heterotrof</t>
  </si>
  <si>
    <t>asimilasi heterotrof</t>
  </si>
  <si>
    <t>C_kebutuhan_heterotrof</t>
  </si>
  <si>
    <t>kg C/kg TAN-N</t>
  </si>
  <si>
    <t>kebutuhan karbon heterotrof</t>
  </si>
  <si>
    <t>VSS_produksi</t>
  </si>
  <si>
    <t>kg VSS/kg TAN-N</t>
  </si>
  <si>
    <t>produksi biomassa flok</t>
  </si>
  <si>
    <t>O2_per_C</t>
  </si>
  <si>
    <t>kg O2/kg C</t>
  </si>
  <si>
    <t>oksidasi karbon</t>
  </si>
  <si>
    <t>PERHITUNGAN UTAMA</t>
  </si>
  <si>
    <t>HASIL</t>
  </si>
  <si>
    <t>TAN_N_kg_hari</t>
  </si>
  <si>
    <t>kg TAN-N/hari</t>
  </si>
  <si>
    <t>produksi TAN-N dari pakan</t>
  </si>
  <si>
    <t>TAN_N_g_hari</t>
  </si>
  <si>
    <t>g TAN-N/hari</t>
  </si>
  <si>
    <t>konversi</t>
  </si>
  <si>
    <t>O2_ikan_g_jam</t>
  </si>
  <si>
    <t>respirasi ikan</t>
  </si>
  <si>
    <t>O2_ikan_kg_hari</t>
  </si>
  <si>
    <t>kg O2/hari</t>
  </si>
  <si>
    <t>respirasi ikan harian</t>
  </si>
  <si>
    <t>C/N</t>
  </si>
  <si>
    <t>fH_fraksi_heterotrof</t>
  </si>
  <si>
    <t>O2_N_kg_hari</t>
  </si>
  <si>
    <t>C_input_kg_hari</t>
  </si>
  <si>
    <t>C_input_efektif_kg_hari</t>
  </si>
  <si>
    <t>C_kebutuhan_heterotrof_kg_hari</t>
  </si>
  <si>
    <t>C_berlebih_kg_hari</t>
  </si>
  <si>
    <t>O2_C_berlebih_kg_hari</t>
  </si>
  <si>
    <t>VSS_baru_kg_hari</t>
  </si>
  <si>
    <t>O2_TSS_kg_hari</t>
  </si>
  <si>
    <t>O2_mikroba_flok_kg_hari</t>
  </si>
  <si>
    <t>O2_alga_malam_kg_hari</t>
  </si>
  <si>
    <t>O2_total_kg_hari</t>
  </si>
  <si>
    <t>O2_total_g_jam</t>
  </si>
  <si>
    <t>O2_desain_g_jam</t>
  </si>
  <si>
    <t>Aerasi_min_kgO2_jam</t>
  </si>
  <si>
    <t>Aerasi_rekom_kgO2_jam</t>
  </si>
  <si>
    <t>Estimasi_daya_kW</t>
  </si>
  <si>
    <t>Estimasi_daya_watt</t>
  </si>
  <si>
    <t>Indeks_vs_CN8</t>
  </si>
  <si>
    <t>6</t>
  </si>
  <si>
    <t>8</t>
  </si>
  <si>
    <t>10</t>
  </si>
  <si>
    <t>12</t>
  </si>
  <si>
    <t>14</t>
  </si>
  <si>
    <t>16</t>
  </si>
  <si>
    <t>20</t>
  </si>
  <si>
    <t>22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</si>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</sst>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B39117-A69C-40A4-A3B4-27D6CF22034E}" autoFormatId="16" applyNumberFormats="0" applyBorderFormats="0" applyFontFormats="0" applyPatternFormats="0" applyAlignmentFormats="0" applyWidthHeightFormats="0">
  <queryTableRefresh nextId="23">
    <queryTableFields count="22">
      <queryTableField id="1" name="MODEL FORMULA LAMPIRAN A - KEBUTUHAN OKSIGEN BIOFLOK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  <queryTableField id="8" name="_6" tableColumnId="8"/>
      <queryTableField id="9" name="_7" tableColumnId="9"/>
      <queryTableField id="10" name="_8" tableColumnId="10"/>
      <queryTableField id="11" name="_9" tableColumnId="11"/>
      <queryTableField id="12" name="_10" tableColumnId="12"/>
      <queryTableField id="13" name="_11" tableColumnId="13"/>
      <queryTableField id="14" name="_12" tableColumnId="14"/>
      <queryTableField id="15" name="_13" tableColumnId="15"/>
      <queryTableField id="16" name="_14" tableColumnId="16"/>
      <queryTableField id="17" name="_15" tableColumnId="17"/>
      <queryTableField id="18" name="_16" tableColumnId="18"/>
      <queryTableField id="19" name="_17" tableColumnId="19"/>
      <queryTableField id="20" name="_18" tableColumnId="20"/>
      <queryTableField id="21" name="_19" tableColumnId="21"/>
      <queryTableField id="22" name="_2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32D8B-2EF9-4681-BB8A-222367F5E143}" name="kebutuhan_o2_vs_cn" displayName="kebutuhan_o2_vs_cn" ref="A1:V42" tableType="queryTable" totalsRowShown="0">
  <autoFilter ref="A1:V42" xr:uid="{4DD32D8B-2EF9-4681-BB8A-222367F5E143}"/>
  <tableColumns count="22">
    <tableColumn id="1" xr3:uid="{DD3BDC77-E27C-42F7-8FC7-4074C282F045}" uniqueName="1" name="MODEL FORMULA LAMPIRAN A - KEBUTUHAN OKSIGEN BIOFLOK" queryTableFieldId="1" dataDxfId="2"/>
    <tableColumn id="2" xr3:uid="{789C38F0-5E3D-48BE-90F9-0742CF971A13}" uniqueName="2" name="Column1" queryTableFieldId="2" dataDxfId="0"/>
    <tableColumn id="3" xr3:uid="{AB408097-22CA-43F1-9B64-FD56AC386CA4}" uniqueName="3" name="_1" queryTableFieldId="3" dataDxfId="1"/>
    <tableColumn id="4" xr3:uid="{5DC64AB7-04B5-4203-BF1B-E55AB2784D40}" uniqueName="4" name="_2" queryTableFieldId="4" dataDxfId="21"/>
    <tableColumn id="5" xr3:uid="{D8E069DC-46D2-481C-A8D6-A3D3044747AA}" uniqueName="5" name="_3" queryTableFieldId="5" dataDxfId="20"/>
    <tableColumn id="6" xr3:uid="{B4D5DCC3-738C-4CDF-ACCF-1AC586BE1EA3}" uniqueName="6" name="_4" queryTableFieldId="6" dataDxfId="19"/>
    <tableColumn id="7" xr3:uid="{FE5A690D-8AED-4E80-9CD9-8883D6CF7C8E}" uniqueName="7" name="_5" queryTableFieldId="7" dataDxfId="18"/>
    <tableColumn id="8" xr3:uid="{A5B72FFC-ED1F-4CA2-9AFB-A65E0F518B52}" uniqueName="8" name="_6" queryTableFieldId="8" dataDxfId="17"/>
    <tableColumn id="9" xr3:uid="{10664D79-E8B4-43EE-96E1-C1531F8DA39A}" uniqueName="9" name="_7" queryTableFieldId="9" dataDxfId="16"/>
    <tableColumn id="10" xr3:uid="{E39EB56E-4912-4E04-8F96-DE98888C19D5}" uniqueName="10" name="_8" queryTableFieldId="10" dataDxfId="15"/>
    <tableColumn id="11" xr3:uid="{478F01BA-BEDA-4C4B-BEE9-21F5E1B098FB}" uniqueName="11" name="_9" queryTableFieldId="11" dataDxfId="14"/>
    <tableColumn id="12" xr3:uid="{96E617A7-532F-4CC0-8A91-77AEA013942F}" uniqueName="12" name="_10" queryTableFieldId="12" dataDxfId="13"/>
    <tableColumn id="13" xr3:uid="{E9E987D4-5FF6-46AD-9381-7F240A54DDFD}" uniqueName="13" name="_11" queryTableFieldId="13" dataDxfId="12"/>
    <tableColumn id="14" xr3:uid="{FAD61CCC-5203-44BB-8B9C-98288DE10D70}" uniqueName="14" name="_12" queryTableFieldId="14" dataDxfId="11"/>
    <tableColumn id="15" xr3:uid="{8B1A477B-5087-4C08-A432-C1F7B605EE2A}" uniqueName="15" name="_13" queryTableFieldId="15" dataDxfId="10"/>
    <tableColumn id="16" xr3:uid="{0EE128A2-50D3-4A8E-AD10-CD8C6F109279}" uniqueName="16" name="_14" queryTableFieldId="16" dataDxfId="9"/>
    <tableColumn id="17" xr3:uid="{976E770B-4088-4997-9283-3D96CBFB73F0}" uniqueName="17" name="_15" queryTableFieldId="17" dataDxfId="8"/>
    <tableColumn id="18" xr3:uid="{93044EA2-96BE-46B5-864B-DBD56C3E626F}" uniqueName="18" name="_16" queryTableFieldId="18" dataDxfId="7"/>
    <tableColumn id="19" xr3:uid="{F9E6A468-FE46-44D0-A578-ED0E721DB6C4}" uniqueName="19" name="_17" queryTableFieldId="19" dataDxfId="6"/>
    <tableColumn id="20" xr3:uid="{EEBC2DEE-0266-4755-879C-1AE2CA25CED1}" uniqueName="20" name="_18" queryTableFieldId="20" dataDxfId="5"/>
    <tableColumn id="21" xr3:uid="{8BDC364E-424F-4F6E-9CD8-A27DE42C77EB}" uniqueName="21" name="_19" queryTableFieldId="21" dataDxfId="4"/>
    <tableColumn id="22" xr3:uid="{4251ED98-7034-4B3D-AD2C-30FEA9BB104D}" uniqueName="22" name="_20" queryTableFieldId="2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72FC-D8E0-4B77-B9CE-7ACC4AC426F0}">
  <dimension ref="A1:V42"/>
  <sheetViews>
    <sheetView tabSelected="1" workbookViewId="0">
      <selection activeCell="E33" sqref="E33"/>
    </sheetView>
  </sheetViews>
  <sheetFormatPr defaultRowHeight="15" x14ac:dyDescent="0.25"/>
  <cols>
    <col min="1" max="1" width="25.85546875" customWidth="1"/>
    <col min="2" max="2" width="19.42578125" style="2" customWidth="1"/>
    <col min="3" max="3" width="16.85546875" bestFit="1" customWidth="1"/>
    <col min="4" max="4" width="23.5703125" customWidth="1"/>
    <col min="5" max="5" width="15.42578125" bestFit="1" customWidth="1"/>
    <col min="6" max="6" width="12.140625" customWidth="1"/>
    <col min="7" max="7" width="12" customWidth="1"/>
    <col min="8" max="8" width="12.7109375" customWidth="1"/>
    <col min="9" max="9" width="14" customWidth="1"/>
    <col min="10" max="10" width="12.7109375" customWidth="1"/>
    <col min="11" max="11" width="15" bestFit="1" customWidth="1"/>
    <col min="12" max="12" width="15.7109375" bestFit="1" customWidth="1"/>
    <col min="13" max="13" width="24" bestFit="1" customWidth="1"/>
    <col min="14" max="14" width="22.85546875" bestFit="1" customWidth="1"/>
    <col min="15" max="15" width="26.5703125" bestFit="1" customWidth="1"/>
    <col min="16" max="16" width="15" bestFit="1" customWidth="1"/>
    <col min="17" max="17" width="16.7109375" bestFit="1" customWidth="1"/>
    <col min="18" max="18" width="21" bestFit="1" customWidth="1"/>
    <col min="19" max="19" width="23.42578125" bestFit="1" customWidth="1"/>
    <col min="20" max="20" width="17.5703125" bestFit="1" customWidth="1"/>
    <col min="21" max="21" width="18.7109375" bestFit="1" customWidth="1"/>
    <col min="22" max="22" width="14.42578125" bestFit="1" customWidth="1"/>
  </cols>
  <sheetData>
    <row r="1" spans="1:2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3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</row>
    <row r="3" spans="1:22" x14ac:dyDescent="0.25">
      <c r="A3" s="1" t="s">
        <v>23</v>
      </c>
      <c r="B3" s="3" t="s">
        <v>24</v>
      </c>
      <c r="C3" s="1" t="s">
        <v>25</v>
      </c>
      <c r="D3" s="1" t="s">
        <v>26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</row>
    <row r="4" spans="1:22" x14ac:dyDescent="0.25">
      <c r="A4" s="1" t="s">
        <v>27</v>
      </c>
      <c r="B4" s="3">
        <v>0.4</v>
      </c>
      <c r="C4" s="1" t="s">
        <v>28</v>
      </c>
      <c r="D4" s="1" t="s">
        <v>29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  <c r="V4" s="1" t="s">
        <v>22</v>
      </c>
    </row>
    <row r="5" spans="1:22" x14ac:dyDescent="0.25">
      <c r="A5" s="1" t="s">
        <v>30</v>
      </c>
      <c r="B5" s="3">
        <v>0.3</v>
      </c>
      <c r="C5" s="1" t="s">
        <v>31</v>
      </c>
      <c r="D5" s="1" t="s">
        <v>32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22</v>
      </c>
      <c r="U5" s="1" t="s">
        <v>22</v>
      </c>
      <c r="V5" s="1" t="s">
        <v>22</v>
      </c>
    </row>
    <row r="6" spans="1:22" x14ac:dyDescent="0.25">
      <c r="A6" s="1" t="s">
        <v>33</v>
      </c>
      <c r="B6" s="3">
        <v>0.6</v>
      </c>
      <c r="C6" s="1" t="s">
        <v>31</v>
      </c>
      <c r="D6" s="1" t="s">
        <v>34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 x14ac:dyDescent="0.25">
      <c r="A7" s="1" t="s">
        <v>35</v>
      </c>
      <c r="B7" s="3" t="s">
        <v>36</v>
      </c>
      <c r="C7" s="1" t="s">
        <v>37</v>
      </c>
      <c r="D7" s="1" t="s">
        <v>38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22</v>
      </c>
      <c r="T7" s="1" t="s">
        <v>22</v>
      </c>
      <c r="U7" s="1" t="s">
        <v>22</v>
      </c>
      <c r="V7" s="1" t="s">
        <v>22</v>
      </c>
    </row>
    <row r="8" spans="1:22" x14ac:dyDescent="0.25">
      <c r="A8" s="1" t="s">
        <v>39</v>
      </c>
      <c r="B8" s="3" t="s">
        <v>40</v>
      </c>
      <c r="C8" s="1" t="s">
        <v>41</v>
      </c>
      <c r="D8" s="1" t="s">
        <v>42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22</v>
      </c>
      <c r="U8" s="1" t="s">
        <v>22</v>
      </c>
      <c r="V8" s="1" t="s">
        <v>22</v>
      </c>
    </row>
    <row r="9" spans="1:22" x14ac:dyDescent="0.25">
      <c r="A9" s="1" t="s">
        <v>43</v>
      </c>
      <c r="B9" s="3">
        <v>0.4</v>
      </c>
      <c r="C9" s="1" t="s">
        <v>44</v>
      </c>
      <c r="D9" s="1" t="s">
        <v>45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22</v>
      </c>
      <c r="T9" s="1" t="s">
        <v>22</v>
      </c>
      <c r="U9" s="1" t="s">
        <v>22</v>
      </c>
      <c r="V9" s="1" t="s">
        <v>22</v>
      </c>
    </row>
    <row r="10" spans="1:22" x14ac:dyDescent="0.25">
      <c r="A10" s="1" t="s">
        <v>46</v>
      </c>
      <c r="B10" s="3" t="s">
        <v>36</v>
      </c>
      <c r="C10" s="1" t="s">
        <v>47</v>
      </c>
      <c r="D10" s="1" t="s">
        <v>45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22</v>
      </c>
      <c r="S10" s="1" t="s">
        <v>22</v>
      </c>
      <c r="T10" s="1" t="s">
        <v>22</v>
      </c>
      <c r="U10" s="1" t="s">
        <v>22</v>
      </c>
      <c r="V10" s="1" t="s">
        <v>22</v>
      </c>
    </row>
    <row r="11" spans="1:22" x14ac:dyDescent="0.25">
      <c r="A11" s="1" t="s">
        <v>48</v>
      </c>
      <c r="B11" s="3" t="s">
        <v>49</v>
      </c>
      <c r="C11" s="1" t="s">
        <v>47</v>
      </c>
      <c r="D11" s="1" t="s">
        <v>45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  <c r="R11" s="1" t="s">
        <v>22</v>
      </c>
      <c r="S11" s="1" t="s">
        <v>22</v>
      </c>
      <c r="T11" s="1" t="s">
        <v>22</v>
      </c>
      <c r="U11" s="1" t="s">
        <v>22</v>
      </c>
      <c r="V11" s="1" t="s">
        <v>22</v>
      </c>
    </row>
    <row r="12" spans="1:22" x14ac:dyDescent="0.25">
      <c r="A12" s="1" t="s">
        <v>50</v>
      </c>
      <c r="B12" s="3">
        <v>0.5</v>
      </c>
      <c r="C12" s="1" t="s">
        <v>31</v>
      </c>
      <c r="D12" s="1" t="s">
        <v>51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  <c r="R12" s="1" t="s">
        <v>22</v>
      </c>
      <c r="S12" s="1" t="s">
        <v>22</v>
      </c>
      <c r="T12" s="1" t="s">
        <v>22</v>
      </c>
      <c r="U12" s="1" t="s">
        <v>22</v>
      </c>
      <c r="V12" s="1" t="s">
        <v>22</v>
      </c>
    </row>
    <row r="13" spans="1:22" x14ac:dyDescent="0.25">
      <c r="A13" s="1" t="s">
        <v>52</v>
      </c>
      <c r="B13" s="3">
        <v>0.5</v>
      </c>
      <c r="C13" s="1" t="s">
        <v>31</v>
      </c>
      <c r="D13" s="1" t="s">
        <v>53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22</v>
      </c>
      <c r="R13" s="1" t="s">
        <v>22</v>
      </c>
      <c r="S13" s="1" t="s">
        <v>22</v>
      </c>
      <c r="T13" s="1" t="s">
        <v>22</v>
      </c>
      <c r="U13" s="1" t="s">
        <v>22</v>
      </c>
      <c r="V13" s="1" t="s">
        <v>22</v>
      </c>
    </row>
    <row r="14" spans="1:22" x14ac:dyDescent="0.25">
      <c r="A14" s="1" t="s">
        <v>54</v>
      </c>
      <c r="B14" s="3">
        <v>0.08</v>
      </c>
      <c r="C14" s="1" t="s">
        <v>55</v>
      </c>
      <c r="D14" s="1" t="s">
        <v>56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1" t="s">
        <v>22</v>
      </c>
      <c r="R14" s="1" t="s">
        <v>22</v>
      </c>
      <c r="S14" s="1" t="s">
        <v>22</v>
      </c>
      <c r="T14" s="1" t="s">
        <v>22</v>
      </c>
      <c r="U14" s="1" t="s">
        <v>22</v>
      </c>
      <c r="V14" s="1" t="s">
        <v>22</v>
      </c>
    </row>
    <row r="15" spans="1:22" x14ac:dyDescent="0.25">
      <c r="A15" s="1" t="s">
        <v>57</v>
      </c>
      <c r="B15" s="3" t="s">
        <v>58</v>
      </c>
      <c r="C15" s="1" t="s">
        <v>59</v>
      </c>
      <c r="D15" s="1" t="s">
        <v>60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  <c r="Q15" s="1" t="s">
        <v>22</v>
      </c>
      <c r="R15" s="1" t="s">
        <v>22</v>
      </c>
      <c r="S15" s="1" t="s">
        <v>22</v>
      </c>
      <c r="T15" s="1" t="s">
        <v>22</v>
      </c>
      <c r="U15" s="1" t="s">
        <v>22</v>
      </c>
      <c r="V15" s="1" t="s">
        <v>22</v>
      </c>
    </row>
    <row r="16" spans="1:22" x14ac:dyDescent="0.25">
      <c r="A16" s="1" t="s">
        <v>61</v>
      </c>
      <c r="B16" s="3">
        <v>0.5</v>
      </c>
      <c r="C16" s="1" t="s">
        <v>62</v>
      </c>
      <c r="D16" s="1" t="s">
        <v>63</v>
      </c>
      <c r="E16" s="1" t="s">
        <v>22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22</v>
      </c>
      <c r="Q16" s="1" t="s">
        <v>22</v>
      </c>
      <c r="R16" s="1" t="s">
        <v>22</v>
      </c>
      <c r="S16" s="1" t="s">
        <v>22</v>
      </c>
      <c r="T16" s="1" t="s">
        <v>22</v>
      </c>
      <c r="U16" s="1" t="s">
        <v>22</v>
      </c>
      <c r="V16" s="1" t="s">
        <v>22</v>
      </c>
    </row>
    <row r="17" spans="1:22" x14ac:dyDescent="0.25">
      <c r="A17" s="1" t="s">
        <v>22</v>
      </c>
      <c r="B17" s="3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  <c r="R17" s="1" t="s">
        <v>22</v>
      </c>
      <c r="S17" s="1" t="s">
        <v>22</v>
      </c>
      <c r="T17" s="1" t="s">
        <v>22</v>
      </c>
      <c r="U17" s="1" t="s">
        <v>22</v>
      </c>
      <c r="V17" s="1" t="s">
        <v>22</v>
      </c>
    </row>
    <row r="18" spans="1:22" x14ac:dyDescent="0.25">
      <c r="A18" s="1" t="s">
        <v>64</v>
      </c>
      <c r="B18" s="3" t="s">
        <v>24</v>
      </c>
      <c r="C18" s="1" t="s">
        <v>25</v>
      </c>
      <c r="D18" s="1" t="s">
        <v>26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  <c r="R18" s="1" t="s">
        <v>22</v>
      </c>
      <c r="S18" s="1" t="s">
        <v>22</v>
      </c>
      <c r="T18" s="1" t="s">
        <v>22</v>
      </c>
      <c r="U18" s="1" t="s">
        <v>22</v>
      </c>
      <c r="V18" s="1" t="s">
        <v>22</v>
      </c>
    </row>
    <row r="19" spans="1:22" x14ac:dyDescent="0.25">
      <c r="A19" s="1" t="s">
        <v>65</v>
      </c>
      <c r="B19" s="3">
        <v>0.16</v>
      </c>
      <c r="C19" s="1" t="s">
        <v>66</v>
      </c>
      <c r="D19" s="1" t="s">
        <v>67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P19" s="1" t="s">
        <v>22</v>
      </c>
      <c r="Q19" s="1" t="s">
        <v>22</v>
      </c>
      <c r="R19" s="1" t="s">
        <v>22</v>
      </c>
      <c r="S19" s="1" t="s">
        <v>22</v>
      </c>
      <c r="T19" s="1" t="s">
        <v>22</v>
      </c>
      <c r="U19" s="1" t="s">
        <v>22</v>
      </c>
      <c r="V19" s="1" t="s">
        <v>22</v>
      </c>
    </row>
    <row r="20" spans="1:22" x14ac:dyDescent="0.25">
      <c r="A20" s="1" t="s">
        <v>68</v>
      </c>
      <c r="B20" s="3">
        <v>4.57</v>
      </c>
      <c r="C20" s="1" t="s">
        <v>69</v>
      </c>
      <c r="D20" s="1" t="s">
        <v>70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1" t="s">
        <v>22</v>
      </c>
      <c r="R20" s="1" t="s">
        <v>22</v>
      </c>
      <c r="S20" s="1" t="s">
        <v>22</v>
      </c>
      <c r="T20" s="1" t="s">
        <v>22</v>
      </c>
      <c r="U20" s="1" t="s">
        <v>22</v>
      </c>
      <c r="V20" s="1" t="s">
        <v>22</v>
      </c>
    </row>
    <row r="21" spans="1:22" x14ac:dyDescent="0.25">
      <c r="A21" s="1" t="s">
        <v>71</v>
      </c>
      <c r="B21" s="3">
        <v>4.71</v>
      </c>
      <c r="C21" s="1" t="s">
        <v>69</v>
      </c>
      <c r="D21" s="1" t="s">
        <v>72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1" t="s">
        <v>22</v>
      </c>
      <c r="R21" s="1" t="s">
        <v>22</v>
      </c>
      <c r="S21" s="1" t="s">
        <v>22</v>
      </c>
      <c r="T21" s="1" t="s">
        <v>22</v>
      </c>
      <c r="U21" s="1" t="s">
        <v>22</v>
      </c>
      <c r="V21" s="1" t="s">
        <v>22</v>
      </c>
    </row>
    <row r="22" spans="1:22" x14ac:dyDescent="0.25">
      <c r="A22" s="1" t="s">
        <v>73</v>
      </c>
      <c r="B22" s="3">
        <v>6.07</v>
      </c>
      <c r="C22" s="1" t="s">
        <v>74</v>
      </c>
      <c r="D22" s="1" t="s">
        <v>75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1" t="s">
        <v>22</v>
      </c>
      <c r="Q22" s="1" t="s">
        <v>22</v>
      </c>
      <c r="R22" s="1" t="s">
        <v>22</v>
      </c>
      <c r="S22" s="1" t="s">
        <v>22</v>
      </c>
      <c r="T22" s="1" t="s">
        <v>22</v>
      </c>
      <c r="U22" s="1" t="s">
        <v>22</v>
      </c>
      <c r="V22" s="1" t="s">
        <v>22</v>
      </c>
    </row>
    <row r="23" spans="1:22" x14ac:dyDescent="0.25">
      <c r="A23" s="1" t="s">
        <v>76</v>
      </c>
      <c r="B23" s="3">
        <v>8.07</v>
      </c>
      <c r="C23" s="1" t="s">
        <v>77</v>
      </c>
      <c r="D23" s="1" t="s">
        <v>78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  <c r="Q23" s="1" t="s">
        <v>22</v>
      </c>
      <c r="R23" s="1" t="s">
        <v>22</v>
      </c>
      <c r="S23" s="1" t="s">
        <v>22</v>
      </c>
      <c r="T23" s="1" t="s">
        <v>22</v>
      </c>
      <c r="U23" s="1" t="s">
        <v>22</v>
      </c>
      <c r="V23" s="1" t="s">
        <v>22</v>
      </c>
    </row>
    <row r="24" spans="1:22" x14ac:dyDescent="0.25">
      <c r="A24" s="1" t="s">
        <v>79</v>
      </c>
      <c r="B24" s="3">
        <v>2.67</v>
      </c>
      <c r="C24" s="1" t="s">
        <v>80</v>
      </c>
      <c r="D24" s="1" t="s">
        <v>81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  <c r="Q24" s="1" t="s">
        <v>22</v>
      </c>
      <c r="R24" s="1" t="s">
        <v>22</v>
      </c>
      <c r="S24" s="1" t="s">
        <v>22</v>
      </c>
      <c r="T24" s="1" t="s">
        <v>22</v>
      </c>
      <c r="U24" s="1" t="s">
        <v>22</v>
      </c>
      <c r="V24" s="1" t="s">
        <v>22</v>
      </c>
    </row>
    <row r="25" spans="1:22" x14ac:dyDescent="0.25">
      <c r="A25" s="1" t="s">
        <v>22</v>
      </c>
      <c r="B25" s="3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22</v>
      </c>
      <c r="Q25" s="1" t="s">
        <v>22</v>
      </c>
      <c r="R25" s="1" t="s">
        <v>22</v>
      </c>
      <c r="S25" s="1" t="s">
        <v>22</v>
      </c>
      <c r="T25" s="1" t="s">
        <v>22</v>
      </c>
      <c r="U25" s="1" t="s">
        <v>22</v>
      </c>
      <c r="V25" s="1" t="s">
        <v>22</v>
      </c>
    </row>
    <row r="26" spans="1:22" x14ac:dyDescent="0.25">
      <c r="A26" s="1" t="s">
        <v>82</v>
      </c>
      <c r="B26" s="3" t="s">
        <v>83</v>
      </c>
      <c r="C26" s="1" t="s">
        <v>25</v>
      </c>
      <c r="D26" s="1" t="s">
        <v>26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  <c r="P26" s="1" t="s">
        <v>22</v>
      </c>
      <c r="Q26" s="1" t="s">
        <v>22</v>
      </c>
      <c r="R26" s="1" t="s">
        <v>22</v>
      </c>
      <c r="S26" s="1" t="s">
        <v>22</v>
      </c>
      <c r="T26" s="1" t="s">
        <v>22</v>
      </c>
      <c r="U26" s="1" t="s">
        <v>22</v>
      </c>
      <c r="V26" s="1" t="s">
        <v>22</v>
      </c>
    </row>
    <row r="27" spans="1:22" x14ac:dyDescent="0.25">
      <c r="A27" s="1" t="s">
        <v>84</v>
      </c>
      <c r="B27" s="3">
        <f>B4*B5*B19*B6</f>
        <v>1.1519999999999999E-2</v>
      </c>
      <c r="C27" s="1" t="s">
        <v>85</v>
      </c>
      <c r="D27" s="1" t="s">
        <v>86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22</v>
      </c>
      <c r="Q27" s="1" t="s">
        <v>22</v>
      </c>
      <c r="R27" s="1" t="s">
        <v>22</v>
      </c>
      <c r="S27" s="1" t="s">
        <v>22</v>
      </c>
      <c r="T27" s="1" t="s">
        <v>22</v>
      </c>
      <c r="U27" s="1" t="s">
        <v>22</v>
      </c>
      <c r="V27" s="1" t="s">
        <v>22</v>
      </c>
    </row>
    <row r="28" spans="1:22" x14ac:dyDescent="0.25">
      <c r="A28" s="1" t="s">
        <v>87</v>
      </c>
      <c r="B28" s="3">
        <f>B27*1000</f>
        <v>11.52</v>
      </c>
      <c r="C28" s="1" t="s">
        <v>88</v>
      </c>
      <c r="D28" s="1" t="s">
        <v>89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1" t="s">
        <v>22</v>
      </c>
      <c r="R28" s="1" t="s">
        <v>22</v>
      </c>
      <c r="S28" s="1" t="s">
        <v>22</v>
      </c>
      <c r="T28" s="1" t="s">
        <v>22</v>
      </c>
      <c r="U28" s="1" t="s">
        <v>22</v>
      </c>
      <c r="V28" s="1" t="s">
        <v>22</v>
      </c>
    </row>
    <row r="29" spans="1:22" x14ac:dyDescent="0.25">
      <c r="A29" s="1" t="s">
        <v>90</v>
      </c>
      <c r="B29" s="3">
        <f>B8*B9</f>
        <v>7.2</v>
      </c>
      <c r="C29" s="1" t="s">
        <v>47</v>
      </c>
      <c r="D29" s="1" t="s">
        <v>91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22</v>
      </c>
      <c r="Q29" s="1" t="s">
        <v>22</v>
      </c>
      <c r="R29" s="1" t="s">
        <v>22</v>
      </c>
      <c r="S29" s="1" t="s">
        <v>22</v>
      </c>
      <c r="T29" s="1" t="s">
        <v>22</v>
      </c>
      <c r="U29" s="1" t="s">
        <v>22</v>
      </c>
      <c r="V29" s="1" t="s">
        <v>22</v>
      </c>
    </row>
    <row r="30" spans="1:22" x14ac:dyDescent="0.25">
      <c r="A30" s="1" t="s">
        <v>92</v>
      </c>
      <c r="B30" s="3">
        <f>B29*24/1000</f>
        <v>0.17280000000000001</v>
      </c>
      <c r="C30" s="1" t="s">
        <v>93</v>
      </c>
      <c r="D30" s="1" t="s">
        <v>94</v>
      </c>
      <c r="E30" s="1" t="s">
        <v>22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22</v>
      </c>
      <c r="Q30" s="1" t="s">
        <v>22</v>
      </c>
      <c r="R30" s="1" t="s">
        <v>22</v>
      </c>
      <c r="S30" s="1" t="s">
        <v>22</v>
      </c>
      <c r="T30" s="1" t="s">
        <v>22</v>
      </c>
      <c r="U30" s="1" t="s">
        <v>22</v>
      </c>
      <c r="V30" s="1" t="s">
        <v>22</v>
      </c>
    </row>
    <row r="31" spans="1:22" x14ac:dyDescent="0.25">
      <c r="A31" s="1" t="s">
        <v>22</v>
      </c>
      <c r="B31" s="3" t="s">
        <v>22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1" t="s">
        <v>22</v>
      </c>
      <c r="R31" s="1" t="s">
        <v>22</v>
      </c>
      <c r="S31" s="1" t="s">
        <v>22</v>
      </c>
      <c r="T31" s="1" t="s">
        <v>22</v>
      </c>
      <c r="U31" s="1" t="s">
        <v>22</v>
      </c>
      <c r="V31" s="1" t="s">
        <v>22</v>
      </c>
    </row>
    <row r="32" spans="1:22" x14ac:dyDescent="0.25">
      <c r="A32" s="1" t="s">
        <v>95</v>
      </c>
      <c r="B32" s="3" t="s">
        <v>96</v>
      </c>
      <c r="C32" s="1" t="s">
        <v>84</v>
      </c>
      <c r="D32" s="1" t="s">
        <v>97</v>
      </c>
      <c r="E32" s="1" t="s">
        <v>98</v>
      </c>
      <c r="F32" s="1" t="s">
        <v>99</v>
      </c>
      <c r="G32" s="1" t="s">
        <v>100</v>
      </c>
      <c r="H32" s="1" t="s">
        <v>101</v>
      </c>
      <c r="I32" s="1" t="s">
        <v>102</v>
      </c>
      <c r="J32" s="1" t="s">
        <v>103</v>
      </c>
      <c r="K32" s="1" t="s">
        <v>104</v>
      </c>
      <c r="L32" s="1" t="s">
        <v>92</v>
      </c>
      <c r="M32" s="1" t="s">
        <v>105</v>
      </c>
      <c r="N32" s="1" t="s">
        <v>106</v>
      </c>
      <c r="O32" s="1" t="s">
        <v>107</v>
      </c>
      <c r="P32" s="1" t="s">
        <v>108</v>
      </c>
      <c r="Q32" s="1" t="s">
        <v>109</v>
      </c>
      <c r="R32" s="1" t="s">
        <v>110</v>
      </c>
      <c r="S32" s="1" t="s">
        <v>111</v>
      </c>
      <c r="T32" s="1" t="s">
        <v>112</v>
      </c>
      <c r="U32" s="1" t="s">
        <v>113</v>
      </c>
      <c r="V32" s="1" t="s">
        <v>114</v>
      </c>
    </row>
    <row r="33" spans="1:22" x14ac:dyDescent="0.25">
      <c r="A33" s="1" t="s">
        <v>115</v>
      </c>
      <c r="B33" s="3">
        <f>((A33-8)+ABS(A33-8))/16-((A33-16)+ABS(A33-16))/16</f>
        <v>0</v>
      </c>
      <c r="C33" s="1">
        <f>$B$27</f>
        <v>1.1519999999999999E-2</v>
      </c>
      <c r="D33" s="1">
        <f>C33*($B$20*(1-B33)+$B$21*B33)</f>
        <v>5.2646399999999996E-2</v>
      </c>
      <c r="E33" s="1">
        <f>A33*C33</f>
        <v>6.9119999999999987E-2</v>
      </c>
      <c r="F33" s="1">
        <f>E33*$B$12</f>
        <v>3.4559999999999994E-2</v>
      </c>
      <c r="G33" s="1">
        <f>$B$22*C33*B33</f>
        <v>0</v>
      </c>
      <c r="H33" s="1">
        <f>((F33-G33)+ABS(F33-G33))/2</f>
        <v>3.4559999999999994E-2</v>
      </c>
      <c r="I33" s="1">
        <f>H33*$B$24*$B$13</f>
        <v>4.6137599999999987E-2</v>
      </c>
      <c r="J33" s="1">
        <f>$B$23*C33*B33</f>
        <v>0</v>
      </c>
      <c r="K33" s="1">
        <f>J33*$B$14</f>
        <v>0</v>
      </c>
      <c r="L33" s="1">
        <f>$B$30</f>
        <v>0.17280000000000001</v>
      </c>
      <c r="M33" s="1">
        <f>$B$11*24/1000</f>
        <v>7.1999999999999995E-2</v>
      </c>
      <c r="N33" s="1">
        <f>$B$10*24/1000</f>
        <v>2.4E-2</v>
      </c>
      <c r="O33" s="1">
        <f>L33+D33+I33+K33+M33+N33</f>
        <v>0.36758400000000002</v>
      </c>
      <c r="P33" s="1">
        <f>O33*1000/24</f>
        <v>15.316000000000001</v>
      </c>
      <c r="Q33" s="1">
        <f>P33*$B$15</f>
        <v>30.632000000000001</v>
      </c>
      <c r="R33" s="1">
        <f>O33/24</f>
        <v>1.5316000000000001E-2</v>
      </c>
      <c r="S33" s="1">
        <f>R33*$B$15</f>
        <v>3.0632000000000003E-2</v>
      </c>
      <c r="T33" s="1">
        <f>S33/$B$16</f>
        <v>6.1264000000000006E-2</v>
      </c>
      <c r="U33" s="1">
        <f>T33*1000</f>
        <v>61.264000000000003</v>
      </c>
      <c r="V33" s="1">
        <f>O33/$O$34</f>
        <v>0.95984157224506172</v>
      </c>
    </row>
    <row r="34" spans="1:22" x14ac:dyDescent="0.25">
      <c r="A34" s="1" t="s">
        <v>116</v>
      </c>
      <c r="B34" s="3">
        <f>((A34-8)+ABS(A34-8))/16-((A34-16)+ABS(A34-16))/16</f>
        <v>0</v>
      </c>
      <c r="C34" s="1">
        <f>$B$27</f>
        <v>1.1519999999999999E-2</v>
      </c>
      <c r="D34" s="1">
        <f>C34*($B$20*(1-B34)+$B$21*B34)</f>
        <v>5.2646399999999996E-2</v>
      </c>
      <c r="E34" s="1">
        <f>A34*C34</f>
        <v>9.2159999999999992E-2</v>
      </c>
      <c r="F34" s="1">
        <f>E34*$B$12</f>
        <v>4.6079999999999996E-2</v>
      </c>
      <c r="G34" s="1">
        <f>$B$22*C34*B34</f>
        <v>0</v>
      </c>
      <c r="H34" s="1">
        <f>((F34-G34)+ABS(F34-G34))/2</f>
        <v>4.6079999999999996E-2</v>
      </c>
      <c r="I34" s="1">
        <f>H34*$B$24*$B$13</f>
        <v>6.151679999999999E-2</v>
      </c>
      <c r="J34" s="1">
        <f>$B$23*C34*B34</f>
        <v>0</v>
      </c>
      <c r="K34" s="1">
        <f>J34*$B$14</f>
        <v>0</v>
      </c>
      <c r="L34" s="1">
        <f>$B$30</f>
        <v>0.17280000000000001</v>
      </c>
      <c r="M34" s="1">
        <f>$B$11*24/1000</f>
        <v>7.1999999999999995E-2</v>
      </c>
      <c r="N34" s="1">
        <f>$B$10*24/1000</f>
        <v>2.4E-2</v>
      </c>
      <c r="O34" s="1">
        <f>L34+D34+I34+K34+M34+N34</f>
        <v>0.3829632</v>
      </c>
      <c r="P34" s="1">
        <f>O34*1000/24</f>
        <v>15.956800000000001</v>
      </c>
      <c r="Q34" s="1">
        <f>P34*$B$15</f>
        <v>31.913600000000002</v>
      </c>
      <c r="R34" s="1">
        <f>O34/24</f>
        <v>1.59568E-2</v>
      </c>
      <c r="S34" s="1">
        <f>R34*$B$15</f>
        <v>3.19136E-2</v>
      </c>
      <c r="T34" s="1">
        <f>S34/$B$16</f>
        <v>6.3827200000000001E-2</v>
      </c>
      <c r="U34" s="1">
        <f>T34*1000</f>
        <v>63.827199999999998</v>
      </c>
      <c r="V34" s="1">
        <f>O34/$O$34</f>
        <v>1</v>
      </c>
    </row>
    <row r="35" spans="1:22" x14ac:dyDescent="0.25">
      <c r="A35" s="1" t="s">
        <v>117</v>
      </c>
      <c r="B35" s="3">
        <f>((A35-8)+ABS(A35-8))/16-((A35-16)+ABS(A35-16))/16</f>
        <v>0.25</v>
      </c>
      <c r="C35" s="1">
        <f>$B$27</f>
        <v>1.1519999999999999E-2</v>
      </c>
      <c r="D35" s="1">
        <f>C35*($B$20*(1-B35)+$B$21*B35)</f>
        <v>5.3049600000000002E-2</v>
      </c>
      <c r="E35" s="1">
        <f>A35*C35</f>
        <v>0.1152</v>
      </c>
      <c r="F35" s="1">
        <f>E35*$B$12</f>
        <v>5.7599999999999998E-2</v>
      </c>
      <c r="G35" s="1">
        <f>$B$22*C35*B35</f>
        <v>1.74816E-2</v>
      </c>
      <c r="H35" s="1">
        <f>((F35-G35)+ABS(F35-G35))/2</f>
        <v>4.0118399999999999E-2</v>
      </c>
      <c r="I35" s="1">
        <f>H35*$B$24*$B$13</f>
        <v>5.3558063999999996E-2</v>
      </c>
      <c r="J35" s="1">
        <f>$B$23*C35*B35</f>
        <v>2.3241599999999998E-2</v>
      </c>
      <c r="K35" s="1">
        <f>J35*$B$14</f>
        <v>1.8593279999999999E-3</v>
      </c>
      <c r="L35" s="1">
        <f>$B$30</f>
        <v>0.17280000000000001</v>
      </c>
      <c r="M35" s="1">
        <f>$B$11*24/1000</f>
        <v>7.1999999999999995E-2</v>
      </c>
      <c r="N35" s="1">
        <f>$B$10*24/1000</f>
        <v>2.4E-2</v>
      </c>
      <c r="O35" s="1">
        <f>L35+D35+I35+K35+M35+N35</f>
        <v>0.37726699200000002</v>
      </c>
      <c r="P35" s="1">
        <f>O35*1000/24</f>
        <v>15.719458000000001</v>
      </c>
      <c r="Q35" s="1">
        <f>P35*$B$15</f>
        <v>31.438916000000003</v>
      </c>
      <c r="R35" s="1">
        <f>O35/24</f>
        <v>1.5719458000000002E-2</v>
      </c>
      <c r="S35" s="1">
        <f>R35*$B$15</f>
        <v>3.1438916000000004E-2</v>
      </c>
      <c r="T35" s="1">
        <f>S35/$B$16</f>
        <v>6.2877832000000008E-2</v>
      </c>
      <c r="U35" s="1">
        <f>T35*1000</f>
        <v>62.877832000000005</v>
      </c>
      <c r="V35" s="1">
        <f>O35/$O$34</f>
        <v>0.98512596510578565</v>
      </c>
    </row>
    <row r="36" spans="1:22" x14ac:dyDescent="0.25">
      <c r="A36" s="1" t="s">
        <v>118</v>
      </c>
      <c r="B36" s="3">
        <f>((A36-8)+ABS(A36-8))/16-((A36-16)+ABS(A36-16))/16</f>
        <v>0.5</v>
      </c>
      <c r="C36" s="1">
        <f>$B$27</f>
        <v>1.1519999999999999E-2</v>
      </c>
      <c r="D36" s="1">
        <f>C36*($B$20*(1-B36)+$B$21*B36)</f>
        <v>5.3452800000000002E-2</v>
      </c>
      <c r="E36" s="1">
        <f>A36*C36</f>
        <v>0.13823999999999997</v>
      </c>
      <c r="F36" s="1">
        <f>E36*$B$12</f>
        <v>6.9119999999999987E-2</v>
      </c>
      <c r="G36" s="1">
        <f>$B$22*C36*B36</f>
        <v>3.49632E-2</v>
      </c>
      <c r="H36" s="1">
        <f>((F36-G36)+ABS(F36-G36))/2</f>
        <v>3.4156799999999987E-2</v>
      </c>
      <c r="I36" s="1">
        <f>H36*$B$24*$B$13</f>
        <v>4.5599327999999981E-2</v>
      </c>
      <c r="J36" s="1">
        <f>$B$23*C36*B36</f>
        <v>4.6483199999999995E-2</v>
      </c>
      <c r="K36" s="1">
        <f>J36*$B$14</f>
        <v>3.7186559999999999E-3</v>
      </c>
      <c r="L36" s="1">
        <f>$B$30</f>
        <v>0.17280000000000001</v>
      </c>
      <c r="M36" s="1">
        <f>$B$11*24/1000</f>
        <v>7.1999999999999995E-2</v>
      </c>
      <c r="N36" s="1">
        <f>$B$10*24/1000</f>
        <v>2.4E-2</v>
      </c>
      <c r="O36" s="1">
        <f>L36+D36+I36+K36+M36+N36</f>
        <v>0.37157078399999999</v>
      </c>
      <c r="P36" s="1">
        <f>O36*1000/24</f>
        <v>15.482116</v>
      </c>
      <c r="Q36" s="1">
        <f>P36*$B$15</f>
        <v>30.964231999999999</v>
      </c>
      <c r="R36" s="1">
        <f>O36/24</f>
        <v>1.5482115999999999E-2</v>
      </c>
      <c r="S36" s="1">
        <f>R36*$B$15</f>
        <v>3.0964231999999998E-2</v>
      </c>
      <c r="T36" s="1">
        <f>S36/$B$16</f>
        <v>6.1928463999999996E-2</v>
      </c>
      <c r="U36" s="1">
        <f>T36*1000</f>
        <v>61.928463999999998</v>
      </c>
      <c r="V36" s="1">
        <f>O36/$O$34</f>
        <v>0.97025193021157119</v>
      </c>
    </row>
    <row r="37" spans="1:22" x14ac:dyDescent="0.25">
      <c r="A37" s="1" t="s">
        <v>119</v>
      </c>
      <c r="B37" s="3">
        <f>((A37-8)+ABS(A37-8))/16-((A37-16)+ABS(A37-16))/16</f>
        <v>0.75</v>
      </c>
      <c r="C37" s="1">
        <f>$B$27</f>
        <v>1.1519999999999999E-2</v>
      </c>
      <c r="D37" s="1">
        <f>C37*($B$20*(1-B37)+$B$21*B37)</f>
        <v>5.3855999999999994E-2</v>
      </c>
      <c r="E37" s="1">
        <f>A37*C37</f>
        <v>0.16127999999999998</v>
      </c>
      <c r="F37" s="1">
        <f>E37*$B$12</f>
        <v>8.0639999999999989E-2</v>
      </c>
      <c r="G37" s="1">
        <f>$B$22*C37*B37</f>
        <v>5.24448E-2</v>
      </c>
      <c r="H37" s="1">
        <f>((F37-G37)+ABS(F37-G37))/2</f>
        <v>2.819519999999999E-2</v>
      </c>
      <c r="I37" s="1">
        <f>H37*$B$24*$B$13</f>
        <v>3.7640591999999987E-2</v>
      </c>
      <c r="J37" s="1">
        <f>$B$23*C37*B37</f>
        <v>6.972479999999999E-2</v>
      </c>
      <c r="K37" s="1">
        <f>J37*$B$14</f>
        <v>5.5779839999999994E-3</v>
      </c>
      <c r="L37" s="1">
        <f>$B$30</f>
        <v>0.17280000000000001</v>
      </c>
      <c r="M37" s="1">
        <f>$B$11*24/1000</f>
        <v>7.1999999999999995E-2</v>
      </c>
      <c r="N37" s="1">
        <f>$B$10*24/1000</f>
        <v>2.4E-2</v>
      </c>
      <c r="O37" s="1">
        <f>L37+D37+I37+K37+M37+N37</f>
        <v>0.36587457600000001</v>
      </c>
      <c r="P37" s="1">
        <f>O37*1000/24</f>
        <v>15.244774</v>
      </c>
      <c r="Q37" s="1">
        <f>P37*$B$15</f>
        <v>30.489547999999999</v>
      </c>
      <c r="R37" s="1">
        <f>O37/24</f>
        <v>1.5244774000000001E-2</v>
      </c>
      <c r="S37" s="1">
        <f>R37*$B$15</f>
        <v>3.0489548000000002E-2</v>
      </c>
      <c r="T37" s="1">
        <f>S37/$B$16</f>
        <v>6.0979096000000003E-2</v>
      </c>
      <c r="U37" s="1">
        <f>T37*1000</f>
        <v>60.979096000000006</v>
      </c>
      <c r="V37" s="1">
        <f>O37/$O$34</f>
        <v>0.95537789531735684</v>
      </c>
    </row>
    <row r="38" spans="1:22" x14ac:dyDescent="0.25">
      <c r="A38" s="1" t="s">
        <v>120</v>
      </c>
      <c r="B38" s="3">
        <f>((A38-8)+ABS(A38-8))/16-((A38-16)+ABS(A38-16))/16</f>
        <v>1</v>
      </c>
      <c r="C38" s="1">
        <f>$B$27</f>
        <v>1.1519999999999999E-2</v>
      </c>
      <c r="D38" s="1">
        <f>C38*($B$20*(1-B38)+$B$21*B38)</f>
        <v>5.4259199999999994E-2</v>
      </c>
      <c r="E38" s="1">
        <f>A38*C38</f>
        <v>0.18431999999999998</v>
      </c>
      <c r="F38" s="1">
        <f>E38*$B$12</f>
        <v>9.2159999999999992E-2</v>
      </c>
      <c r="G38" s="1">
        <f>$B$22*C38*B38</f>
        <v>6.99264E-2</v>
      </c>
      <c r="H38" s="1">
        <f>((F38-G38)+ABS(F38-G38))/2</f>
        <v>2.2233599999999992E-2</v>
      </c>
      <c r="I38" s="1">
        <f>H38*$B$24*$B$13</f>
        <v>2.9681855999999989E-2</v>
      </c>
      <c r="J38" s="1">
        <f>$B$23*C38*B38</f>
        <v>9.2966399999999991E-2</v>
      </c>
      <c r="K38" s="1">
        <f>J38*$B$14</f>
        <v>7.4373119999999997E-3</v>
      </c>
      <c r="L38" s="1">
        <f>$B$30</f>
        <v>0.17280000000000001</v>
      </c>
      <c r="M38" s="1">
        <f>$B$11*24/1000</f>
        <v>7.1999999999999995E-2</v>
      </c>
      <c r="N38" s="1">
        <f>$B$10*24/1000</f>
        <v>2.4E-2</v>
      </c>
      <c r="O38" s="1">
        <f>L38+D38+I38+K38+M38+N38</f>
        <v>0.36017836800000003</v>
      </c>
      <c r="P38" s="1">
        <f>O38*1000/24</f>
        <v>15.007432000000001</v>
      </c>
      <c r="Q38" s="1">
        <f>P38*$B$15</f>
        <v>30.014864000000003</v>
      </c>
      <c r="R38" s="1">
        <f>O38/24</f>
        <v>1.5007432000000001E-2</v>
      </c>
      <c r="S38" s="1">
        <f>R38*$B$15</f>
        <v>3.0014864000000002E-2</v>
      </c>
      <c r="T38" s="1">
        <f>S38/$B$16</f>
        <v>6.0029728000000004E-2</v>
      </c>
      <c r="U38" s="1">
        <f>T38*1000</f>
        <v>60.029728000000006</v>
      </c>
      <c r="V38" s="1">
        <f>O38/$O$34</f>
        <v>0.94050386042314249</v>
      </c>
    </row>
    <row r="39" spans="1:22" x14ac:dyDescent="0.25">
      <c r="A39" s="1" t="s">
        <v>40</v>
      </c>
      <c r="B39" s="3">
        <f>((A39-8)+ABS(A39-8))/16-((A39-16)+ABS(A39-16))/16</f>
        <v>1</v>
      </c>
      <c r="C39" s="1">
        <f>$B$27</f>
        <v>1.1519999999999999E-2</v>
      </c>
      <c r="D39" s="1">
        <f>C39*($B$20*(1-B39)+$B$21*B39)</f>
        <v>5.4259199999999994E-2</v>
      </c>
      <c r="E39" s="1">
        <f>A39*C39</f>
        <v>0.20735999999999999</v>
      </c>
      <c r="F39" s="1">
        <f>E39*$B$12</f>
        <v>0.10367999999999999</v>
      </c>
      <c r="G39" s="1">
        <f>$B$22*C39*B39</f>
        <v>6.99264E-2</v>
      </c>
      <c r="H39" s="1">
        <f>((F39-G39)+ABS(F39-G39))/2</f>
        <v>3.3753599999999995E-2</v>
      </c>
      <c r="I39" s="1">
        <f>H39*$B$24*$B$13</f>
        <v>4.5061055999999995E-2</v>
      </c>
      <c r="J39" s="1">
        <f>$B$23*C39*B39</f>
        <v>9.2966399999999991E-2</v>
      </c>
      <c r="K39" s="1">
        <f>J39*$B$14</f>
        <v>7.4373119999999997E-3</v>
      </c>
      <c r="L39" s="1">
        <f>$B$30</f>
        <v>0.17280000000000001</v>
      </c>
      <c r="M39" s="1">
        <f>$B$11*24/1000</f>
        <v>7.1999999999999995E-2</v>
      </c>
      <c r="N39" s="1">
        <f>$B$10*24/1000</f>
        <v>2.4E-2</v>
      </c>
      <c r="O39" s="1">
        <f>L39+D39+I39+K39+M39+N39</f>
        <v>0.37555756800000001</v>
      </c>
      <c r="P39" s="1">
        <f>O39*1000/24</f>
        <v>15.648232</v>
      </c>
      <c r="Q39" s="1">
        <f>P39*$B$15</f>
        <v>31.296464</v>
      </c>
      <c r="R39" s="1">
        <f>O39/24</f>
        <v>1.5648232000000002E-2</v>
      </c>
      <c r="S39" s="1">
        <f>R39*$B$15</f>
        <v>3.1296464000000003E-2</v>
      </c>
      <c r="T39" s="1">
        <f>S39/$B$16</f>
        <v>6.2592928000000006E-2</v>
      </c>
      <c r="U39" s="1">
        <f>T39*1000</f>
        <v>62.592928000000008</v>
      </c>
      <c r="V39" s="1">
        <f>O39/$O$34</f>
        <v>0.98066228817808088</v>
      </c>
    </row>
    <row r="40" spans="1:22" x14ac:dyDescent="0.25">
      <c r="A40" s="1" t="s">
        <v>121</v>
      </c>
      <c r="B40" s="3">
        <f>((A40-8)+ABS(A40-8))/16-((A40-16)+ABS(A40-16))/16</f>
        <v>1</v>
      </c>
      <c r="C40" s="1">
        <f>$B$27</f>
        <v>1.1519999999999999E-2</v>
      </c>
      <c r="D40" s="1">
        <f>C40*($B$20*(1-B40)+$B$21*B40)</f>
        <v>5.4259199999999994E-2</v>
      </c>
      <c r="E40" s="1">
        <f>A40*C40</f>
        <v>0.23039999999999999</v>
      </c>
      <c r="F40" s="1">
        <f>E40*$B$12</f>
        <v>0.1152</v>
      </c>
      <c r="G40" s="1">
        <f>$B$22*C40*B40</f>
        <v>6.99264E-2</v>
      </c>
      <c r="H40" s="1">
        <f>((F40-G40)+ABS(F40-G40))/2</f>
        <v>4.5273599999999997E-2</v>
      </c>
      <c r="I40" s="1">
        <f>H40*$B$24*$B$13</f>
        <v>6.0440255999999998E-2</v>
      </c>
      <c r="J40" s="1">
        <f>$B$23*C40*B40</f>
        <v>9.2966399999999991E-2</v>
      </c>
      <c r="K40" s="1">
        <f>J40*$B$14</f>
        <v>7.4373119999999997E-3</v>
      </c>
      <c r="L40" s="1">
        <f>$B$30</f>
        <v>0.17280000000000001</v>
      </c>
      <c r="M40" s="1">
        <f>$B$11*24/1000</f>
        <v>7.1999999999999995E-2</v>
      </c>
      <c r="N40" s="1">
        <f>$B$10*24/1000</f>
        <v>2.4E-2</v>
      </c>
      <c r="O40" s="1">
        <f>L40+D40+I40+K40+M40+N40</f>
        <v>0.39093676800000005</v>
      </c>
      <c r="P40" s="1">
        <f>O40*1000/24</f>
        <v>16.289032000000002</v>
      </c>
      <c r="Q40" s="1">
        <f>P40*$B$15</f>
        <v>32.578064000000005</v>
      </c>
      <c r="R40" s="1">
        <f>O40/24</f>
        <v>1.6289032000000002E-2</v>
      </c>
      <c r="S40" s="1">
        <f>R40*$B$15</f>
        <v>3.2578064000000004E-2</v>
      </c>
      <c r="T40" s="1">
        <f>S40/$B$16</f>
        <v>6.5156128000000008E-2</v>
      </c>
      <c r="U40" s="1">
        <f>T40*1000</f>
        <v>65.15612800000001</v>
      </c>
      <c r="V40" s="1">
        <f>O40/$O$34</f>
        <v>1.0208207159330192</v>
      </c>
    </row>
    <row r="41" spans="1:22" x14ac:dyDescent="0.25">
      <c r="A41" s="1" t="s">
        <v>122</v>
      </c>
      <c r="B41" s="3">
        <f>((A41-8)+ABS(A41-8))/16-((A41-16)+ABS(A41-16))/16</f>
        <v>1</v>
      </c>
      <c r="C41" s="1">
        <f>$B$27</f>
        <v>1.1519999999999999E-2</v>
      </c>
      <c r="D41" s="1">
        <f>C41*($B$20*(1-B41)+$B$21*B41)</f>
        <v>5.4259199999999994E-2</v>
      </c>
      <c r="E41" s="1">
        <f>A41*C41</f>
        <v>0.25344</v>
      </c>
      <c r="F41" s="1">
        <f>E41*$B$12</f>
        <v>0.12672</v>
      </c>
      <c r="G41" s="1">
        <f>$B$22*C41*B41</f>
        <v>6.99264E-2</v>
      </c>
      <c r="H41" s="1">
        <f>((F41-G41)+ABS(F41-G41))/2</f>
        <v>5.67936E-2</v>
      </c>
      <c r="I41" s="1">
        <f>H41*$B$24*$B$13</f>
        <v>7.5819455999999993E-2</v>
      </c>
      <c r="J41" s="1">
        <f>$B$23*C41*B41</f>
        <v>9.2966399999999991E-2</v>
      </c>
      <c r="K41" s="1">
        <f>J41*$B$14</f>
        <v>7.4373119999999997E-3</v>
      </c>
      <c r="L41" s="1">
        <f>$B$30</f>
        <v>0.17280000000000001</v>
      </c>
      <c r="M41" s="1">
        <f>$B$11*24/1000</f>
        <v>7.1999999999999995E-2</v>
      </c>
      <c r="N41" s="1">
        <f>$B$10*24/1000</f>
        <v>2.4E-2</v>
      </c>
      <c r="O41" s="1">
        <f>L41+D41+I41+K41+M41+N41</f>
        <v>0.40631596800000003</v>
      </c>
      <c r="P41" s="1">
        <f>O41*1000/24</f>
        <v>16.929832000000001</v>
      </c>
      <c r="Q41" s="1">
        <f>P41*$B$15</f>
        <v>33.859664000000002</v>
      </c>
      <c r="R41" s="1">
        <f>O41/24</f>
        <v>1.6929832000000002E-2</v>
      </c>
      <c r="S41" s="1">
        <f>R41*$B$15</f>
        <v>3.3859664000000005E-2</v>
      </c>
      <c r="T41" s="1">
        <f>S41/$B$16</f>
        <v>6.7719328000000009E-2</v>
      </c>
      <c r="U41" s="1">
        <f>T41*1000</f>
        <v>67.719328000000004</v>
      </c>
      <c r="V41" s="1">
        <f>O41/$O$34</f>
        <v>1.0609791436879576</v>
      </c>
    </row>
    <row r="42" spans="1:22" x14ac:dyDescent="0.25">
      <c r="A42" s="1" t="s">
        <v>123</v>
      </c>
      <c r="B42" s="3">
        <f>((A42-8)+ABS(A42-8))/16-((A42-16)+ABS(A42-16))/16</f>
        <v>1</v>
      </c>
      <c r="C42" s="1">
        <f>$B$27</f>
        <v>1.1519999999999999E-2</v>
      </c>
      <c r="D42" s="1">
        <f>C42*($B$20*(1-B42)+$B$21*B42)</f>
        <v>5.4259199999999994E-2</v>
      </c>
      <c r="E42" s="1">
        <f>A42*C42</f>
        <v>0.27647999999999995</v>
      </c>
      <c r="F42" s="1">
        <f>E42*$B$12</f>
        <v>0.13823999999999997</v>
      </c>
      <c r="G42" s="1">
        <f>$B$22*C42*B42</f>
        <v>6.99264E-2</v>
      </c>
      <c r="H42" s="1">
        <f>((F42-G42)+ABS(F42-G42))/2</f>
        <v>6.8313599999999974E-2</v>
      </c>
      <c r="I42" s="1">
        <f>H42*$B$24*$B$13</f>
        <v>9.1198655999999961E-2</v>
      </c>
      <c r="J42" s="1">
        <f>$B$23*C42*B42</f>
        <v>9.2966399999999991E-2</v>
      </c>
      <c r="K42" s="1">
        <f>J42*$B$14</f>
        <v>7.4373119999999997E-3</v>
      </c>
      <c r="L42" s="1">
        <f>$B$30</f>
        <v>0.17280000000000001</v>
      </c>
      <c r="M42" s="1">
        <f>$B$11*24/1000</f>
        <v>7.1999999999999995E-2</v>
      </c>
      <c r="N42" s="1">
        <f>$B$10*24/1000</f>
        <v>2.4E-2</v>
      </c>
      <c r="O42" s="1">
        <f>L42+D42+I42+K42+M42+N42</f>
        <v>0.42169516800000001</v>
      </c>
      <c r="P42" s="1">
        <f>O42*1000/24</f>
        <v>17.570632</v>
      </c>
      <c r="Q42" s="1">
        <f>P42*$B$15</f>
        <v>35.141264</v>
      </c>
      <c r="R42" s="1">
        <f>O42/24</f>
        <v>1.7570631999999999E-2</v>
      </c>
      <c r="S42" s="1">
        <f>R42*$B$15</f>
        <v>3.5141263999999998E-2</v>
      </c>
      <c r="T42" s="1">
        <f>S42/$B$16</f>
        <v>7.0282527999999997E-2</v>
      </c>
      <c r="U42" s="1">
        <f>T42*1000</f>
        <v>70.282527999999999</v>
      </c>
      <c r="V42" s="1">
        <f>O42/$O$34</f>
        <v>1.1011375714428959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0459-B7B9-4AB2-A401-C046F39989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18462-3962-4E72-B281-E11079704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kebutuhan-o2-vs-cn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Oxo Nusantara</dc:creator>
  <cp:lastModifiedBy>Petro Oxo Nusantara</cp:lastModifiedBy>
  <dcterms:created xsi:type="dcterms:W3CDTF">2026-05-17T14:09:28Z</dcterms:created>
  <dcterms:modified xsi:type="dcterms:W3CDTF">2026-05-17T14:19:10Z</dcterms:modified>
</cp:coreProperties>
</file>