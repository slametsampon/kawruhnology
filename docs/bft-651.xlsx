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294\Documents\Projects\kawruhnology\docs\"/>
    </mc:Choice>
  </mc:AlternateContent>
  <xr:revisionPtr revIDLastSave="0" documentId="13_ncr:1_{F0A4906A-1B1A-4554-BAD7-B3F31E5D243C}" xr6:coauthVersionLast="47" xr6:coauthVersionMax="47" xr10:uidLastSave="{00000000-0000-0000-0000-000000000000}"/>
  <bookViews>
    <workbookView xWindow="-60" yWindow="0" windowWidth="16530" windowHeight="15585" xr2:uid="{D69868A7-DC59-4CFD-B1D0-563BEDC35FD5}"/>
  </bookViews>
  <sheets>
    <sheet name="INPUT" sheetId="2" r:id="rId1"/>
    <sheet name="PERSIAPAN" sheetId="3" r:id="rId2"/>
    <sheet name="OPERASI" sheetId="4" r:id="rId3"/>
    <sheet name="DASHBOARD" sheetId="5" r:id="rId4"/>
    <sheet name="Sheet1" sheetId="1" r:id="rId5"/>
  </sheets>
  <definedNames>
    <definedName name="ExternalData_1" localSheetId="0" hidden="1">INPUT!$A$1:$D$45</definedName>
    <definedName name="ExternalData_2" localSheetId="1" hidden="1">PERSIAPAN!$A$1:$D$33</definedName>
    <definedName name="ExternalData_3" localSheetId="2" hidden="1">OPERASI!$A$1:$E$63</definedName>
    <definedName name="ExternalData_4" localSheetId="3" hidden="1">DASHBOARD!$A$1:$D$26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2" i="4" l="1"/>
  <c r="B14" i="5" s="1"/>
  <c r="B53" i="4"/>
  <c r="B52" i="4"/>
  <c r="B51" i="4"/>
  <c r="B60" i="4" s="1"/>
  <c r="B50" i="4"/>
  <c r="B49" i="4"/>
  <c r="B48" i="4"/>
  <c r="B9" i="5" s="1"/>
  <c r="B40" i="4"/>
  <c r="B39" i="4"/>
  <c r="B38" i="4"/>
  <c r="B43" i="4" s="1"/>
  <c r="B37" i="4"/>
  <c r="B13" i="5" s="1"/>
  <c r="B30" i="4"/>
  <c r="B29" i="4"/>
  <c r="B32" i="4" s="1"/>
  <c r="B24" i="4"/>
  <c r="B25" i="4" s="1"/>
  <c r="B26" i="4" s="1"/>
  <c r="B23" i="4"/>
  <c r="B22" i="4"/>
  <c r="B12" i="4"/>
  <c r="B13" i="4" s="1"/>
  <c r="B14" i="4" s="1"/>
  <c r="B4" i="4"/>
  <c r="B3" i="4"/>
  <c r="B55" i="4" s="1"/>
  <c r="B56" i="4" s="1"/>
  <c r="B24" i="5" s="1"/>
  <c r="B13" i="3"/>
  <c r="B21" i="3"/>
  <c r="B20" i="3"/>
  <c r="B19" i="3"/>
  <c r="B12" i="3"/>
  <c r="B11" i="3"/>
  <c r="B33" i="3"/>
  <c r="B7" i="2"/>
  <c r="B2" i="3" s="1"/>
  <c r="B36" i="4" l="1"/>
  <c r="B5" i="5" s="1"/>
  <c r="B61" i="4"/>
  <c r="B2" i="5" s="1"/>
  <c r="B63" i="4"/>
  <c r="B7" i="5" s="1"/>
  <c r="B54" i="4"/>
  <c r="B57" i="4" s="1"/>
  <c r="B25" i="5" s="1"/>
  <c r="B5" i="3"/>
  <c r="B18" i="3"/>
  <c r="B4" i="3"/>
  <c r="B14" i="3" s="1"/>
  <c r="B15" i="3" s="1"/>
  <c r="B16" i="3" s="1"/>
  <c r="B17" i="3" s="1"/>
  <c r="B3" i="3"/>
  <c r="B9" i="3"/>
  <c r="B10" i="3" s="1"/>
  <c r="B22" i="3"/>
  <c r="B23" i="3" s="1"/>
  <c r="B24" i="3" s="1"/>
  <c r="B25" i="3" s="1"/>
  <c r="B8" i="3"/>
  <c r="B7" i="3"/>
  <c r="B6" i="3"/>
  <c r="B2" i="4"/>
  <c r="B44" i="4" s="1"/>
  <c r="B45" i="4" s="1"/>
  <c r="B22" i="5" s="1"/>
  <c r="B15" i="4"/>
  <c r="B27" i="4"/>
  <c r="B28" i="4"/>
  <c r="B4" i="5" s="1"/>
  <c r="B11" i="5"/>
  <c r="B20" i="5"/>
  <c r="B33" i="4"/>
  <c r="B34" i="4" s="1"/>
  <c r="B12" i="5"/>
  <c r="B47" i="4"/>
  <c r="B6" i="5" s="1"/>
  <c r="B5" i="4"/>
  <c r="B23" i="5" l="1"/>
  <c r="B15" i="5"/>
  <c r="B59" i="4"/>
  <c r="B35" i="4"/>
  <c r="B21" i="5" s="1"/>
  <c r="B58" i="4"/>
  <c r="B26" i="5" s="1"/>
  <c r="B6" i="4"/>
  <c r="B16" i="5"/>
  <c r="B7" i="4" l="1"/>
  <c r="B8" i="4" s="1"/>
  <c r="B10" i="4"/>
  <c r="B11" i="4" s="1"/>
  <c r="B16" i="4" s="1"/>
  <c r="B17" i="4" s="1"/>
  <c r="B10" i="5" l="1"/>
  <c r="B21" i="4"/>
  <c r="B3" i="5" s="1"/>
  <c r="B8" i="5" s="1"/>
  <c r="B18" i="5"/>
  <c r="B9" i="4"/>
  <c r="B17" i="5"/>
  <c r="B18" i="4"/>
  <c r="B19" i="4" s="1"/>
  <c r="B20" i="4" s="1"/>
  <c r="B19" i="5" s="1"/>
  <c r="B41" i="4"/>
  <c r="B46" i="4" l="1"/>
  <c r="B4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5B7D74-1659-43E4-BB37-ECC7920C7B57}" keepAlive="1" name="Query - DASHBOARD" description="Connection to the 'DASHBOARD' query in the workbook." type="5" refreshedVersion="8" background="1" saveData="1">
    <dbPr connection="Provider=Microsoft.Mashup.OleDb.1;Data Source=$Workbook$;Location=DASHBOARD;Extended Properties=&quot;&quot;" command="SELECT * FROM [DASHBOARD]"/>
  </connection>
  <connection id="2" xr16:uid="{28EAA16C-EC48-464E-BF9A-AA759520A8DF}" keepAlive="1" name="Query - INPUT" description="Connection to the 'INPUT' query in the workbook." type="5" refreshedVersion="8" background="1" saveData="1">
    <dbPr connection="Provider=Microsoft.Mashup.OleDb.1;Data Source=$Workbook$;Location=INPUT;Extended Properties=&quot;&quot;" command="SELECT * FROM [INPUT]"/>
  </connection>
  <connection id="3" xr16:uid="{29DB10B3-B8CE-4A51-96D1-C0FA0D26EEC2}" keepAlive="1" name="Query - OPERASI" description="Connection to the 'OPERASI' query in the workbook." type="5" refreshedVersion="8" background="1" saveData="1">
    <dbPr connection="Provider=Microsoft.Mashup.OleDb.1;Data Source=$Workbook$;Location=OPERASI;Extended Properties=&quot;&quot;" command="SELECT * FROM [OPERASI]"/>
  </connection>
  <connection id="4" xr16:uid="{7DA18EDF-EE0C-4496-ABB3-B625CFFD491B}" keepAlive="1" name="Query - PERSIAPAN" description="Connection to the 'PERSIAPAN' query in the workbook." type="5" refreshedVersion="8" background="1" saveData="1">
    <dbPr connection="Provider=Microsoft.Mashup.OleDb.1;Data Source=$Workbook$;Location=PERSIAPAN;Extended Properties=&quot;&quot;" command="SELECT * FROM [PERSIAPAN]"/>
  </connection>
</connections>
</file>

<file path=xl/sharedStrings.xml><?xml version="1.0" encoding="utf-8"?>
<sst xmlns="http://schemas.openxmlformats.org/spreadsheetml/2006/main" count="573" uniqueCount="316">
  <si>
    <t>Parameter</t>
  </si>
  <si>
    <t>Nilai</t>
  </si>
  <si>
    <t>Satuan</t>
  </si>
  <si>
    <t>Keterangan</t>
  </si>
  <si>
    <t>Bentuk kolam</t>
  </si>
  <si>
    <t>Bundar</t>
  </si>
  <si>
    <t>Bundar/Persegi</t>
  </si>
  <si>
    <t>Isi Bundar atau Persegi</t>
  </si>
  <si>
    <t>Diameter kolam</t>
  </si>
  <si>
    <t>m</t>
  </si>
  <si>
    <t>Untuk kolam bundar</t>
  </si>
  <si>
    <t>Panjang kolam</t>
  </si>
  <si>
    <t>Untuk kolam persegi</t>
  </si>
  <si>
    <t>Lebar kolam</t>
  </si>
  <si>
    <t>Tinggi air</t>
  </si>
  <si>
    <t>Tinggi efektif air</t>
  </si>
  <si>
    <t>Volume air</t>
  </si>
  <si>
    <t>m3</t>
  </si>
  <si>
    <t>Volume otomatis</t>
  </si>
  <si>
    <t>Dosis garam</t>
  </si>
  <si>
    <t>kg/m3</t>
  </si>
  <si>
    <t>Dosis persiapan</t>
  </si>
  <si>
    <t>Dosis molase</t>
  </si>
  <si>
    <t>100</t>
  </si>
  <si>
    <t>mL/m3</t>
  </si>
  <si>
    <t>Dosis probiotik serbuk</t>
  </si>
  <si>
    <t>g/m3</t>
  </si>
  <si>
    <t>Dosis probiotik cair</t>
  </si>
  <si>
    <t>Dosis dolomit</t>
  </si>
  <si>
    <t>Debit aerasi persiapan</t>
  </si>
  <si>
    <t>L/menit/m3</t>
  </si>
  <si>
    <t>Daya aerasi persiapan</t>
  </si>
  <si>
    <t>W/m3</t>
  </si>
  <si>
    <t>Waktu pematangan</t>
  </si>
  <si>
    <t>hari</t>
  </si>
  <si>
    <t>Conditioning media</t>
  </si>
  <si>
    <t>BJ molase</t>
  </si>
  <si>
    <t>g/mL</t>
  </si>
  <si>
    <t>Berat jenis molase</t>
  </si>
  <si>
    <t>Fraksi C molase</t>
  </si>
  <si>
    <t>desimal</t>
  </si>
  <si>
    <t>Karbon molase</t>
  </si>
  <si>
    <t>OTE persiapan</t>
  </si>
  <si>
    <t>Efisiensi transfer oksigen</t>
  </si>
  <si>
    <t>Efektivitas dolomit/CCE</t>
  </si>
  <si>
    <t>Efektivitas CaCO3-equivalent</t>
  </si>
  <si>
    <t>Kemurnian NaCl</t>
  </si>
  <si>
    <t>Kemurnian garam</t>
  </si>
  <si>
    <t>Biomassa ikan</t>
  </si>
  <si>
    <t>kg</t>
  </si>
  <si>
    <t>Biomassa operasi</t>
  </si>
  <si>
    <t>Feeding rate</t>
  </si>
  <si>
    <t>kg/kg/hari</t>
  </si>
  <si>
    <t>3 persen biomassa</t>
  </si>
  <si>
    <t>Protein pakan</t>
  </si>
  <si>
    <t>Karbon total pakan</t>
  </si>
  <si>
    <t>Estimasi C total pakan</t>
  </si>
  <si>
    <t>C pakan tersedia</t>
  </si>
  <si>
    <t>Fraksi C pakan tersedia mikroba</t>
  </si>
  <si>
    <t>N pakan jadi limbah</t>
  </si>
  <si>
    <t>Fraksi N menjadi limbah</t>
  </si>
  <si>
    <t>Target C/N operasi</t>
  </si>
  <si>
    <t>rasio</t>
  </si>
  <si>
    <t>Target C/N efektif</t>
  </si>
  <si>
    <t>Molase aktual diberikan</t>
  </si>
  <si>
    <t>mL/hari</t>
  </si>
  <si>
    <t>Molase operasi aktual</t>
  </si>
  <si>
    <t>BJ molase operasi</t>
  </si>
  <si>
    <t>Berat jenis molase operasi</t>
  </si>
  <si>
    <t>Fraksi C molase operasi</t>
  </si>
  <si>
    <t>Karbon molase operasi</t>
  </si>
  <si>
    <t>TAN terukur</t>
  </si>
  <si>
    <t>mg/L TAN-N</t>
  </si>
  <si>
    <t>Hasil ukur</t>
  </si>
  <si>
    <t>pH terukur</t>
  </si>
  <si>
    <t>pH</t>
  </si>
  <si>
    <t>Suhu air</t>
  </si>
  <si>
    <t>C</t>
  </si>
  <si>
    <t>Nitrit terukur</t>
  </si>
  <si>
    <t>mg/L NO2-N</t>
  </si>
  <si>
    <t>Cl awal</t>
  </si>
  <si>
    <t>mg/L</t>
  </si>
  <si>
    <t>Hasil ukur klorida</t>
  </si>
  <si>
    <t>Alkalinitas terukur</t>
  </si>
  <si>
    <t>mg/L CaCO3</t>
  </si>
  <si>
    <t>Target alkalinitas</t>
  </si>
  <si>
    <t>Target operasi</t>
  </si>
  <si>
    <t>Fraksi N masuk nitrifikasi</t>
  </si>
  <si>
    <t>Estimasi jalur nitrifikasi</t>
  </si>
  <si>
    <t>Debit aerasi operasi</t>
  </si>
  <si>
    <t>L/menit</t>
  </si>
  <si>
    <t>Debit blower aktual</t>
  </si>
  <si>
    <t>OTE operasi</t>
  </si>
  <si>
    <t>Daya aerasi operasi</t>
  </si>
  <si>
    <t>watt</t>
  </si>
  <si>
    <t>Daya blower/aerator</t>
  </si>
  <si>
    <t>OUR ikan</t>
  </si>
  <si>
    <t>g O2/kg ikan/jam</t>
  </si>
  <si>
    <t>Konsumsi oksigen ikan</t>
  </si>
  <si>
    <t>Faktor mikroba bioflok</t>
  </si>
  <si>
    <t>kali OUR ikan</t>
  </si>
  <si>
    <t>Faktor total OUR</t>
  </si>
  <si>
    <t>DO terukur</t>
  </si>
  <si>
    <t>Hasil ukur DO</t>
  </si>
  <si>
    <t>Volume flok</t>
  </si>
  <si>
    <t>20</t>
  </si>
  <si>
    <t>mL/L</t>
  </si>
  <si>
    <t>Hasil corong Imhoff</t>
  </si>
  <si>
    <t>Formula</t>
  </si>
  <si>
    <t>Volume kolam</t>
  </si>
  <si>
    <t>Garam total</t>
  </si>
  <si>
    <t>Kebutuhan garam</t>
  </si>
  <si>
    <t>Molase total</t>
  </si>
  <si>
    <t>mL</t>
  </si>
  <si>
    <t>Kebutuhan molase</t>
  </si>
  <si>
    <t>Probiotik serbuk total</t>
  </si>
  <si>
    <t>g</t>
  </si>
  <si>
    <t>Kebutuhan probiotik serbuk</t>
  </si>
  <si>
    <t>Probiotik cair total</t>
  </si>
  <si>
    <t>Kebutuhan probiotik cair</t>
  </si>
  <si>
    <t>Dolomit total</t>
  </si>
  <si>
    <t>Kebutuhan dolomit</t>
  </si>
  <si>
    <t>Debit aerasi total</t>
  </si>
  <si>
    <t>Kebutuhan debit udara</t>
  </si>
  <si>
    <t>Daya aerasi total</t>
  </si>
  <si>
    <t>Kebutuhan daya aerasi</t>
  </si>
  <si>
    <t>Energi aerasi 7 hari</t>
  </si>
  <si>
    <t>kWh</t>
  </si>
  <si>
    <t>Energi persiapan</t>
  </si>
  <si>
    <t>Cl dari garam</t>
  </si>
  <si>
    <t>mg/L Cl</t>
  </si>
  <si>
    <t>Ion klorida</t>
  </si>
  <si>
    <t>Na dari garam</t>
  </si>
  <si>
    <t>mg/L Na</t>
  </si>
  <si>
    <t>Ion natrium</t>
  </si>
  <si>
    <t>Salinitas kasar</t>
  </si>
  <si>
    <t>ppt</t>
  </si>
  <si>
    <t>Estimasi salinitas</t>
  </si>
  <si>
    <t>Berat molase</t>
  </si>
  <si>
    <t>Karbon dari molase</t>
  </si>
  <si>
    <t>g C</t>
  </si>
  <si>
    <t>COD dari molase</t>
  </si>
  <si>
    <t>g COD</t>
  </si>
  <si>
    <t>Beban COD</t>
  </si>
  <si>
    <t>COD per m3</t>
  </si>
  <si>
    <t>g COD/m3</t>
  </si>
  <si>
    <t>Setara mg/L</t>
  </si>
  <si>
    <t>Dolomit total gram</t>
  </si>
  <si>
    <t>Potensi alkalinitas</t>
  </si>
  <si>
    <t>Ca potensial</t>
  </si>
  <si>
    <t>mg/L Ca</t>
  </si>
  <si>
    <t>Jika dolomit larut</t>
  </si>
  <si>
    <t>Mg potensial</t>
  </si>
  <si>
    <t>mg/L Mg</t>
  </si>
  <si>
    <t>Debit udara total</t>
  </si>
  <si>
    <t>Debit aerasi</t>
  </si>
  <si>
    <t>OTR persiapan</t>
  </si>
  <si>
    <t>kg O2/jam</t>
  </si>
  <si>
    <t>Oksigen masuk</t>
  </si>
  <si>
    <t>OTR gram per jam</t>
  </si>
  <si>
    <t>g O2/jam</t>
  </si>
  <si>
    <t>OTR per m3</t>
  </si>
  <si>
    <t>g O2/jam/m3</t>
  </si>
  <si>
    <t>Oksigen per volume</t>
  </si>
  <si>
    <t>DO persiapan</t>
  </si>
  <si>
    <t>Input hasil ukur</t>
  </si>
  <si>
    <t>pH persiapan</t>
  </si>
  <si>
    <t>Alkalinitas persiapan</t>
  </si>
  <si>
    <t>TAN persiapan</t>
  </si>
  <si>
    <t>Nitrit persiapan</t>
  </si>
  <si>
    <t>Bau</t>
  </si>
  <si>
    <t>Tidak</t>
  </si>
  <si>
    <t>Ya/Tidak</t>
  </si>
  <si>
    <t>Input observasi</t>
  </si>
  <si>
    <t>Busa berlebihan</t>
  </si>
  <si>
    <t>Status siap tebar</t>
  </si>
  <si>
    <t>Status</t>
  </si>
  <si>
    <t>Keputusan persiapan</t>
  </si>
  <si>
    <t>Column1</t>
  </si>
  <si>
    <t/>
  </si>
  <si>
    <t>Persentase pakan</t>
  </si>
  <si>
    <t>Pakan harian</t>
  </si>
  <si>
    <t>kg/hari</t>
  </si>
  <si>
    <t>Pakan harian gram</t>
  </si>
  <si>
    <t>g/hari</t>
  </si>
  <si>
    <t>N pakan</t>
  </si>
  <si>
    <t>g N/hari</t>
  </si>
  <si>
    <t>Nitrogen pakan</t>
  </si>
  <si>
    <t>N limbah</t>
  </si>
  <si>
    <t>Nitrogen limbah</t>
  </si>
  <si>
    <t>TAN potensi per m3</t>
  </si>
  <si>
    <t>mg/L sebagai N</t>
  </si>
  <si>
    <t>Potensi harian</t>
  </si>
  <si>
    <t>C total pakan</t>
  </si>
  <si>
    <t>g C/hari</t>
  </si>
  <si>
    <t>Karbon tersedia mikroba</t>
  </si>
  <si>
    <t>Molase aktual</t>
  </si>
  <si>
    <t>Molase operasi</t>
  </si>
  <si>
    <t>Berat molase aktual</t>
  </si>
  <si>
    <t>C molase aktual</t>
  </si>
  <si>
    <t>COD molase aktual</t>
  </si>
  <si>
    <t>g COD/hari</t>
  </si>
  <si>
    <t>Total C efektif</t>
  </si>
  <si>
    <t>C pakan tersedia + C molase</t>
  </si>
  <si>
    <t>C/N efektif</t>
  </si>
  <si>
    <t>C/N operasi</t>
  </si>
  <si>
    <t>Target C</t>
  </si>
  <si>
    <t>Kebutuhan C target</t>
  </si>
  <si>
    <t>Defisit C</t>
  </si>
  <si>
    <t>B26-B15)</t>
  </si>
  <si>
    <t>Kekurangan C setelah pakan</t>
  </si>
  <si>
    <t>Molase teoritis dibutuhkan</t>
  </si>
  <si>
    <t>Dosis teoritis</t>
  </si>
  <si>
    <t>Status C/N</t>
  </si>
  <si>
    <t>Evaluasi C/N</t>
  </si>
  <si>
    <t>Suhu</t>
  </si>
  <si>
    <t>pKa amonia</t>
  </si>
  <si>
    <t>pKa</t>
  </si>
  <si>
    <t>Hitung pKa</t>
  </si>
  <si>
    <t>Fraksi NH3</t>
  </si>
  <si>
    <t>NH3-N bebas</t>
  </si>
  <si>
    <t>mg/L NH3-N</t>
  </si>
  <si>
    <t>Risiko toksik</t>
  </si>
  <si>
    <t>Status NH3</t>
  </si>
  <si>
    <t>Evaluasi NH3</t>
  </si>
  <si>
    <t>Nitrit</t>
  </si>
  <si>
    <t>Faktor proteksi Cl</t>
  </si>
  <si>
    <t>kali</t>
  </si>
  <si>
    <t>Target konservatif</t>
  </si>
  <si>
    <t>Cl target</t>
  </si>
  <si>
    <t>Target klorida</t>
  </si>
  <si>
    <t>Defisit Cl</t>
  </si>
  <si>
    <t>B44-B42)</t>
  </si>
  <si>
    <t>Kekurangan klorida</t>
  </si>
  <si>
    <t>NaCl dibutuhkan per m3</t>
  </si>
  <si>
    <t>g/m3 NaCl</t>
  </si>
  <si>
    <t>NaCl total</t>
  </si>
  <si>
    <t>kg NaCl total</t>
  </si>
  <si>
    <t>Kebutuhan garam total</t>
  </si>
  <si>
    <t>Status nitrit</t>
  </si>
  <si>
    <t>Evaluasi nitrit</t>
  </si>
  <si>
    <t>Target</t>
  </si>
  <si>
    <t>Fraksi N nitrifikasi</t>
  </si>
  <si>
    <t>Estimasi</t>
  </si>
  <si>
    <t>Efektivitas dolomit</t>
  </si>
  <si>
    <t>CCE efektif</t>
  </si>
  <si>
    <t>Alk konsumsi harian</t>
  </si>
  <si>
    <t>g CaCO3-eq/hari</t>
  </si>
  <si>
    <t>Konsumsi alkalinitas</t>
  </si>
  <si>
    <t>Alk konsumsi mg/L</t>
  </si>
  <si>
    <t>mg/L/hari</t>
  </si>
  <si>
    <t>Konsumsi per volume</t>
  </si>
  <si>
    <t>Defisit alkalinitas saat ini</t>
  </si>
  <si>
    <t>B52-B51)</t>
  </si>
  <si>
    <t>Kekurangan alkalinitas</t>
  </si>
  <si>
    <t>CaCO3-eq koreksi</t>
  </si>
  <si>
    <t>g CaCO3-eq</t>
  </si>
  <si>
    <t>Kebutuhan koreksi</t>
  </si>
  <si>
    <t>Dolomit koreksi</t>
  </si>
  <si>
    <t>kg dolomit</t>
  </si>
  <si>
    <t>Koreksi dolomit</t>
  </si>
  <si>
    <t>Dolomit kompensasi harian</t>
  </si>
  <si>
    <t>Kompensasi harian</t>
  </si>
  <si>
    <t>Status alkalinitas</t>
  </si>
  <si>
    <t>Evaluasi alkalinitas</t>
  </si>
  <si>
    <t>Debit udara</t>
  </si>
  <si>
    <t>Efisiensi O2</t>
  </si>
  <si>
    <t>Daya aerasi</t>
  </si>
  <si>
    <t>Daya aktual</t>
  </si>
  <si>
    <t>Konsumsi ikan</t>
  </si>
  <si>
    <t>Faktor mikroba</t>
  </si>
  <si>
    <t>Faktor OUR total</t>
  </si>
  <si>
    <t>OTR aerasi</t>
  </si>
  <si>
    <t>OUR ikan total</t>
  </si>
  <si>
    <t>Kebutuhan ikan</t>
  </si>
  <si>
    <t>OUR total estimasi</t>
  </si>
  <si>
    <t>Kebutuhan total</t>
  </si>
  <si>
    <t>Rasio OTR/OUR</t>
  </si>
  <si>
    <t>Kapasitas aerasi</t>
  </si>
  <si>
    <t>Perubahan DO per jam</t>
  </si>
  <si>
    <t>mg/L/jam</t>
  </si>
  <si>
    <t>Estimasi perubahan DO</t>
  </si>
  <si>
    <t>Cadangan O2 dalam air</t>
  </si>
  <si>
    <t>kg O2</t>
  </si>
  <si>
    <t>Cadangan oksigen</t>
  </si>
  <si>
    <t>Energi aerasi harian</t>
  </si>
  <si>
    <t>kWh/hari</t>
  </si>
  <si>
    <t>Konsumsi energi</t>
  </si>
  <si>
    <t>Status DO</t>
  </si>
  <si>
    <t>Evaluasi DO</t>
  </si>
  <si>
    <t>Hasil Imhoff</t>
  </si>
  <si>
    <t>Status flok</t>
  </si>
  <si>
    <t>Evaluasi flok</t>
  </si>
  <si>
    <t>Status Nitrit</t>
  </si>
  <si>
    <t>Status Alkalinitas</t>
  </si>
  <si>
    <t>Status Flok</t>
  </si>
  <si>
    <t>Status umum</t>
  </si>
  <si>
    <t>Status umum kolam</t>
  </si>
  <si>
    <t>Rekomendasi DO</t>
  </si>
  <si>
    <t>Teks</t>
  </si>
  <si>
    <t>Tindakan DO</t>
  </si>
  <si>
    <t>Rekomendasi C/N</t>
  </si>
  <si>
    <t>Tindakan C/N</t>
  </si>
  <si>
    <t>Rekomendasi NH3</t>
  </si>
  <si>
    <t>Tindakan NH3</t>
  </si>
  <si>
    <t>Rekomendasi Nitrit</t>
  </si>
  <si>
    <t>Tindakan nitrit</t>
  </si>
  <si>
    <t>Rekomendasi Alkalinitas</t>
  </si>
  <si>
    <t>Tindakan alkalinitas</t>
  </si>
  <si>
    <t>Rekomendasi Flok</t>
  </si>
  <si>
    <t>Tindakan flok</t>
  </si>
  <si>
    <t>Ringkasan</t>
  </si>
  <si>
    <t>N limbah harian</t>
  </si>
  <si>
    <t>Molase teoritis</t>
  </si>
  <si>
    <t>Garam koreksi nitrit</t>
  </si>
  <si>
    <t>OUR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</si>
</sst>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AEC175B-4458-421D-A14B-4FB5A1B6042D}" autoFormatId="16" applyNumberFormats="0" applyBorderFormats="0" applyFontFormats="0" applyPatternFormats="0" applyAlignmentFormats="0" applyWidthHeightFormats="0">
  <queryTableRefresh nextId="6">
    <queryTableFields count="4">
      <queryTableField id="2" name="Parameter" tableColumnId="2"/>
      <queryTableField id="3" name="Nilai" tableColumnId="3"/>
      <queryTableField id="4" name="Satuan" tableColumnId="4"/>
      <queryTableField id="5" name="Keterangan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4D14BBED-3C87-4278-919D-161E1EC876AB}" autoFormatId="16" applyNumberFormats="0" applyBorderFormats="0" applyFontFormats="0" applyPatternFormats="0" applyAlignmentFormats="0" applyWidthHeightFormats="0">
  <queryTableRefresh nextId="5">
    <queryTableFields count="4">
      <queryTableField id="1" name="Parameter" tableColumnId="1"/>
      <queryTableField id="2" name="Formula" tableColumnId="2"/>
      <queryTableField id="3" name="Satuan" tableColumnId="3"/>
      <queryTableField id="4" name="Keterangan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B5246394-D27B-4A89-B31B-9DD7BC3C0174}" autoFormatId="16" applyNumberFormats="0" applyBorderFormats="0" applyFontFormats="0" applyPatternFormats="0" applyAlignmentFormats="0" applyWidthHeightFormats="0">
  <queryTableRefresh nextId="6">
    <queryTableFields count="5">
      <queryTableField id="1" name="Parameter" tableColumnId="1"/>
      <queryTableField id="2" name="Formula" tableColumnId="2"/>
      <queryTableField id="3" name="Satuan" tableColumnId="3"/>
      <queryTableField id="4" name="Keterangan" tableColumnId="4"/>
      <queryTableField id="5" name="Column1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0530124B-6FFC-49C2-97D3-1AA482A26EA1}" autoFormatId="16" applyNumberFormats="0" applyBorderFormats="0" applyFontFormats="0" applyPatternFormats="0" applyAlignmentFormats="0" applyWidthHeightFormats="0">
  <queryTableRefresh nextId="5">
    <queryTableFields count="4">
      <queryTableField id="1" name="Parameter" tableColumnId="1"/>
      <queryTableField id="2" name="Formula" tableColumnId="2"/>
      <queryTableField id="3" name="Satuan" tableColumnId="3"/>
      <queryTableField id="4" name="Keterangan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E6C454-93F9-4F32-A527-4D65691BDDEF}" name="INPUT" displayName="INPUT" ref="A1:D45" tableType="queryTable" totalsRowShown="0">
  <autoFilter ref="A1:D45" xr:uid="{41E6C454-93F9-4F32-A527-4D65691BDDEF}"/>
  <tableColumns count="4">
    <tableColumn id="2" xr3:uid="{B7F05AAB-F9DB-418C-8960-F847731581D1}" uniqueName="2" name="Parameter" queryTableFieldId="2" dataDxfId="12"/>
    <tableColumn id="3" xr3:uid="{FA494867-08CF-4AD6-9F31-32BA29396A72}" uniqueName="3" name="Nilai" queryTableFieldId="3" dataDxfId="11"/>
    <tableColumn id="4" xr3:uid="{C01AEFD4-73B2-496B-A619-02FA05651265}" uniqueName="4" name="Satuan" queryTableFieldId="4" dataDxfId="10"/>
    <tableColumn id="5" xr3:uid="{63BEBFF1-0867-4FC2-B207-80BE869E913D}" uniqueName="5" name="Keterangan" queryTableFieldId="5" dataDxf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7D0F37-89FC-4B4B-A129-88638AE8015B}" name="PERSIAPAN" displayName="PERSIAPAN" ref="A1:D33" tableType="queryTable" totalsRowShown="0">
  <autoFilter ref="A1:D33" xr:uid="{227D0F37-89FC-4B4B-A129-88638AE8015B}"/>
  <tableColumns count="4">
    <tableColumn id="1" xr3:uid="{C64AB2A8-62E8-41B1-B832-A2D087160F8A}" uniqueName="1" name="Parameter" queryTableFieldId="1" dataDxfId="8"/>
    <tableColumn id="2" xr3:uid="{DCD79F2E-FA50-4DFC-929E-6E21DB726733}" uniqueName="2" name="Formula" queryTableFieldId="2" dataDxfId="7"/>
    <tableColumn id="3" xr3:uid="{67DC9163-A037-4FA5-866C-AF18F288AE8F}" uniqueName="3" name="Satuan" queryTableFieldId="3" dataDxfId="6"/>
    <tableColumn id="4" xr3:uid="{CAA8FA18-0C8A-4A69-80BB-49BFF1F6C959}" uniqueName="4" name="Keterangan" queryTableFieldId="4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881EC5C-3D95-4638-91F9-380A1287FBD7}" name="OPERASI" displayName="OPERASI" ref="A1:E63" tableType="queryTable" totalsRowShown="0">
  <autoFilter ref="A1:E63" xr:uid="{3881EC5C-3D95-4638-91F9-380A1287FBD7}"/>
  <tableColumns count="5">
    <tableColumn id="1" xr3:uid="{BCF51BA6-B6C6-4790-A5A7-F4BFE106C512}" uniqueName="1" name="Parameter" queryTableFieldId="1" dataDxfId="4"/>
    <tableColumn id="2" xr3:uid="{3FC78767-2A5F-4F09-8B41-8E64CFBEA37B}" uniqueName="2" name="Formula" queryTableFieldId="2" dataDxfId="3"/>
    <tableColumn id="3" xr3:uid="{3AD74D98-E43B-4313-BD2B-8080FCDA0A9F}" uniqueName="3" name="Satuan" queryTableFieldId="3" dataDxfId="2"/>
    <tableColumn id="4" xr3:uid="{636CF439-75F2-44E8-810F-228DC78B9652}" uniqueName="4" name="Keterangan" queryTableFieldId="4" dataDxfId="1"/>
    <tableColumn id="5" xr3:uid="{83E547E3-228B-4620-A9F4-FA7A4E957427}" uniqueName="5" name="Column1" queryTableFieldId="5" dataDxfId="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1419E2B-9B19-43BF-B9B4-48553CE13B5C}" name="DASHBOARD" displayName="DASHBOARD" ref="A1:D26" tableType="queryTable" totalsRowShown="0">
  <autoFilter ref="A1:D26" xr:uid="{31419E2B-9B19-43BF-B9B4-48553CE13B5C}"/>
  <tableColumns count="4">
    <tableColumn id="1" xr3:uid="{28D9747D-B937-4B78-95B8-C0A4ED27C3E1}" uniqueName="1" name="Parameter" queryTableFieldId="1" dataDxfId="16"/>
    <tableColumn id="2" xr3:uid="{BCE7422C-171C-45A7-A2C3-58F9DC7E6316}" uniqueName="2" name="Formula" queryTableFieldId="2" dataDxfId="15"/>
    <tableColumn id="3" xr3:uid="{28AF418C-AFEB-43D0-8DBC-31AD257D4D18}" uniqueName="3" name="Satuan" queryTableFieldId="3" dataDxfId="14"/>
    <tableColumn id="4" xr3:uid="{B4147376-487B-4CEE-A215-9CD46AD69828}" uniqueName="4" name="Keterangan" queryTableFieldId="4" dataDxf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DC015-A25B-4A74-BE14-A20B4DA352DC}">
  <dimension ref="A1:D45"/>
  <sheetViews>
    <sheetView tabSelected="1" workbookViewId="0">
      <selection activeCell="E22" sqref="E22"/>
    </sheetView>
  </sheetViews>
  <sheetFormatPr defaultRowHeight="15" x14ac:dyDescent="0.25"/>
  <cols>
    <col min="1" max="1" width="23.42578125" bestFit="1" customWidth="1"/>
    <col min="2" max="2" width="29.85546875" style="2" customWidth="1"/>
    <col min="3" max="3" width="16.140625" bestFit="1" customWidth="1"/>
    <col min="4" max="5" width="29.42578125" bestFit="1" customWidth="1"/>
  </cols>
  <sheetData>
    <row r="1" spans="1:4" x14ac:dyDescent="0.25">
      <c r="A1" t="s">
        <v>0</v>
      </c>
      <c r="B1" s="2" t="s">
        <v>1</v>
      </c>
      <c r="C1" t="s">
        <v>2</v>
      </c>
      <c r="D1" t="s">
        <v>3</v>
      </c>
    </row>
    <row r="2" spans="1:4" x14ac:dyDescent="0.25">
      <c r="A2" t="s">
        <v>4</v>
      </c>
      <c r="B2" s="2" t="s">
        <v>5</v>
      </c>
      <c r="C2" t="s">
        <v>6</v>
      </c>
      <c r="D2" t="s">
        <v>7</v>
      </c>
    </row>
    <row r="3" spans="1:4" x14ac:dyDescent="0.25">
      <c r="A3" t="s">
        <v>8</v>
      </c>
      <c r="B3" s="2">
        <v>3</v>
      </c>
      <c r="C3" t="s">
        <v>9</v>
      </c>
      <c r="D3" t="s">
        <v>10</v>
      </c>
    </row>
    <row r="4" spans="1:4" x14ac:dyDescent="0.25">
      <c r="A4" t="s">
        <v>11</v>
      </c>
      <c r="B4" s="2">
        <v>0</v>
      </c>
      <c r="C4" t="s">
        <v>9</v>
      </c>
      <c r="D4" t="s">
        <v>12</v>
      </c>
    </row>
    <row r="5" spans="1:4" x14ac:dyDescent="0.25">
      <c r="A5" t="s">
        <v>13</v>
      </c>
      <c r="B5" s="2">
        <v>0</v>
      </c>
      <c r="C5" t="s">
        <v>9</v>
      </c>
      <c r="D5" t="s">
        <v>12</v>
      </c>
    </row>
    <row r="6" spans="1:4" x14ac:dyDescent="0.25">
      <c r="A6" t="s">
        <v>14</v>
      </c>
      <c r="B6" s="2">
        <v>1</v>
      </c>
      <c r="C6" t="s">
        <v>9</v>
      </c>
      <c r="D6" t="s">
        <v>15</v>
      </c>
    </row>
    <row r="7" spans="1:4" x14ac:dyDescent="0.25">
      <c r="A7" t="s">
        <v>16</v>
      </c>
      <c r="B7" s="2">
        <f>IF(B2="Bundar",PI()*(B3/2)^2*B6,B4*B5*B6)</f>
        <v>7.0685834705770345</v>
      </c>
      <c r="C7" t="s">
        <v>17</v>
      </c>
      <c r="D7" t="s">
        <v>18</v>
      </c>
    </row>
    <row r="8" spans="1:4" x14ac:dyDescent="0.25">
      <c r="A8" t="s">
        <v>19</v>
      </c>
      <c r="B8" s="2">
        <v>1</v>
      </c>
      <c r="C8" t="s">
        <v>20</v>
      </c>
      <c r="D8" t="s">
        <v>21</v>
      </c>
    </row>
    <row r="9" spans="1:4" x14ac:dyDescent="0.25">
      <c r="A9" t="s">
        <v>22</v>
      </c>
      <c r="B9" s="2">
        <v>100</v>
      </c>
      <c r="C9" t="s">
        <v>24</v>
      </c>
      <c r="D9" t="s">
        <v>21</v>
      </c>
    </row>
    <row r="10" spans="1:4" x14ac:dyDescent="0.25">
      <c r="A10" t="s">
        <v>25</v>
      </c>
      <c r="B10" s="2">
        <v>10</v>
      </c>
      <c r="C10" t="s">
        <v>26</v>
      </c>
      <c r="D10" t="s">
        <v>21</v>
      </c>
    </row>
    <row r="11" spans="1:4" x14ac:dyDescent="0.25">
      <c r="A11" t="s">
        <v>27</v>
      </c>
      <c r="B11" s="2">
        <v>30</v>
      </c>
      <c r="C11" t="s">
        <v>24</v>
      </c>
      <c r="D11" t="s">
        <v>21</v>
      </c>
    </row>
    <row r="12" spans="1:4" x14ac:dyDescent="0.25">
      <c r="A12" t="s">
        <v>28</v>
      </c>
      <c r="B12" s="2">
        <v>50</v>
      </c>
      <c r="C12" t="s">
        <v>26</v>
      </c>
      <c r="D12" t="s">
        <v>21</v>
      </c>
    </row>
    <row r="13" spans="1:4" x14ac:dyDescent="0.25">
      <c r="A13" t="s">
        <v>29</v>
      </c>
      <c r="B13" s="2">
        <v>30</v>
      </c>
      <c r="C13" t="s">
        <v>30</v>
      </c>
      <c r="D13" t="s">
        <v>21</v>
      </c>
    </row>
    <row r="14" spans="1:4" x14ac:dyDescent="0.25">
      <c r="A14" t="s">
        <v>31</v>
      </c>
      <c r="B14" s="2">
        <v>10</v>
      </c>
      <c r="C14" t="s">
        <v>32</v>
      </c>
      <c r="D14" t="s">
        <v>21</v>
      </c>
    </row>
    <row r="15" spans="1:4" x14ac:dyDescent="0.25">
      <c r="A15" t="s">
        <v>33</v>
      </c>
      <c r="B15" s="2">
        <v>7</v>
      </c>
      <c r="C15" t="s">
        <v>34</v>
      </c>
      <c r="D15" t="s">
        <v>35</v>
      </c>
    </row>
    <row r="16" spans="1:4" x14ac:dyDescent="0.25">
      <c r="A16" t="s">
        <v>36</v>
      </c>
      <c r="B16" s="2">
        <v>1.35</v>
      </c>
      <c r="C16" t="s">
        <v>37</v>
      </c>
      <c r="D16" t="s">
        <v>38</v>
      </c>
    </row>
    <row r="17" spans="1:4" x14ac:dyDescent="0.25">
      <c r="A17" t="s">
        <v>39</v>
      </c>
      <c r="B17" s="2">
        <v>0.35</v>
      </c>
      <c r="C17" t="s">
        <v>40</v>
      </c>
      <c r="D17" t="s">
        <v>41</v>
      </c>
    </row>
    <row r="18" spans="1:4" x14ac:dyDescent="0.25">
      <c r="A18" t="s">
        <v>42</v>
      </c>
      <c r="B18" s="2">
        <v>0.06</v>
      </c>
      <c r="C18" t="s">
        <v>40</v>
      </c>
      <c r="D18" t="s">
        <v>43</v>
      </c>
    </row>
    <row r="19" spans="1:4" x14ac:dyDescent="0.25">
      <c r="A19" t="s">
        <v>44</v>
      </c>
      <c r="B19" s="2">
        <v>0.8</v>
      </c>
      <c r="C19" t="s">
        <v>40</v>
      </c>
      <c r="D19" t="s">
        <v>45</v>
      </c>
    </row>
    <row r="20" spans="1:4" x14ac:dyDescent="0.25">
      <c r="A20" t="s">
        <v>46</v>
      </c>
      <c r="B20" s="2">
        <v>0.95</v>
      </c>
      <c r="C20" t="s">
        <v>40</v>
      </c>
      <c r="D20" t="s">
        <v>47</v>
      </c>
    </row>
    <row r="21" spans="1:4" x14ac:dyDescent="0.25">
      <c r="A21" t="s">
        <v>48</v>
      </c>
      <c r="B21" s="2">
        <v>100</v>
      </c>
      <c r="C21" t="s">
        <v>49</v>
      </c>
      <c r="D21" t="s">
        <v>50</v>
      </c>
    </row>
    <row r="22" spans="1:4" x14ac:dyDescent="0.25">
      <c r="A22" t="s">
        <v>51</v>
      </c>
      <c r="B22" s="2">
        <v>0.03</v>
      </c>
      <c r="C22" t="s">
        <v>52</v>
      </c>
      <c r="D22" t="s">
        <v>53</v>
      </c>
    </row>
    <row r="23" spans="1:4" x14ac:dyDescent="0.25">
      <c r="A23" t="s">
        <v>54</v>
      </c>
      <c r="B23" s="2">
        <v>0.3</v>
      </c>
      <c r="C23" t="s">
        <v>40</v>
      </c>
      <c r="D23" t="s">
        <v>54</v>
      </c>
    </row>
    <row r="24" spans="1:4" x14ac:dyDescent="0.25">
      <c r="A24" t="s">
        <v>55</v>
      </c>
      <c r="B24" s="2">
        <v>0.38</v>
      </c>
      <c r="C24" t="s">
        <v>40</v>
      </c>
      <c r="D24" t="s">
        <v>56</v>
      </c>
    </row>
    <row r="25" spans="1:4" x14ac:dyDescent="0.25">
      <c r="A25" t="s">
        <v>57</v>
      </c>
      <c r="B25" s="2">
        <v>0.4</v>
      </c>
      <c r="C25" t="s">
        <v>40</v>
      </c>
      <c r="D25" t="s">
        <v>58</v>
      </c>
    </row>
    <row r="26" spans="1:4" x14ac:dyDescent="0.25">
      <c r="A26" t="s">
        <v>59</v>
      </c>
      <c r="B26" s="2">
        <v>0.75</v>
      </c>
      <c r="C26" t="s">
        <v>40</v>
      </c>
      <c r="D26" t="s">
        <v>60</v>
      </c>
    </row>
    <row r="27" spans="1:4" x14ac:dyDescent="0.25">
      <c r="A27" t="s">
        <v>61</v>
      </c>
      <c r="B27" s="2">
        <v>15</v>
      </c>
      <c r="C27" t="s">
        <v>62</v>
      </c>
      <c r="D27" t="s">
        <v>63</v>
      </c>
    </row>
    <row r="28" spans="1:4" x14ac:dyDescent="0.25">
      <c r="A28" t="s">
        <v>64</v>
      </c>
      <c r="B28" s="2">
        <v>0</v>
      </c>
      <c r="C28" t="s">
        <v>65</v>
      </c>
      <c r="D28" t="s">
        <v>66</v>
      </c>
    </row>
    <row r="29" spans="1:4" x14ac:dyDescent="0.25">
      <c r="A29" t="s">
        <v>67</v>
      </c>
      <c r="B29" s="2">
        <v>1.35</v>
      </c>
      <c r="C29" t="s">
        <v>37</v>
      </c>
      <c r="D29" t="s">
        <v>68</v>
      </c>
    </row>
    <row r="30" spans="1:4" x14ac:dyDescent="0.25">
      <c r="A30" t="s">
        <v>69</v>
      </c>
      <c r="B30" s="2">
        <v>0.35</v>
      </c>
      <c r="C30" t="s">
        <v>40</v>
      </c>
      <c r="D30" t="s">
        <v>70</v>
      </c>
    </row>
    <row r="31" spans="1:4" x14ac:dyDescent="0.25">
      <c r="A31" t="s">
        <v>71</v>
      </c>
      <c r="B31" s="2">
        <v>1</v>
      </c>
      <c r="C31" t="s">
        <v>72</v>
      </c>
      <c r="D31" t="s">
        <v>73</v>
      </c>
    </row>
    <row r="32" spans="1:4" x14ac:dyDescent="0.25">
      <c r="A32" t="s">
        <v>74</v>
      </c>
      <c r="B32" s="2">
        <v>7.3</v>
      </c>
      <c r="C32" t="s">
        <v>75</v>
      </c>
      <c r="D32" t="s">
        <v>73</v>
      </c>
    </row>
    <row r="33" spans="1:4" x14ac:dyDescent="0.25">
      <c r="A33" t="s">
        <v>76</v>
      </c>
      <c r="B33" s="2">
        <v>28</v>
      </c>
      <c r="C33" t="s">
        <v>77</v>
      </c>
      <c r="D33" t="s">
        <v>73</v>
      </c>
    </row>
    <row r="34" spans="1:4" x14ac:dyDescent="0.25">
      <c r="A34" t="s">
        <v>78</v>
      </c>
      <c r="B34" s="2">
        <v>1</v>
      </c>
      <c r="C34" t="s">
        <v>79</v>
      </c>
      <c r="D34" t="s">
        <v>73</v>
      </c>
    </row>
    <row r="35" spans="1:4" x14ac:dyDescent="0.25">
      <c r="A35" t="s">
        <v>80</v>
      </c>
      <c r="B35" s="2">
        <v>50</v>
      </c>
      <c r="C35" t="s">
        <v>81</v>
      </c>
      <c r="D35" t="s">
        <v>82</v>
      </c>
    </row>
    <row r="36" spans="1:4" x14ac:dyDescent="0.25">
      <c r="A36" t="s">
        <v>83</v>
      </c>
      <c r="B36" s="2">
        <v>90</v>
      </c>
      <c r="C36" t="s">
        <v>84</v>
      </c>
      <c r="D36" t="s">
        <v>73</v>
      </c>
    </row>
    <row r="37" spans="1:4" x14ac:dyDescent="0.25">
      <c r="A37" t="s">
        <v>85</v>
      </c>
      <c r="B37" s="2">
        <v>120</v>
      </c>
      <c r="C37" t="s">
        <v>84</v>
      </c>
      <c r="D37" t="s">
        <v>86</v>
      </c>
    </row>
    <row r="38" spans="1:4" x14ac:dyDescent="0.25">
      <c r="A38" t="s">
        <v>87</v>
      </c>
      <c r="B38" s="2">
        <v>0.5</v>
      </c>
      <c r="C38" t="s">
        <v>40</v>
      </c>
      <c r="D38" t="s">
        <v>88</v>
      </c>
    </row>
    <row r="39" spans="1:4" x14ac:dyDescent="0.25">
      <c r="A39" t="s">
        <v>89</v>
      </c>
      <c r="B39" s="2">
        <v>300</v>
      </c>
      <c r="C39" t="s">
        <v>90</v>
      </c>
      <c r="D39" t="s">
        <v>91</v>
      </c>
    </row>
    <row r="40" spans="1:4" x14ac:dyDescent="0.25">
      <c r="A40" t="s">
        <v>92</v>
      </c>
      <c r="B40" s="2">
        <v>0.06</v>
      </c>
      <c r="C40" t="s">
        <v>40</v>
      </c>
      <c r="D40" t="s">
        <v>43</v>
      </c>
    </row>
    <row r="41" spans="1:4" x14ac:dyDescent="0.25">
      <c r="A41" t="s">
        <v>93</v>
      </c>
      <c r="B41" s="2">
        <v>300</v>
      </c>
      <c r="C41" t="s">
        <v>94</v>
      </c>
      <c r="D41" t="s">
        <v>95</v>
      </c>
    </row>
    <row r="42" spans="1:4" x14ac:dyDescent="0.25">
      <c r="A42" t="s">
        <v>96</v>
      </c>
      <c r="B42" s="2">
        <v>0.3</v>
      </c>
      <c r="C42" t="s">
        <v>97</v>
      </c>
      <c r="D42" t="s">
        <v>98</v>
      </c>
    </row>
    <row r="43" spans="1:4" x14ac:dyDescent="0.25">
      <c r="A43" t="s">
        <v>99</v>
      </c>
      <c r="B43" s="2">
        <v>2.5</v>
      </c>
      <c r="C43" t="s">
        <v>100</v>
      </c>
      <c r="D43" t="s">
        <v>101</v>
      </c>
    </row>
    <row r="44" spans="1:4" x14ac:dyDescent="0.25">
      <c r="A44" t="s">
        <v>102</v>
      </c>
      <c r="B44" s="2">
        <v>5.5</v>
      </c>
      <c r="C44" t="s">
        <v>81</v>
      </c>
      <c r="D44" t="s">
        <v>103</v>
      </c>
    </row>
    <row r="45" spans="1:4" x14ac:dyDescent="0.25">
      <c r="A45" t="s">
        <v>104</v>
      </c>
      <c r="B45" s="2">
        <v>20</v>
      </c>
      <c r="C45" t="s">
        <v>106</v>
      </c>
      <c r="D45" t="s">
        <v>107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8F1F7-172A-47B7-B01D-4BF9FCA3CB7B}">
  <dimension ref="A1:D33"/>
  <sheetViews>
    <sheetView workbookViewId="0">
      <selection activeCell="B14" sqref="B14"/>
    </sheetView>
  </sheetViews>
  <sheetFormatPr defaultRowHeight="15" x14ac:dyDescent="0.25"/>
  <cols>
    <col min="1" max="1" width="20.42578125" bestFit="1" customWidth="1"/>
    <col min="2" max="2" width="25.5703125" customWidth="1"/>
    <col min="3" max="3" width="12.5703125" bestFit="1" customWidth="1"/>
    <col min="4" max="4" width="26.28515625" bestFit="1" customWidth="1"/>
  </cols>
  <sheetData>
    <row r="1" spans="1:4" x14ac:dyDescent="0.25">
      <c r="A1" t="s">
        <v>0</v>
      </c>
      <c r="B1" t="s">
        <v>108</v>
      </c>
      <c r="C1" t="s">
        <v>2</v>
      </c>
      <c r="D1" t="s">
        <v>3</v>
      </c>
    </row>
    <row r="2" spans="1:4" x14ac:dyDescent="0.25">
      <c r="A2" t="s">
        <v>16</v>
      </c>
      <c r="B2" s="1">
        <f>INPUT!B7</f>
        <v>7.0685834705770345</v>
      </c>
      <c r="C2" t="s">
        <v>17</v>
      </c>
      <c r="D2" t="s">
        <v>109</v>
      </c>
    </row>
    <row r="3" spans="1:4" x14ac:dyDescent="0.25">
      <c r="A3" t="s">
        <v>110</v>
      </c>
      <c r="B3" s="1">
        <f>B2*INPUT!B8</f>
        <v>7.0685834705770345</v>
      </c>
      <c r="C3" t="s">
        <v>49</v>
      </c>
      <c r="D3" t="s">
        <v>111</v>
      </c>
    </row>
    <row r="4" spans="1:4" x14ac:dyDescent="0.25">
      <c r="A4" t="s">
        <v>112</v>
      </c>
      <c r="B4" s="1">
        <f>B2*INPUT!B9</f>
        <v>706.85834705770344</v>
      </c>
      <c r="C4" t="s">
        <v>113</v>
      </c>
      <c r="D4" t="s">
        <v>114</v>
      </c>
    </row>
    <row r="5" spans="1:4" x14ac:dyDescent="0.25">
      <c r="A5" t="s">
        <v>115</v>
      </c>
      <c r="B5" s="1">
        <f>B2*INPUT!B10</f>
        <v>70.685834705770347</v>
      </c>
      <c r="C5" t="s">
        <v>116</v>
      </c>
      <c r="D5" t="s">
        <v>117</v>
      </c>
    </row>
    <row r="6" spans="1:4" x14ac:dyDescent="0.25">
      <c r="A6" t="s">
        <v>118</v>
      </c>
      <c r="B6" s="1">
        <f>B2*INPUT!B11</f>
        <v>212.05750411731103</v>
      </c>
      <c r="C6" t="s">
        <v>113</v>
      </c>
      <c r="D6" t="s">
        <v>119</v>
      </c>
    </row>
    <row r="7" spans="1:4" x14ac:dyDescent="0.25">
      <c r="A7" t="s">
        <v>120</v>
      </c>
      <c r="B7" s="1">
        <f>B2*INPUT!B12/1000</f>
        <v>0.35342917352885173</v>
      </c>
      <c r="C7" t="s">
        <v>49</v>
      </c>
      <c r="D7" t="s">
        <v>121</v>
      </c>
    </row>
    <row r="8" spans="1:4" x14ac:dyDescent="0.25">
      <c r="A8" t="s">
        <v>122</v>
      </c>
      <c r="B8" s="1">
        <f>B2*INPUT!B13</f>
        <v>212.05750411731103</v>
      </c>
      <c r="C8" t="s">
        <v>90</v>
      </c>
      <c r="D8" t="s">
        <v>123</v>
      </c>
    </row>
    <row r="9" spans="1:4" x14ac:dyDescent="0.25">
      <c r="A9" t="s">
        <v>124</v>
      </c>
      <c r="B9" s="1">
        <f>B2*INPUT!B14</f>
        <v>70.685834705770347</v>
      </c>
      <c r="C9" t="s">
        <v>94</v>
      </c>
      <c r="D9" t="s">
        <v>125</v>
      </c>
    </row>
    <row r="10" spans="1:4" x14ac:dyDescent="0.25">
      <c r="A10" t="s">
        <v>126</v>
      </c>
      <c r="B10" s="1">
        <f>B9/1000*24*INPUT!B15</f>
        <v>11.875220230569418</v>
      </c>
      <c r="C10" t="s">
        <v>127</v>
      </c>
      <c r="D10" t="s">
        <v>128</v>
      </c>
    </row>
    <row r="11" spans="1:4" x14ac:dyDescent="0.25">
      <c r="A11" t="s">
        <v>129</v>
      </c>
      <c r="B11" s="1">
        <f>INPUT!B8*1000*INPUT!B20*0.607</f>
        <v>576.65</v>
      </c>
      <c r="C11" t="s">
        <v>130</v>
      </c>
      <c r="D11" t="s">
        <v>131</v>
      </c>
    </row>
    <row r="12" spans="1:4" x14ac:dyDescent="0.25">
      <c r="A12" t="s">
        <v>132</v>
      </c>
      <c r="B12" s="1">
        <f>INPUT!B8*1000*INPUT!B20*0.393</f>
        <v>373.35</v>
      </c>
      <c r="C12" t="s">
        <v>133</v>
      </c>
      <c r="D12" t="s">
        <v>134</v>
      </c>
    </row>
    <row r="13" spans="1:4" x14ac:dyDescent="0.25">
      <c r="A13" t="s">
        <v>135</v>
      </c>
      <c r="B13" s="1">
        <f>INPUT!B10*INPUT!B20</f>
        <v>9.5</v>
      </c>
      <c r="C13" t="s">
        <v>136</v>
      </c>
      <c r="D13" t="s">
        <v>137</v>
      </c>
    </row>
    <row r="14" spans="1:4" x14ac:dyDescent="0.25">
      <c r="A14" t="s">
        <v>138</v>
      </c>
      <c r="B14" s="1">
        <f>B4*INPUT!B16</f>
        <v>954.25876852789975</v>
      </c>
      <c r="C14" t="s">
        <v>116</v>
      </c>
      <c r="D14" t="s">
        <v>138</v>
      </c>
    </row>
    <row r="15" spans="1:4" x14ac:dyDescent="0.25">
      <c r="A15" t="s">
        <v>139</v>
      </c>
      <c r="B15" s="1">
        <f>B14*INPUT!B17</f>
        <v>333.99056898476488</v>
      </c>
      <c r="C15" t="s">
        <v>140</v>
      </c>
      <c r="D15" t="s">
        <v>41</v>
      </c>
    </row>
    <row r="16" spans="1:4" x14ac:dyDescent="0.25">
      <c r="A16" t="s">
        <v>141</v>
      </c>
      <c r="B16" s="1">
        <f>B15*2.67</f>
        <v>891.75481918932223</v>
      </c>
      <c r="C16" t="s">
        <v>142</v>
      </c>
      <c r="D16" t="s">
        <v>143</v>
      </c>
    </row>
    <row r="17" spans="1:4" x14ac:dyDescent="0.25">
      <c r="A17" t="s">
        <v>144</v>
      </c>
      <c r="B17" s="1">
        <f>B16/B2</f>
        <v>126.1575</v>
      </c>
      <c r="C17" t="s">
        <v>145</v>
      </c>
      <c r="D17" t="s">
        <v>146</v>
      </c>
    </row>
    <row r="18" spans="1:4" x14ac:dyDescent="0.25">
      <c r="A18" t="s">
        <v>147</v>
      </c>
      <c r="B18" s="1">
        <f>B2*INPUT!B12</f>
        <v>353.42917352885172</v>
      </c>
      <c r="C18" t="s">
        <v>116</v>
      </c>
      <c r="D18" t="s">
        <v>120</v>
      </c>
    </row>
    <row r="19" spans="1:4" x14ac:dyDescent="0.25">
      <c r="A19" t="s">
        <v>148</v>
      </c>
      <c r="B19" s="1">
        <f>INPUT!B12*INPUT!B19</f>
        <v>40</v>
      </c>
      <c r="C19" t="s">
        <v>84</v>
      </c>
      <c r="D19" t="s">
        <v>148</v>
      </c>
    </row>
    <row r="20" spans="1:4" x14ac:dyDescent="0.25">
      <c r="A20" t="s">
        <v>149</v>
      </c>
      <c r="B20" s="1">
        <f>INPUT!B12*0.217</f>
        <v>10.85</v>
      </c>
      <c r="C20" t="s">
        <v>150</v>
      </c>
      <c r="D20" t="s">
        <v>151</v>
      </c>
    </row>
    <row r="21" spans="1:4" x14ac:dyDescent="0.25">
      <c r="A21" t="s">
        <v>152</v>
      </c>
      <c r="B21" s="1">
        <f>INPUT!B12*0.132</f>
        <v>6.6000000000000005</v>
      </c>
      <c r="C21" t="s">
        <v>153</v>
      </c>
      <c r="D21" t="s">
        <v>151</v>
      </c>
    </row>
    <row r="22" spans="1:4" x14ac:dyDescent="0.25">
      <c r="A22" t="s">
        <v>154</v>
      </c>
      <c r="B22" s="1">
        <f>B2*INPUT!B13</f>
        <v>212.05750411731103</v>
      </c>
      <c r="C22" t="s">
        <v>90</v>
      </c>
      <c r="D22" t="s">
        <v>155</v>
      </c>
    </row>
    <row r="23" spans="1:4" x14ac:dyDescent="0.25">
      <c r="A23" t="s">
        <v>156</v>
      </c>
      <c r="B23" s="1">
        <f>B22*0.0179*INPUT!B18</f>
        <v>0.22774975942199202</v>
      </c>
      <c r="C23" t="s">
        <v>157</v>
      </c>
      <c r="D23" t="s">
        <v>158</v>
      </c>
    </row>
    <row r="24" spans="1:4" x14ac:dyDescent="0.25">
      <c r="A24" t="s">
        <v>159</v>
      </c>
      <c r="B24" s="1">
        <f>B23*1000</f>
        <v>227.74975942199202</v>
      </c>
      <c r="C24" t="s">
        <v>160</v>
      </c>
      <c r="D24" t="s">
        <v>158</v>
      </c>
    </row>
    <row r="25" spans="1:4" x14ac:dyDescent="0.25">
      <c r="A25" t="s">
        <v>161</v>
      </c>
      <c r="B25" s="1">
        <f>B24/B2</f>
        <v>32.22</v>
      </c>
      <c r="C25" t="s">
        <v>162</v>
      </c>
      <c r="D25" t="s">
        <v>163</v>
      </c>
    </row>
    <row r="26" spans="1:4" x14ac:dyDescent="0.25">
      <c r="A26" t="s">
        <v>164</v>
      </c>
      <c r="B26" s="1">
        <v>5.5</v>
      </c>
      <c r="C26" t="s">
        <v>81</v>
      </c>
      <c r="D26" t="s">
        <v>165</v>
      </c>
    </row>
    <row r="27" spans="1:4" x14ac:dyDescent="0.25">
      <c r="A27" t="s">
        <v>166</v>
      </c>
      <c r="B27" s="1">
        <v>7.2</v>
      </c>
      <c r="C27" t="s">
        <v>75</v>
      </c>
      <c r="D27" t="s">
        <v>165</v>
      </c>
    </row>
    <row r="28" spans="1:4" x14ac:dyDescent="0.25">
      <c r="A28" t="s">
        <v>167</v>
      </c>
      <c r="B28" s="1" t="s">
        <v>23</v>
      </c>
      <c r="C28" t="s">
        <v>84</v>
      </c>
      <c r="D28" t="s">
        <v>165</v>
      </c>
    </row>
    <row r="29" spans="1:4" x14ac:dyDescent="0.25">
      <c r="A29" t="s">
        <v>168</v>
      </c>
      <c r="B29" s="1">
        <v>0.5</v>
      </c>
      <c r="C29" t="s">
        <v>72</v>
      </c>
      <c r="D29" t="s">
        <v>165</v>
      </c>
    </row>
    <row r="30" spans="1:4" x14ac:dyDescent="0.25">
      <c r="A30" t="s">
        <v>169</v>
      </c>
      <c r="B30" s="1">
        <v>0.2</v>
      </c>
      <c r="C30" t="s">
        <v>79</v>
      </c>
      <c r="D30" t="s">
        <v>165</v>
      </c>
    </row>
    <row r="31" spans="1:4" x14ac:dyDescent="0.25">
      <c r="A31" t="s">
        <v>170</v>
      </c>
      <c r="B31" s="1" t="s">
        <v>171</v>
      </c>
      <c r="C31" t="s">
        <v>172</v>
      </c>
      <c r="D31" t="s">
        <v>173</v>
      </c>
    </row>
    <row r="32" spans="1:4" x14ac:dyDescent="0.25">
      <c r="A32" t="s">
        <v>174</v>
      </c>
      <c r="B32" s="1" t="s">
        <v>171</v>
      </c>
      <c r="C32" t="s">
        <v>172</v>
      </c>
      <c r="D32" t="s">
        <v>173</v>
      </c>
    </row>
    <row r="33" spans="1:4" x14ac:dyDescent="0.25">
      <c r="A33" t="s">
        <v>175</v>
      </c>
      <c r="B33" s="1" t="str">
        <f>IF(AND(_xlfn.XLOOKUP("DO persiapan",A:A,B:B)&gt;5,_xlfn.XLOOKUP("pH persiapan",A:A,B:B)&gt;=6.8,_xlfn.XLOOKUP("pH persiapan",A:A,B:B)&lt;=7.8,_xlfn.XLOOKUP("Alkalinitas persiapan",A:A,B:B)&gt;=80,_xlfn.XLOOKUP("TAN persiapan",A:A,B:B)&lt;=1,_xlfn.XLOOKUP("Nitrit persiapan",A:A,B:B)&lt;=0.5,TRIM(_xlfn.XLOOKUP("Bau",A:A,B:B))="Tidak",TRIM(_xlfn.XLOOKUP("Busa berlebihan",A:A,B:B))="Tidak"),"SIAP TEBAR","BELUM SIAP")</f>
        <v>SIAP TEBAR</v>
      </c>
      <c r="C33" t="s">
        <v>176</v>
      </c>
      <c r="D33" t="s">
        <v>177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6BAFC-0E6E-48F3-BD47-45062E6DC2F2}">
  <dimension ref="A1:E63"/>
  <sheetViews>
    <sheetView topLeftCell="A34" zoomScaleNormal="100" workbookViewId="0">
      <selection activeCell="B43" sqref="B43"/>
    </sheetView>
  </sheetViews>
  <sheetFormatPr defaultRowHeight="15" x14ac:dyDescent="0.25"/>
  <cols>
    <col min="1" max="1" width="25.7109375" bestFit="1" customWidth="1"/>
    <col min="2" max="2" width="27.5703125" customWidth="1"/>
    <col min="3" max="3" width="16.140625" bestFit="1" customWidth="1"/>
    <col min="4" max="4" width="26" bestFit="1" customWidth="1"/>
    <col min="5" max="5" width="26.28515625" bestFit="1" customWidth="1"/>
  </cols>
  <sheetData>
    <row r="1" spans="1:5" x14ac:dyDescent="0.25">
      <c r="A1" t="s">
        <v>0</v>
      </c>
      <c r="B1" t="s">
        <v>108</v>
      </c>
      <c r="C1" t="s">
        <v>2</v>
      </c>
      <c r="D1" t="s">
        <v>3</v>
      </c>
      <c r="E1" t="s">
        <v>178</v>
      </c>
    </row>
    <row r="2" spans="1:5" x14ac:dyDescent="0.25">
      <c r="A2" t="s">
        <v>16</v>
      </c>
      <c r="B2" s="1">
        <f>INPUT!B7</f>
        <v>7.0685834705770345</v>
      </c>
      <c r="C2" t="s">
        <v>17</v>
      </c>
      <c r="D2" t="s">
        <v>109</v>
      </c>
      <c r="E2" t="s">
        <v>179</v>
      </c>
    </row>
    <row r="3" spans="1:5" x14ac:dyDescent="0.25">
      <c r="A3" t="s">
        <v>48</v>
      </c>
      <c r="B3" s="1">
        <f>INPUT!B21</f>
        <v>100</v>
      </c>
      <c r="C3" t="s">
        <v>49</v>
      </c>
      <c r="D3" t="s">
        <v>50</v>
      </c>
      <c r="E3" t="s">
        <v>179</v>
      </c>
    </row>
    <row r="4" spans="1:5" x14ac:dyDescent="0.25">
      <c r="A4" t="s">
        <v>51</v>
      </c>
      <c r="B4" s="1">
        <f>INPUT!B22</f>
        <v>0.03</v>
      </c>
      <c r="C4" t="s">
        <v>52</v>
      </c>
      <c r="D4" t="s">
        <v>180</v>
      </c>
      <c r="E4" t="s">
        <v>179</v>
      </c>
    </row>
    <row r="5" spans="1:5" x14ac:dyDescent="0.25">
      <c r="A5" t="s">
        <v>181</v>
      </c>
      <c r="B5" s="1">
        <f>B3*B4</f>
        <v>3</v>
      </c>
      <c r="C5" t="s">
        <v>182</v>
      </c>
      <c r="D5" t="s">
        <v>181</v>
      </c>
      <c r="E5" t="s">
        <v>179</v>
      </c>
    </row>
    <row r="6" spans="1:5" x14ac:dyDescent="0.25">
      <c r="A6" t="s">
        <v>183</v>
      </c>
      <c r="B6" s="1">
        <f>B5*1000</f>
        <v>3000</v>
      </c>
      <c r="C6" t="s">
        <v>184</v>
      </c>
      <c r="D6" t="s">
        <v>181</v>
      </c>
      <c r="E6" t="s">
        <v>179</v>
      </c>
    </row>
    <row r="7" spans="1:5" x14ac:dyDescent="0.25">
      <c r="A7" t="s">
        <v>185</v>
      </c>
      <c r="B7" s="1">
        <f>B6*INPUT!B23*0.16</f>
        <v>144</v>
      </c>
      <c r="C7" t="s">
        <v>186</v>
      </c>
      <c r="D7" t="s">
        <v>187</v>
      </c>
      <c r="E7" t="s">
        <v>179</v>
      </c>
    </row>
    <row r="8" spans="1:5" x14ac:dyDescent="0.25">
      <c r="A8" t="s">
        <v>188</v>
      </c>
      <c r="B8" s="1">
        <f>B7*INPUT!B26</f>
        <v>108</v>
      </c>
      <c r="C8" t="s">
        <v>186</v>
      </c>
      <c r="D8" t="s">
        <v>189</v>
      </c>
      <c r="E8" t="s">
        <v>179</v>
      </c>
    </row>
    <row r="9" spans="1:5" x14ac:dyDescent="0.25">
      <c r="A9" t="s">
        <v>190</v>
      </c>
      <c r="B9" s="1">
        <f>B8/B2</f>
        <v>15.278874536821952</v>
      </c>
      <c r="C9" t="s">
        <v>191</v>
      </c>
      <c r="D9" t="s">
        <v>192</v>
      </c>
      <c r="E9" t="s">
        <v>179</v>
      </c>
    </row>
    <row r="10" spans="1:5" x14ac:dyDescent="0.25">
      <c r="A10" t="s">
        <v>193</v>
      </c>
      <c r="B10" s="1">
        <f>B6*INPUT!B24</f>
        <v>1140</v>
      </c>
      <c r="C10" t="s">
        <v>194</v>
      </c>
      <c r="D10" t="s">
        <v>55</v>
      </c>
      <c r="E10" t="s">
        <v>179</v>
      </c>
    </row>
    <row r="11" spans="1:5" x14ac:dyDescent="0.25">
      <c r="A11" t="s">
        <v>57</v>
      </c>
      <c r="B11" s="1">
        <f>B10*INPUT!B25</f>
        <v>456</v>
      </c>
      <c r="C11" t="s">
        <v>194</v>
      </c>
      <c r="D11" t="s">
        <v>195</v>
      </c>
      <c r="E11" t="s">
        <v>179</v>
      </c>
    </row>
    <row r="12" spans="1:5" x14ac:dyDescent="0.25">
      <c r="A12" t="s">
        <v>196</v>
      </c>
      <c r="B12" s="1">
        <f>INPUT!B28</f>
        <v>0</v>
      </c>
      <c r="C12" t="s">
        <v>65</v>
      </c>
      <c r="D12" t="s">
        <v>197</v>
      </c>
      <c r="E12" t="s">
        <v>179</v>
      </c>
    </row>
    <row r="13" spans="1:5" x14ac:dyDescent="0.25">
      <c r="A13" t="s">
        <v>198</v>
      </c>
      <c r="B13" s="1">
        <f>B12*INPUT!B29</f>
        <v>0</v>
      </c>
      <c r="C13" t="s">
        <v>184</v>
      </c>
      <c r="D13" t="s">
        <v>138</v>
      </c>
      <c r="E13" t="s">
        <v>179</v>
      </c>
    </row>
    <row r="14" spans="1:5" x14ac:dyDescent="0.25">
      <c r="A14" t="s">
        <v>199</v>
      </c>
      <c r="B14" s="1">
        <f>B13*INPUT!B30</f>
        <v>0</v>
      </c>
      <c r="C14" t="s">
        <v>194</v>
      </c>
      <c r="D14" t="s">
        <v>41</v>
      </c>
      <c r="E14" t="s">
        <v>179</v>
      </c>
    </row>
    <row r="15" spans="1:5" x14ac:dyDescent="0.25">
      <c r="A15" t="s">
        <v>200</v>
      </c>
      <c r="B15" s="1">
        <f>B14*2.67</f>
        <v>0</v>
      </c>
      <c r="C15" t="s">
        <v>201</v>
      </c>
      <c r="D15" t="s">
        <v>143</v>
      </c>
      <c r="E15" t="s">
        <v>179</v>
      </c>
    </row>
    <row r="16" spans="1:5" x14ac:dyDescent="0.25">
      <c r="A16" t="s">
        <v>202</v>
      </c>
      <c r="B16" s="1">
        <f>B11+B14</f>
        <v>456</v>
      </c>
      <c r="C16" t="s">
        <v>194</v>
      </c>
      <c r="D16" t="s">
        <v>203</v>
      </c>
      <c r="E16" t="s">
        <v>179</v>
      </c>
    </row>
    <row r="17" spans="1:5" x14ac:dyDescent="0.25">
      <c r="A17" t="s">
        <v>204</v>
      </c>
      <c r="B17" s="1">
        <f>IFERROR(B16/B8,0)</f>
        <v>4.2222222222222223</v>
      </c>
      <c r="C17" t="s">
        <v>62</v>
      </c>
      <c r="D17" t="s">
        <v>205</v>
      </c>
      <c r="E17" t="s">
        <v>179</v>
      </c>
    </row>
    <row r="18" spans="1:5" x14ac:dyDescent="0.25">
      <c r="A18" t="s">
        <v>206</v>
      </c>
      <c r="B18" s="1">
        <f>B8*INPUT!B27</f>
        <v>1620</v>
      </c>
      <c r="C18" t="s">
        <v>194</v>
      </c>
      <c r="D18" t="s">
        <v>207</v>
      </c>
      <c r="E18" t="s">
        <v>179</v>
      </c>
    </row>
    <row r="19" spans="1:5" x14ac:dyDescent="0.25">
      <c r="A19" t="s">
        <v>208</v>
      </c>
      <c r="B19" s="1">
        <f>MAX(0,B18-B11)</f>
        <v>1164</v>
      </c>
      <c r="C19" t="s">
        <v>209</v>
      </c>
      <c r="D19" t="s">
        <v>194</v>
      </c>
      <c r="E19" t="s">
        <v>210</v>
      </c>
    </row>
    <row r="20" spans="1:5" x14ac:dyDescent="0.25">
      <c r="A20" t="s">
        <v>211</v>
      </c>
      <c r="B20" s="1">
        <f>B19/(INPUT!B29*INPUT!B30)</f>
        <v>2463.4920634920636</v>
      </c>
      <c r="C20" t="s">
        <v>65</v>
      </c>
      <c r="D20" t="s">
        <v>212</v>
      </c>
      <c r="E20" t="s">
        <v>179</v>
      </c>
    </row>
    <row r="21" spans="1:5" x14ac:dyDescent="0.25">
      <c r="A21" t="s">
        <v>213</v>
      </c>
      <c r="B21" s="1" t="str">
        <f>IF(B17&lt;12,"C/N RENDAH",IF(B17&gt;20,"C/N TERLALU TINGGI","C/N AMAN"))</f>
        <v>C/N RENDAH</v>
      </c>
      <c r="C21" t="s">
        <v>176</v>
      </c>
      <c r="D21" t="s">
        <v>214</v>
      </c>
      <c r="E21" t="s">
        <v>179</v>
      </c>
    </row>
    <row r="22" spans="1:5" x14ac:dyDescent="0.25">
      <c r="A22" t="s">
        <v>71</v>
      </c>
      <c r="B22" s="1">
        <f>INPUT!B31</f>
        <v>1</v>
      </c>
      <c r="C22" t="s">
        <v>72</v>
      </c>
      <c r="D22" t="s">
        <v>73</v>
      </c>
      <c r="E22" t="s">
        <v>179</v>
      </c>
    </row>
    <row r="23" spans="1:5" x14ac:dyDescent="0.25">
      <c r="A23" t="s">
        <v>75</v>
      </c>
      <c r="B23" s="1">
        <f>INPUT!B32</f>
        <v>7.3</v>
      </c>
      <c r="C23" t="s">
        <v>75</v>
      </c>
      <c r="D23" t="s">
        <v>73</v>
      </c>
      <c r="E23" t="s">
        <v>179</v>
      </c>
    </row>
    <row r="24" spans="1:5" x14ac:dyDescent="0.25">
      <c r="A24" t="s">
        <v>215</v>
      </c>
      <c r="B24" s="1">
        <f>INPUT!B33</f>
        <v>28</v>
      </c>
      <c r="C24" t="s">
        <v>77</v>
      </c>
      <c r="D24" t="s">
        <v>73</v>
      </c>
      <c r="E24" t="s">
        <v>179</v>
      </c>
    </row>
    <row r="25" spans="1:5" x14ac:dyDescent="0.25">
      <c r="A25" t="s">
        <v>216</v>
      </c>
      <c r="B25" s="1">
        <f>0.09018+2729.92/(273.15+B24)</f>
        <v>9.1551642271293385</v>
      </c>
      <c r="C25" t="s">
        <v>217</v>
      </c>
      <c r="D25" t="s">
        <v>218</v>
      </c>
      <c r="E25" t="s">
        <v>179</v>
      </c>
    </row>
    <row r="26" spans="1:5" x14ac:dyDescent="0.25">
      <c r="A26" t="s">
        <v>219</v>
      </c>
      <c r="B26" s="1">
        <f>1/(1+10^(B25-B23))</f>
        <v>1.3766249409831236E-2</v>
      </c>
      <c r="C26" t="s">
        <v>40</v>
      </c>
      <c r="D26" t="s">
        <v>219</v>
      </c>
      <c r="E26" t="s">
        <v>179</v>
      </c>
    </row>
    <row r="27" spans="1:5" x14ac:dyDescent="0.25">
      <c r="A27" t="s">
        <v>220</v>
      </c>
      <c r="B27" s="1">
        <f>B22*B26</f>
        <v>1.3766249409831236E-2</v>
      </c>
      <c r="C27" t="s">
        <v>221</v>
      </c>
      <c r="D27" t="s">
        <v>222</v>
      </c>
      <c r="E27" t="s">
        <v>179</v>
      </c>
    </row>
    <row r="28" spans="1:5" x14ac:dyDescent="0.25">
      <c r="A28" t="s">
        <v>223</v>
      </c>
      <c r="B28" s="1" t="str">
        <f>IF(B27&gt;=0.05,"BAHAYA NH3",IF(B27&gt;=0.02,"WASPADA NH3","AMAN"))</f>
        <v>AMAN</v>
      </c>
      <c r="C28" t="s">
        <v>176</v>
      </c>
      <c r="D28" t="s">
        <v>224</v>
      </c>
      <c r="E28" t="s">
        <v>179</v>
      </c>
    </row>
    <row r="29" spans="1:5" x14ac:dyDescent="0.25">
      <c r="A29" t="s">
        <v>225</v>
      </c>
      <c r="B29" s="1">
        <f>INPUT!B34</f>
        <v>1</v>
      </c>
      <c r="C29" t="s">
        <v>79</v>
      </c>
      <c r="D29" t="s">
        <v>73</v>
      </c>
      <c r="E29" t="s">
        <v>179</v>
      </c>
    </row>
    <row r="30" spans="1:5" x14ac:dyDescent="0.25">
      <c r="A30" t="s">
        <v>80</v>
      </c>
      <c r="B30" s="1">
        <f>INPUT!B35</f>
        <v>50</v>
      </c>
      <c r="C30" t="s">
        <v>81</v>
      </c>
      <c r="D30" t="s">
        <v>73</v>
      </c>
      <c r="E30" t="s">
        <v>179</v>
      </c>
    </row>
    <row r="31" spans="1:5" x14ac:dyDescent="0.25">
      <c r="A31" t="s">
        <v>226</v>
      </c>
      <c r="B31" s="1" t="s">
        <v>105</v>
      </c>
      <c r="C31" t="s">
        <v>227</v>
      </c>
      <c r="D31" t="s">
        <v>228</v>
      </c>
      <c r="E31" t="s">
        <v>179</v>
      </c>
    </row>
    <row r="32" spans="1:5" x14ac:dyDescent="0.25">
      <c r="A32" t="s">
        <v>229</v>
      </c>
      <c r="B32" s="1">
        <f>B29*B31</f>
        <v>20</v>
      </c>
      <c r="C32" t="s">
        <v>130</v>
      </c>
      <c r="D32" t="s">
        <v>230</v>
      </c>
      <c r="E32" t="s">
        <v>179</v>
      </c>
    </row>
    <row r="33" spans="1:5" x14ac:dyDescent="0.25">
      <c r="A33" t="s">
        <v>231</v>
      </c>
      <c r="B33" s="1">
        <f>MAX(0,B32-B30)</f>
        <v>0</v>
      </c>
      <c r="C33" t="s">
        <v>232</v>
      </c>
      <c r="D33" t="s">
        <v>130</v>
      </c>
      <c r="E33" t="s">
        <v>233</v>
      </c>
    </row>
    <row r="34" spans="1:5" x14ac:dyDescent="0.25">
      <c r="A34" t="s">
        <v>234</v>
      </c>
      <c r="B34" s="1">
        <f>B33/0.607</f>
        <v>0</v>
      </c>
      <c r="C34" t="s">
        <v>235</v>
      </c>
      <c r="D34" t="s">
        <v>111</v>
      </c>
      <c r="E34" t="s">
        <v>179</v>
      </c>
    </row>
    <row r="35" spans="1:5" x14ac:dyDescent="0.25">
      <c r="A35" t="s">
        <v>236</v>
      </c>
      <c r="B35" s="1">
        <f>B34*B2/1000</f>
        <v>0</v>
      </c>
      <c r="C35" t="s">
        <v>237</v>
      </c>
      <c r="D35" t="s">
        <v>238</v>
      </c>
      <c r="E35" t="s">
        <v>179</v>
      </c>
    </row>
    <row r="36" spans="1:5" x14ac:dyDescent="0.25">
      <c r="A36" t="s">
        <v>239</v>
      </c>
      <c r="B36" s="1" t="str">
        <f>IF(B29&gt;=1,"WASPADA NITRIT",IF(B29&gt;=0.5,"PERHATIAN","AMAN"))</f>
        <v>WASPADA NITRIT</v>
      </c>
      <c r="C36" t="s">
        <v>176</v>
      </c>
      <c r="D36" t="s">
        <v>240</v>
      </c>
      <c r="E36" t="s">
        <v>179</v>
      </c>
    </row>
    <row r="37" spans="1:5" x14ac:dyDescent="0.25">
      <c r="A37" t="s">
        <v>83</v>
      </c>
      <c r="B37" s="1">
        <f>INPUT!B36</f>
        <v>90</v>
      </c>
      <c r="C37" t="s">
        <v>84</v>
      </c>
      <c r="D37" t="s">
        <v>73</v>
      </c>
      <c r="E37" t="s">
        <v>179</v>
      </c>
    </row>
    <row r="38" spans="1:5" x14ac:dyDescent="0.25">
      <c r="A38" t="s">
        <v>85</v>
      </c>
      <c r="B38" s="1">
        <f>INPUT!B37</f>
        <v>120</v>
      </c>
      <c r="C38" t="s">
        <v>84</v>
      </c>
      <c r="D38" t="s">
        <v>241</v>
      </c>
      <c r="E38" t="s">
        <v>179</v>
      </c>
    </row>
    <row r="39" spans="1:5" x14ac:dyDescent="0.25">
      <c r="A39" t="s">
        <v>242</v>
      </c>
      <c r="B39" s="1">
        <f>INPUT!B38</f>
        <v>0.5</v>
      </c>
      <c r="C39" t="s">
        <v>40</v>
      </c>
      <c r="D39" t="s">
        <v>243</v>
      </c>
      <c r="E39" t="s">
        <v>179</v>
      </c>
    </row>
    <row r="40" spans="1:5" x14ac:dyDescent="0.25">
      <c r="A40" t="s">
        <v>244</v>
      </c>
      <c r="B40" s="1">
        <f>INPUT!B19</f>
        <v>0.8</v>
      </c>
      <c r="C40" t="s">
        <v>40</v>
      </c>
      <c r="D40" t="s">
        <v>245</v>
      </c>
      <c r="E40" t="s">
        <v>179</v>
      </c>
    </row>
    <row r="41" spans="1:5" x14ac:dyDescent="0.25">
      <c r="A41" t="s">
        <v>246</v>
      </c>
      <c r="B41" s="1">
        <f>B8*B39*7.14</f>
        <v>385.56</v>
      </c>
      <c r="C41" t="s">
        <v>247</v>
      </c>
      <c r="D41" t="s">
        <v>248</v>
      </c>
      <c r="E41" t="s">
        <v>179</v>
      </c>
    </row>
    <row r="42" spans="1:5" x14ac:dyDescent="0.25">
      <c r="A42" t="s">
        <v>249</v>
      </c>
      <c r="B42" s="1">
        <f>B41/B2</f>
        <v>54.545582096454375</v>
      </c>
      <c r="C42" t="s">
        <v>250</v>
      </c>
      <c r="D42" t="s">
        <v>251</v>
      </c>
      <c r="E42" t="s">
        <v>179</v>
      </c>
    </row>
    <row r="43" spans="1:5" x14ac:dyDescent="0.25">
      <c r="A43" t="s">
        <v>252</v>
      </c>
      <c r="B43" s="1">
        <f>MAX(0,B38-B37)</f>
        <v>30</v>
      </c>
      <c r="C43" t="s">
        <v>253</v>
      </c>
      <c r="D43" t="s">
        <v>84</v>
      </c>
      <c r="E43" t="s">
        <v>254</v>
      </c>
    </row>
    <row r="44" spans="1:5" x14ac:dyDescent="0.25">
      <c r="A44" t="s">
        <v>255</v>
      </c>
      <c r="B44" s="1">
        <f>B43*B2</f>
        <v>212.05750411731103</v>
      </c>
      <c r="C44" t="s">
        <v>256</v>
      </c>
      <c r="D44" t="s">
        <v>257</v>
      </c>
      <c r="E44" t="s">
        <v>179</v>
      </c>
    </row>
    <row r="45" spans="1:5" x14ac:dyDescent="0.25">
      <c r="A45" t="s">
        <v>258</v>
      </c>
      <c r="B45" s="1">
        <f>B44/B40/1000</f>
        <v>0.26507188014663874</v>
      </c>
      <c r="C45" t="s">
        <v>259</v>
      </c>
      <c r="D45" t="s">
        <v>260</v>
      </c>
      <c r="E45" t="s">
        <v>179</v>
      </c>
    </row>
    <row r="46" spans="1:5" x14ac:dyDescent="0.25">
      <c r="A46" t="s">
        <v>261</v>
      </c>
      <c r="B46" s="1">
        <f>B41/B40/1000</f>
        <v>0.48194999999999999</v>
      </c>
      <c r="C46" t="s">
        <v>182</v>
      </c>
      <c r="D46" t="s">
        <v>262</v>
      </c>
      <c r="E46" t="s">
        <v>179</v>
      </c>
    </row>
    <row r="47" spans="1:5" x14ac:dyDescent="0.25">
      <c r="A47" t="s">
        <v>263</v>
      </c>
      <c r="B47" s="1" t="str">
        <f>IF(B37&lt;80,"RENDAH",IF(B37&lt;100,"WASPADA","AMAN"))</f>
        <v>WASPADA</v>
      </c>
      <c r="C47" t="s">
        <v>176</v>
      </c>
      <c r="D47" t="s">
        <v>264</v>
      </c>
      <c r="E47" t="s">
        <v>179</v>
      </c>
    </row>
    <row r="48" spans="1:5" x14ac:dyDescent="0.25">
      <c r="A48" t="s">
        <v>102</v>
      </c>
      <c r="B48" s="1">
        <f>INPUT!B44</f>
        <v>5.5</v>
      </c>
      <c r="C48" t="s">
        <v>81</v>
      </c>
      <c r="D48" t="s">
        <v>73</v>
      </c>
      <c r="E48" t="s">
        <v>179</v>
      </c>
    </row>
    <row r="49" spans="1:5" x14ac:dyDescent="0.25">
      <c r="A49" t="s">
        <v>265</v>
      </c>
      <c r="B49" s="1">
        <f>INPUT!B39</f>
        <v>300</v>
      </c>
      <c r="C49" t="s">
        <v>90</v>
      </c>
      <c r="D49" t="s">
        <v>89</v>
      </c>
      <c r="E49" t="s">
        <v>179</v>
      </c>
    </row>
    <row r="50" spans="1:5" x14ac:dyDescent="0.25">
      <c r="A50" t="s">
        <v>92</v>
      </c>
      <c r="B50" s="1">
        <f>INPUT!B40</f>
        <v>0.06</v>
      </c>
      <c r="C50" t="s">
        <v>40</v>
      </c>
      <c r="D50" t="s">
        <v>266</v>
      </c>
      <c r="E50" t="s">
        <v>179</v>
      </c>
    </row>
    <row r="51" spans="1:5" x14ac:dyDescent="0.25">
      <c r="A51" t="s">
        <v>267</v>
      </c>
      <c r="B51" s="1">
        <f>INPUT!B41</f>
        <v>300</v>
      </c>
      <c r="C51" t="s">
        <v>94</v>
      </c>
      <c r="D51" t="s">
        <v>268</v>
      </c>
      <c r="E51" t="s">
        <v>179</v>
      </c>
    </row>
    <row r="52" spans="1:5" x14ac:dyDescent="0.25">
      <c r="A52" t="s">
        <v>96</v>
      </c>
      <c r="B52" s="1">
        <f>INPUT!B42</f>
        <v>0.3</v>
      </c>
      <c r="C52" t="s">
        <v>97</v>
      </c>
      <c r="D52" t="s">
        <v>269</v>
      </c>
      <c r="E52" t="s">
        <v>179</v>
      </c>
    </row>
    <row r="53" spans="1:5" x14ac:dyDescent="0.25">
      <c r="A53" t="s">
        <v>270</v>
      </c>
      <c r="B53" s="1">
        <f>INPUT!B43</f>
        <v>2.5</v>
      </c>
      <c r="C53" t="s">
        <v>227</v>
      </c>
      <c r="D53" t="s">
        <v>271</v>
      </c>
      <c r="E53" t="s">
        <v>179</v>
      </c>
    </row>
    <row r="54" spans="1:5" x14ac:dyDescent="0.25">
      <c r="A54" t="s">
        <v>272</v>
      </c>
      <c r="B54" s="1">
        <f>B49*0.0179*B50</f>
        <v>0.32219999999999999</v>
      </c>
      <c r="C54" t="s">
        <v>157</v>
      </c>
      <c r="D54" t="s">
        <v>158</v>
      </c>
      <c r="E54" t="s">
        <v>179</v>
      </c>
    </row>
    <row r="55" spans="1:5" x14ac:dyDescent="0.25">
      <c r="A55" t="s">
        <v>273</v>
      </c>
      <c r="B55" s="1">
        <f>B3*B52/1000</f>
        <v>0.03</v>
      </c>
      <c r="C55" t="s">
        <v>157</v>
      </c>
      <c r="D55" t="s">
        <v>274</v>
      </c>
      <c r="E55" t="s">
        <v>179</v>
      </c>
    </row>
    <row r="56" spans="1:5" x14ac:dyDescent="0.25">
      <c r="A56" t="s">
        <v>275</v>
      </c>
      <c r="B56" s="1">
        <f>B55*B53</f>
        <v>7.4999999999999997E-2</v>
      </c>
      <c r="C56" t="s">
        <v>157</v>
      </c>
      <c r="D56" t="s">
        <v>276</v>
      </c>
      <c r="E56" t="s">
        <v>179</v>
      </c>
    </row>
    <row r="57" spans="1:5" x14ac:dyDescent="0.25">
      <c r="A57" t="s">
        <v>277</v>
      </c>
      <c r="B57" s="1">
        <f>IFERROR(B54/B56,0)</f>
        <v>4.2960000000000003</v>
      </c>
      <c r="C57" t="s">
        <v>62</v>
      </c>
      <c r="D57" t="s">
        <v>278</v>
      </c>
      <c r="E57" t="s">
        <v>179</v>
      </c>
    </row>
    <row r="58" spans="1:5" x14ac:dyDescent="0.25">
      <c r="A58" t="s">
        <v>279</v>
      </c>
      <c r="B58" s="1">
        <f>(B54-B56)*1000/B2</f>
        <v>34.971646162059137</v>
      </c>
      <c r="C58" t="s">
        <v>280</v>
      </c>
      <c r="D58" t="s">
        <v>281</v>
      </c>
      <c r="E58" t="s">
        <v>179</v>
      </c>
    </row>
    <row r="59" spans="1:5" x14ac:dyDescent="0.25">
      <c r="A59" t="s">
        <v>282</v>
      </c>
      <c r="B59" s="1">
        <f>B48*B2/1000</f>
        <v>3.8877209088173693E-2</v>
      </c>
      <c r="C59" t="s">
        <v>283</v>
      </c>
      <c r="D59" t="s">
        <v>284</v>
      </c>
      <c r="E59" t="s">
        <v>179</v>
      </c>
    </row>
    <row r="60" spans="1:5" x14ac:dyDescent="0.25">
      <c r="A60" t="s">
        <v>285</v>
      </c>
      <c r="B60" s="1">
        <f>B51/1000*24</f>
        <v>7.1999999999999993</v>
      </c>
      <c r="C60" t="s">
        <v>286</v>
      </c>
      <c r="D60" t="s">
        <v>287</v>
      </c>
      <c r="E60" t="s">
        <v>179</v>
      </c>
    </row>
    <row r="61" spans="1:5" x14ac:dyDescent="0.25">
      <c r="A61" t="s">
        <v>288</v>
      </c>
      <c r="B61" s="1" t="str">
        <f>IF(B48&lt;4,"DARURAT",IF(B48&lt;5,"WASPADA","AMAN"))</f>
        <v>AMAN</v>
      </c>
      <c r="C61" t="s">
        <v>176</v>
      </c>
      <c r="D61" t="s">
        <v>289</v>
      </c>
      <c r="E61" t="s">
        <v>179</v>
      </c>
    </row>
    <row r="62" spans="1:5" x14ac:dyDescent="0.25">
      <c r="A62" t="s">
        <v>104</v>
      </c>
      <c r="B62" s="1">
        <f>INPUT!B45</f>
        <v>20</v>
      </c>
      <c r="C62" t="s">
        <v>106</v>
      </c>
      <c r="D62" t="s">
        <v>290</v>
      </c>
      <c r="E62" t="s">
        <v>179</v>
      </c>
    </row>
    <row r="63" spans="1:5" x14ac:dyDescent="0.25">
      <c r="A63" t="s">
        <v>291</v>
      </c>
      <c r="B63" s="1" t="str">
        <f>IF(B62&lt;5,"FLOK TIPIS",IF(B62&lt;=30,"FLOK AMAN",IF(B62&lt;=50,"FLOK TINGGI","FLOK BERLEBIH")))</f>
        <v>FLOK AMAN</v>
      </c>
      <c r="C63" t="s">
        <v>176</v>
      </c>
      <c r="D63" t="s">
        <v>292</v>
      </c>
      <c r="E63" t="s">
        <v>179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24BF2-CCFE-48F5-BF9E-656C4005EAB6}">
  <dimension ref="A1:D26"/>
  <sheetViews>
    <sheetView workbookViewId="0">
      <selection activeCell="B32" sqref="B32"/>
    </sheetView>
  </sheetViews>
  <sheetFormatPr defaultRowHeight="15" x14ac:dyDescent="0.25"/>
  <cols>
    <col min="1" max="1" width="23.140625" bestFit="1" customWidth="1"/>
    <col min="2" max="2" width="56.7109375" style="1" customWidth="1"/>
    <col min="3" max="3" width="10" bestFit="1" customWidth="1"/>
    <col min="4" max="4" width="18.7109375" bestFit="1" customWidth="1"/>
  </cols>
  <sheetData>
    <row r="1" spans="1:4" x14ac:dyDescent="0.25">
      <c r="A1" t="s">
        <v>0</v>
      </c>
      <c r="B1" s="1" t="s">
        <v>108</v>
      </c>
      <c r="C1" t="s">
        <v>2</v>
      </c>
      <c r="D1" t="s">
        <v>3</v>
      </c>
    </row>
    <row r="2" spans="1:4" x14ac:dyDescent="0.25">
      <c r="A2" t="s">
        <v>288</v>
      </c>
      <c r="B2" s="1" t="str">
        <f>OPERASI!B61</f>
        <v>AMAN</v>
      </c>
      <c r="C2" t="s">
        <v>176</v>
      </c>
      <c r="D2" t="s">
        <v>289</v>
      </c>
    </row>
    <row r="3" spans="1:4" x14ac:dyDescent="0.25">
      <c r="A3" t="s">
        <v>213</v>
      </c>
      <c r="B3" s="1" t="str">
        <f>OPERASI!B21</f>
        <v>C/N RENDAH</v>
      </c>
      <c r="C3" t="s">
        <v>176</v>
      </c>
      <c r="D3" t="s">
        <v>214</v>
      </c>
    </row>
    <row r="4" spans="1:4" x14ac:dyDescent="0.25">
      <c r="A4" t="s">
        <v>223</v>
      </c>
      <c r="B4" s="1" t="str">
        <f>OPERASI!B28</f>
        <v>AMAN</v>
      </c>
      <c r="C4" t="s">
        <v>176</v>
      </c>
      <c r="D4" t="s">
        <v>224</v>
      </c>
    </row>
    <row r="5" spans="1:4" x14ac:dyDescent="0.25">
      <c r="A5" t="s">
        <v>293</v>
      </c>
      <c r="B5" s="1" t="str">
        <f>OPERASI!B36</f>
        <v>WASPADA NITRIT</v>
      </c>
      <c r="C5" t="s">
        <v>176</v>
      </c>
      <c r="D5" t="s">
        <v>240</v>
      </c>
    </row>
    <row r="6" spans="1:4" x14ac:dyDescent="0.25">
      <c r="A6" t="s">
        <v>294</v>
      </c>
      <c r="B6" s="1" t="str">
        <f>OPERASI!B47</f>
        <v>WASPADA</v>
      </c>
      <c r="C6" t="s">
        <v>176</v>
      </c>
      <c r="D6" t="s">
        <v>264</v>
      </c>
    </row>
    <row r="7" spans="1:4" x14ac:dyDescent="0.25">
      <c r="A7" t="s">
        <v>295</v>
      </c>
      <c r="B7" s="1" t="str">
        <f>OPERASI!B63</f>
        <v>FLOK AMAN</v>
      </c>
      <c r="C7" t="s">
        <v>176</v>
      </c>
      <c r="D7" t="s">
        <v>292</v>
      </c>
    </row>
    <row r="8" spans="1:4" x14ac:dyDescent="0.25">
      <c r="A8" t="s">
        <v>296</v>
      </c>
      <c r="B8" s="1" t="str">
        <f>IF(OR(B2="DARURAT",B4="BAHAYA NH3"),"DARURAT",IF(OR(B2="WASPADA",B3&lt;&gt;"C/N AMAN",B5&lt;&gt;"AMAN",B6&lt;&gt;"AMAN",B7="FLOK BERLEBIH"),"WASPADA","AMAN"))</f>
        <v>WASPADA</v>
      </c>
      <c r="C8" t="s">
        <v>176</v>
      </c>
      <c r="D8" t="s">
        <v>297</v>
      </c>
    </row>
    <row r="9" spans="1:4" x14ac:dyDescent="0.25">
      <c r="A9" t="s">
        <v>298</v>
      </c>
      <c r="B9" s="1" t="str">
        <f>IF(OPERASI!B48&lt;4,"DARURAT: tambah aerasi, hentikan molase, kurangi pakan",IF(OPERASI!B48&lt;5,"WASPADA: tambah aerasi dan cek diffuser","DO aman"))</f>
        <v>DO aman</v>
      </c>
      <c r="C9" t="s">
        <v>299</v>
      </c>
      <c r="D9" t="s">
        <v>300</v>
      </c>
    </row>
    <row r="10" spans="1:4" x14ac:dyDescent="0.25">
      <c r="A10" t="s">
        <v>301</v>
      </c>
      <c r="B10" s="1" t="str">
        <f>IF(OPERASI!B17&lt;12,"C/N rendah: molase boleh dipertimbangkan jika DO aman",IF(OPERASI!B17&gt;20,"C/N tinggi: hentikan molase dan cek busa/flok","C/N aman"))</f>
        <v>C/N rendah: molase boleh dipertimbangkan jika DO aman</v>
      </c>
      <c r="C10" t="s">
        <v>299</v>
      </c>
      <c r="D10" t="s">
        <v>302</v>
      </c>
    </row>
    <row r="11" spans="1:4" x14ac:dyDescent="0.25">
      <c r="A11" t="s">
        <v>303</v>
      </c>
      <c r="B11" s="1" t="str">
        <f>IF(OPERASI!B27&gt;=0.05,"Bahaya NH3: jangan naikkan pH, kurangi pakan, tambah aerasi",IF(OPERASI!B27&gt;=0.02,"Waspada NH3: pantau pH dan TAN","NH3 aman"))</f>
        <v>NH3 aman</v>
      </c>
      <c r="C11" t="s">
        <v>299</v>
      </c>
      <c r="D11" t="s">
        <v>304</v>
      </c>
    </row>
    <row r="12" spans="1:4" x14ac:dyDescent="0.25">
      <c r="A12" t="s">
        <v>305</v>
      </c>
      <c r="B12" s="1" t="str">
        <f>IF(OPERASI!B29&gt;=1,"Nitrit tinggi: cek Cl-, tambah garam sesuai hitungan",IF(OPERASI!B29&gt;=0.5,"Nitrit mulai naik: tambah aerasi dan pantau Cl-","Nitrit aman"))</f>
        <v>Nitrit tinggi: cek Cl-, tambah garam sesuai hitungan</v>
      </c>
      <c r="C12" t="s">
        <v>299</v>
      </c>
      <c r="D12" t="s">
        <v>306</v>
      </c>
    </row>
    <row r="13" spans="1:4" x14ac:dyDescent="0.25">
      <c r="A13" t="s">
        <v>307</v>
      </c>
      <c r="B13" s="1" t="str">
        <f>IF(OPERASI!B37&lt;80,"Alkalinitas rendah: koreksi dolomit/NaHCO3 bertahap",IF(OPERASI!B37&lt;100,"Waspada alkalinitas: pantau pH pagi","Alkalinitas aman"))</f>
        <v>Waspada alkalinitas: pantau pH pagi</v>
      </c>
      <c r="C13" t="s">
        <v>299</v>
      </c>
      <c r="D13" t="s">
        <v>308</v>
      </c>
    </row>
    <row r="14" spans="1:4" x14ac:dyDescent="0.25">
      <c r="A14" t="s">
        <v>309</v>
      </c>
      <c r="B14" s="1" t="str">
        <f>IF(OPERASI!B62&gt;50,"Flok berlebih: buang flok/lumpur, stop molase",IF(OPERASI!B62&gt;30,"Flok tinggi: pantau DO dan TSS","Flok aman"))</f>
        <v>Flok aman</v>
      </c>
      <c r="C14" t="s">
        <v>299</v>
      </c>
      <c r="D14" t="s">
        <v>310</v>
      </c>
    </row>
    <row r="15" spans="1:4" x14ac:dyDescent="0.25">
      <c r="A15" t="s">
        <v>16</v>
      </c>
      <c r="B15" s="1">
        <f>OPERASI!B2</f>
        <v>7.0685834705770345</v>
      </c>
      <c r="C15" t="s">
        <v>17</v>
      </c>
      <c r="D15" t="s">
        <v>311</v>
      </c>
    </row>
    <row r="16" spans="1:4" x14ac:dyDescent="0.25">
      <c r="A16" t="s">
        <v>181</v>
      </c>
      <c r="B16" s="1">
        <f>OPERASI!B5</f>
        <v>3</v>
      </c>
      <c r="C16" t="s">
        <v>182</v>
      </c>
      <c r="D16" t="s">
        <v>311</v>
      </c>
    </row>
    <row r="17" spans="1:4" x14ac:dyDescent="0.25">
      <c r="A17" t="s">
        <v>312</v>
      </c>
      <c r="B17" s="1">
        <f>OPERASI!B8</f>
        <v>108</v>
      </c>
      <c r="C17" t="s">
        <v>186</v>
      </c>
      <c r="D17" t="s">
        <v>311</v>
      </c>
    </row>
    <row r="18" spans="1:4" x14ac:dyDescent="0.25">
      <c r="A18" t="s">
        <v>204</v>
      </c>
      <c r="B18" s="1">
        <f>OPERASI!B17</f>
        <v>4.2222222222222223</v>
      </c>
      <c r="C18" t="s">
        <v>62</v>
      </c>
      <c r="D18" t="s">
        <v>311</v>
      </c>
    </row>
    <row r="19" spans="1:4" x14ac:dyDescent="0.25">
      <c r="A19" t="s">
        <v>313</v>
      </c>
      <c r="B19" s="1">
        <f>OPERASI!B20</f>
        <v>2463.4920634920636</v>
      </c>
      <c r="C19" t="s">
        <v>65</v>
      </c>
      <c r="D19" t="s">
        <v>311</v>
      </c>
    </row>
    <row r="20" spans="1:4" x14ac:dyDescent="0.25">
      <c r="A20" t="s">
        <v>220</v>
      </c>
      <c r="B20" s="1">
        <f>OPERASI!B27</f>
        <v>1.3766249409831236E-2</v>
      </c>
      <c r="C20" t="s">
        <v>81</v>
      </c>
      <c r="D20" t="s">
        <v>311</v>
      </c>
    </row>
    <row r="21" spans="1:4" x14ac:dyDescent="0.25">
      <c r="A21" t="s">
        <v>314</v>
      </c>
      <c r="B21" s="1">
        <f>OPERASI!B35</f>
        <v>0</v>
      </c>
      <c r="C21" t="s">
        <v>49</v>
      </c>
      <c r="D21" t="s">
        <v>311</v>
      </c>
    </row>
    <row r="22" spans="1:4" x14ac:dyDescent="0.25">
      <c r="A22" t="s">
        <v>258</v>
      </c>
      <c r="B22" s="1">
        <f>OPERASI!B45</f>
        <v>0.26507188014663874</v>
      </c>
      <c r="C22" t="s">
        <v>49</v>
      </c>
      <c r="D22" t="s">
        <v>311</v>
      </c>
    </row>
    <row r="23" spans="1:4" x14ac:dyDescent="0.25">
      <c r="A23" t="s">
        <v>272</v>
      </c>
      <c r="B23" s="1">
        <f>OPERASI!B54</f>
        <v>0.32219999999999999</v>
      </c>
      <c r="C23" t="s">
        <v>157</v>
      </c>
      <c r="D23" t="s">
        <v>311</v>
      </c>
    </row>
    <row r="24" spans="1:4" x14ac:dyDescent="0.25">
      <c r="A24" t="s">
        <v>315</v>
      </c>
      <c r="B24" s="1">
        <f>OPERASI!B56</f>
        <v>7.4999999999999997E-2</v>
      </c>
      <c r="C24" t="s">
        <v>157</v>
      </c>
      <c r="D24" t="s">
        <v>311</v>
      </c>
    </row>
    <row r="25" spans="1:4" x14ac:dyDescent="0.25">
      <c r="A25" t="s">
        <v>277</v>
      </c>
      <c r="B25" s="1">
        <f>OPERASI!B57</f>
        <v>4.2960000000000003</v>
      </c>
      <c r="C25" t="s">
        <v>62</v>
      </c>
      <c r="D25" t="s">
        <v>311</v>
      </c>
    </row>
    <row r="26" spans="1:4" x14ac:dyDescent="0.25">
      <c r="A26" t="s">
        <v>279</v>
      </c>
      <c r="B26" s="1">
        <f>OPERASI!B58</f>
        <v>34.971646162059137</v>
      </c>
      <c r="C26" t="s">
        <v>280</v>
      </c>
      <c r="D26" t="s">
        <v>311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6829C-7435-426F-8CE0-FB0C961C122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E49013B-6F02-40A4-A060-A02178DB3E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</vt:lpstr>
      <vt:lpstr>PERSIAPAN</vt:lpstr>
      <vt:lpstr>OPERASI</vt:lpstr>
      <vt:lpstr>DASHBOARD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Slamet slamet</dc:creator>
  <cp:lastModifiedBy>Slamet slamet</cp:lastModifiedBy>
  <dcterms:created xsi:type="dcterms:W3CDTF">2026-05-15T05:54:53Z</dcterms:created>
  <dcterms:modified xsi:type="dcterms:W3CDTF">2026-05-15T09:42:05Z</dcterms:modified>
</cp:coreProperties>
</file>