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Projects\kawruhnology\docs\"/>
    </mc:Choice>
  </mc:AlternateContent>
  <xr:revisionPtr revIDLastSave="0" documentId="13_ncr:1_{81DAE4B8-D259-4AA2-B68A-0DD4AEAEAD5C}" xr6:coauthVersionLast="47" xr6:coauthVersionMax="47" xr10:uidLastSave="{00000000-0000-0000-0000-000000000000}"/>
  <bookViews>
    <workbookView xWindow="390" yWindow="0" windowWidth="17835" windowHeight="15600" firstSheet="1" activeTab="4" xr2:uid="{CE7CF335-9C84-4CAE-BCEE-367D7DF45986}"/>
  </bookViews>
  <sheets>
    <sheet name="INPUT_GLOBAL" sheetId="2" r:id="rId1"/>
    <sheet name="LOOKUP_FASE" sheetId="3" r:id="rId2"/>
    <sheet name="SIMULASI_HARIAN" sheetId="4" r:id="rId3"/>
    <sheet name="RINGKASAN" sheetId="5" r:id="rId4"/>
    <sheet name="REFERENSI_ASUMSI" sheetId="6" r:id="rId5"/>
    <sheet name="Sheet1" sheetId="1" r:id="rId6"/>
  </sheets>
  <definedNames>
    <definedName name="ExternalData_1" localSheetId="0" hidden="1">INPUT_GLOBAL!$A$1:$D$15</definedName>
    <definedName name="ExternalData_2" localSheetId="1" hidden="1">LOOKUP_FASE!$A$1:$N$7</definedName>
    <definedName name="ExternalData_3" localSheetId="2" hidden="1">SIMULASI_HARIAN!$A$1:$AF$3</definedName>
    <definedName name="ExternalData_4" localSheetId="4" hidden="1">'REFERENSI_ASUMSI'!$A$1:$D$7</definedName>
    <definedName name="ExternalData_4" localSheetId="3" hidden="1">'RINGKASAN'!$A$1:$D$16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5" l="1"/>
  <c r="B15" i="5" s="1"/>
  <c r="B11" i="5"/>
  <c r="B10" i="5"/>
  <c r="B9" i="5"/>
  <c r="B8" i="5"/>
  <c r="B12" i="5" s="1"/>
  <c r="B7" i="5"/>
  <c r="B14" i="5" s="1"/>
  <c r="B6" i="5"/>
  <c r="B5" i="5"/>
  <c r="B16" i="5" s="1"/>
  <c r="B4" i="5"/>
  <c r="B3" i="5"/>
  <c r="B2" i="5"/>
  <c r="X3" i="4"/>
  <c r="S3" i="4"/>
  <c r="Q3" i="4"/>
  <c r="R3" i="4" s="1"/>
  <c r="J3" i="4"/>
  <c r="K3" i="4" s="1"/>
  <c r="I3" i="4"/>
  <c r="A3" i="4"/>
  <c r="X2" i="4"/>
  <c r="S2" i="4"/>
  <c r="R2" i="4"/>
  <c r="Q2" i="4"/>
  <c r="K2" i="4"/>
  <c r="J2" i="4"/>
  <c r="I2" i="4"/>
  <c r="C2" i="4"/>
  <c r="M2" i="4" s="1"/>
  <c r="B2" i="4"/>
  <c r="D2" i="4" s="1"/>
  <c r="H2" i="4" l="1"/>
  <c r="F2" i="4"/>
  <c r="G2" i="4" s="1"/>
  <c r="O2" i="4" s="1"/>
  <c r="P2" i="4"/>
  <c r="Y2" i="4"/>
  <c r="L2" i="4"/>
  <c r="N2" i="4" s="1"/>
  <c r="E2" i="4"/>
  <c r="T2" i="4" l="1"/>
  <c r="U2" i="4" s="1"/>
  <c r="V2" i="4" s="1"/>
  <c r="W2" i="4" s="1"/>
  <c r="AA2" i="4"/>
  <c r="B3" i="4"/>
  <c r="C3" i="4" l="1"/>
  <c r="AE2" i="4"/>
  <c r="AD2" i="4"/>
  <c r="Z2" i="4"/>
  <c r="AB2" i="4" s="1"/>
  <c r="AC2" i="4" s="1"/>
  <c r="Y3" i="4"/>
  <c r="F3" i="4" l="1"/>
  <c r="G3" i="4" s="1"/>
  <c r="O3" i="4" s="1"/>
  <c r="M3" i="4"/>
  <c r="E3" i="4"/>
  <c r="L3" i="4"/>
  <c r="N3" i="4" s="1"/>
  <c r="P3" i="4"/>
  <c r="D3" i="4"/>
  <c r="H3" i="4" s="1"/>
  <c r="AA3" i="4" l="1"/>
  <c r="T3" i="4"/>
  <c r="U3" i="4" s="1"/>
  <c r="V3" i="4" s="1"/>
  <c r="W3" i="4" s="1"/>
  <c r="AE3" i="4" l="1"/>
  <c r="AD3" i="4"/>
  <c r="Z3" i="4"/>
  <c r="AB3" i="4" s="1"/>
  <c r="AC3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B7F6B3-6316-40CC-9ADE-47E197EC7876}" keepAlive="1" name="Query - INPUT_GLOBAL" description="Connection to the 'INPUT_GLOBAL' query in the workbook." type="5" refreshedVersion="8" background="1" saveData="1">
    <dbPr connection="Provider=Microsoft.Mashup.OleDb.1;Data Source=$Workbook$;Location=INPUT_GLOBAL;Extended Properties=&quot;&quot;" command="SELECT * FROM [INPUT_GLOBAL]"/>
  </connection>
  <connection id="2" xr16:uid="{CB6D1C00-5CAF-4F53-A184-5E51248EBE0C}" keepAlive="1" name="Query - LOOKUP_FASE" description="Connection to the 'LOOKUP_FASE' query in the workbook." type="5" refreshedVersion="8" background="1" saveData="1">
    <dbPr connection="Provider=Microsoft.Mashup.OleDb.1;Data Source=$Workbook$;Location=LOOKUP_FASE;Extended Properties=&quot;&quot;" command="SELECT * FROM [LOOKUP_FASE]"/>
  </connection>
  <connection id="3" xr16:uid="{31B63FDA-7C5B-4B4D-B3A2-75885FF6DA12}" keepAlive="1" name="Query - REFERENSI_ASUMSI" description="Connection to the 'REFERENSI_ASUMSI' query in the workbook." type="5" refreshedVersion="8" background="1" saveData="1">
    <dbPr connection="Provider=Microsoft.Mashup.OleDb.1;Data Source=$Workbook$;Location=REFERENSI_ASUMSI;Extended Properties=&quot;&quot;" command="SELECT * FROM [REFERENSI_ASUMSI]"/>
  </connection>
  <connection id="4" xr16:uid="{43942B30-2EB5-431F-A265-1947A95419DF}" keepAlive="1" name="Query - RINGKASAN" description="Connection to the 'RINGKASAN' query in the workbook." type="5" refreshedVersion="8" background="1" saveData="1">
    <dbPr connection="Provider=Microsoft.Mashup.OleDb.1;Data Source=$Workbook$;Location=RINGKASAN;Extended Properties=&quot;&quot;" command="SELECT * FROM [RINGKASAN]"/>
  </connection>
  <connection id="5" xr16:uid="{08B6FF4E-4850-4E6D-8655-3F6E4B393D70}" keepAlive="1" name="Query - SIMULASI_HARIAN" description="Connection to the 'SIMULASI_HARIAN' query in the workbook." type="5" refreshedVersion="8" background="1" saveData="1">
    <dbPr connection="Provider=Microsoft.Mashup.OleDb.1;Data Source=$Workbook$;Location=SIMULASI_HARIAN;Extended Properties=&quot;&quot;" command="SELECT * FROM [SIMULASI_HARIAN]"/>
  </connection>
</connections>
</file>

<file path=xl/sharedStrings.xml><?xml version="1.0" encoding="utf-8"?>
<sst xmlns="http://schemas.openxmlformats.org/spreadsheetml/2006/main" count="190" uniqueCount="157">
  <si>
    <t>Parameter</t>
  </si>
  <si>
    <t>Nilai</t>
  </si>
  <si>
    <t>Satuan</t>
  </si>
  <si>
    <t>Catatan</t>
  </si>
  <si>
    <t>Jumlah_Ikan_Awal</t>
  </si>
  <si>
    <t>ekor</t>
  </si>
  <si>
    <t>Jumlah benih hidup awal tebar</t>
  </si>
  <si>
    <t>Bobot_Awal_g</t>
  </si>
  <si>
    <t>g/ekor</t>
  </si>
  <si>
    <t>Bobot rata-rata awal simulasi</t>
  </si>
  <si>
    <t>Mortalitas_Harian</t>
  </si>
  <si>
    <t>fraksi/hari</t>
  </si>
  <si>
    <t>Default 0,03% per hari, ubah sesuai aktual</t>
  </si>
  <si>
    <t>CP_Default_percent</t>
  </si>
  <si>
    <t>%</t>
  </si>
  <si>
    <t>Protein kasar pakan</t>
  </si>
  <si>
    <t>DE_Default_kcal_per_kg</t>
  </si>
  <si>
    <t>kcal/kg</t>
  </si>
  <si>
    <t>Digestible energy pakan</t>
  </si>
  <si>
    <t>BFT_Credit</t>
  </si>
  <si>
    <t>fraksi</t>
  </si>
  <si>
    <t>Kontribusi bioflok konservatif 0-0,15</t>
  </si>
  <si>
    <t>WQ_Factor</t>
  </si>
  <si>
    <t>factor</t>
  </si>
  <si>
    <t>1 = kualitas air baik, &gt;1 jika kualitas air memburuk</t>
  </si>
  <si>
    <t>Beta_EP</t>
  </si>
  <si>
    <t>koefisien</t>
  </si>
  <si>
    <t>Sensitivitas FCR terhadap E/P ratio</t>
  </si>
  <si>
    <t>Beta_FR</t>
  </si>
  <si>
    <t>Sensitivitas FCR terhadap overfeeding</t>
  </si>
  <si>
    <t>Feeding_Rate_Factor</t>
  </si>
  <si>
    <t>1 = pakai FR_Max fase, 0,9 lebih konservatif</t>
  </si>
  <si>
    <t>Target_Bobot_Panen_g</t>
  </si>
  <si>
    <t>Target bobot panen</t>
  </si>
  <si>
    <t>Harga_Pakan_Rp_per_kg</t>
  </si>
  <si>
    <t>Rp/kg</t>
  </si>
  <si>
    <t>Opsional untuk estimasi biaya</t>
  </si>
  <si>
    <t>Harga_Jual_Rp_per_kg</t>
  </si>
  <si>
    <t>Opsional untuk estimasi revenue</t>
  </si>
  <si>
    <t>Harga_Benih_Rp_per_ekor</t>
  </si>
  <si>
    <t>Rp/ekor</t>
  </si>
  <si>
    <t>Opsional untuk estimasi biaya benih</t>
  </si>
  <si>
    <t>Bobot_Min_g</t>
  </si>
  <si>
    <t>Bobot_Max_g</t>
  </si>
  <si>
    <t>FR_Min</t>
  </si>
  <si>
    <t>FR_Max</t>
  </si>
  <si>
    <t>CP_Min</t>
  </si>
  <si>
    <t>CP_Max</t>
  </si>
  <si>
    <t>DE_Min</t>
  </si>
  <si>
    <t>DE_Max</t>
  </si>
  <si>
    <t>EP_Low</t>
  </si>
  <si>
    <t>EP_High</t>
  </si>
  <si>
    <t>FCR_Base</t>
  </si>
  <si>
    <t>Frekuensi</t>
  </si>
  <si>
    <t>Pelet_mm</t>
  </si>
  <si>
    <t>4-5</t>
  </si>
  <si>
    <t>crumble</t>
  </si>
  <si>
    <t>Benih kecil</t>
  </si>
  <si>
    <t>4</t>
  </si>
  <si>
    <t>1</t>
  </si>
  <si>
    <t>Benih besar</t>
  </si>
  <si>
    <t>3-4</t>
  </si>
  <si>
    <t>1-2</t>
  </si>
  <si>
    <t>Juvenile awal</t>
  </si>
  <si>
    <t>3</t>
  </si>
  <si>
    <t>2</t>
  </si>
  <si>
    <t>Juvenile/grower</t>
  </si>
  <si>
    <t>2-3</t>
  </si>
  <si>
    <t>Grower</t>
  </si>
  <si>
    <t>Finisher</t>
  </si>
  <si>
    <t>Hari</t>
  </si>
  <si>
    <t>Jumlah_Ikan_Hidup</t>
  </si>
  <si>
    <t>Bobot_Avg_g</t>
  </si>
  <si>
    <t>Biomassa_Awal_Hari_kg</t>
  </si>
  <si>
    <t>Feeding_Rate</t>
  </si>
  <si>
    <t>Pakan_kg_hari</t>
  </si>
  <si>
    <t>CP_percent</t>
  </si>
  <si>
    <t>DE_kcal_kg</t>
  </si>
  <si>
    <t>EP_kcal_per_g</t>
  </si>
  <si>
    <t>EP_Factor</t>
  </si>
  <si>
    <t>FR_Factor</t>
  </si>
  <si>
    <t>BFT_Factor</t>
  </si>
  <si>
    <t>FCR_Effective</t>
  </si>
  <si>
    <t>Gain_kg_hari</t>
  </si>
  <si>
    <t>ADG_g_per_ekor</t>
  </si>
  <si>
    <t>Bobot_Akhir_Hari_g</t>
  </si>
  <si>
    <t>Jumlah_Ikan_Akhir_Hari</t>
  </si>
  <si>
    <t>Biomassa_Akhir_Hari_kg</t>
  </si>
  <si>
    <t>Cum_Feed_kg</t>
  </si>
  <si>
    <t>Cum_Gain_kg</t>
  </si>
  <si>
    <t>FCR_Kumulatif</t>
  </si>
  <si>
    <t>SGR_percent_per_day</t>
  </si>
  <si>
    <t>Status_Panen</t>
  </si>
  <si>
    <t>0</t>
  </si>
  <si>
    <t>Hari awal simulasi</t>
  </si>
  <si>
    <t>Copy baris ini ke bawah sampai target panen</t>
  </si>
  <si>
    <t>Indikator</t>
  </si>
  <si>
    <t>Jumlah ikan awal</t>
  </si>
  <si>
    <t>Input awal</t>
  </si>
  <si>
    <t>Bobot awal</t>
  </si>
  <si>
    <t>Input target</t>
  </si>
  <si>
    <t>Hari terakhir simulasi</t>
  </si>
  <si>
    <t>hari</t>
  </si>
  <si>
    <t>Berdasarkan baris terakhir yang terisi</t>
  </si>
  <si>
    <t>Bobot akhir simulasi</t>
  </si>
  <si>
    <t>Bobot akhir hari</t>
  </si>
  <si>
    <t>Jumlah ikan akhir</t>
  </si>
  <si>
    <t>Setelah mortalitas</t>
  </si>
  <si>
    <t>Biomassa akhir</t>
  </si>
  <si>
    <t>kg</t>
  </si>
  <si>
    <t>Biomassa akhir hari</t>
  </si>
  <si>
    <t>Total pakan</t>
  </si>
  <si>
    <t>Kumulatif pakan</t>
  </si>
  <si>
    <t>Total gain biomassa</t>
  </si>
  <si>
    <t>Gain biomassa kumulatif</t>
  </si>
  <si>
    <t>FCR kumulatif</t>
  </si>
  <si>
    <t>kg pakan/kg gain</t>
  </si>
  <si>
    <t>Indikator efisiensi utama</t>
  </si>
  <si>
    <t>Biaya pakan</t>
  </si>
  <si>
    <t>Rp</t>
  </si>
  <si>
    <t>Total pakan x harga pakan</t>
  </si>
  <si>
    <t>Biaya benih</t>
  </si>
  <si>
    <t>Jumlah awal x harga benih</t>
  </si>
  <si>
    <t>Estimasi revenue</t>
  </si>
  <si>
    <t>Biomassa akhir x harga jual</t>
  </si>
  <si>
    <t>Margin kasar sebelum listrik dan alat</t>
  </si>
  <si>
    <t>Belum termasuk listrik, alat, tenaga kerja</t>
  </si>
  <si>
    <t>Status akhir</t>
  </si>
  <si>
    <t>teks</t>
  </si>
  <si>
    <t>Cek target bobot</t>
  </si>
  <si>
    <t>Topik</t>
  </si>
  <si>
    <t>Asumsi</t>
  </si>
  <si>
    <t>Rujukan</t>
  </si>
  <si>
    <t>Feeding rate nila intensif</t>
  </si>
  <si>
    <t>FR turun seiring ukuran ikan, 1-5 g sekitar 10-6%, 5-20 g 6-4%, 20-100 g 4-3%, 100-250 g 3-2%, &gt;250 g 2-1,5%</t>
  </si>
  <si>
    <t>FAO AFFRIS Tilapia Feeding Table</t>
  </si>
  <si>
    <t>Dipakai sebagai basis LOOKUP_FASE</t>
  </si>
  <si>
    <t>Kebutuhan protein nila</t>
  </si>
  <si>
    <t>Fingerling lebih tinggi, juvenile 30-35%, adult sekitar 28-32%</t>
  </si>
  <si>
    <t>FAO Tilapia Nutrition</t>
  </si>
  <si>
    <t>Dipakai sebagai basis CP per fase</t>
  </si>
  <si>
    <t>E/P atau P/E ratio</t>
  </si>
  <si>
    <t>P:E optimal tilapia sekitar 18-23 g protein/MJ energi, ekuivalen kasar E:P sekitar 10,4-13,3 kcal/g protein</t>
  </si>
  <si>
    <t>Literatur nutrisi tilapia</t>
  </si>
  <si>
    <t>Dipakai sebagai rentang efisiensi energi-protein</t>
  </si>
  <si>
    <t>Bioflok credit</t>
  </si>
  <si>
    <t>Bioflok dapat menjadi pakan tambahan, tetapi kontribusi aktual perlu dibuktikan</t>
  </si>
  <si>
    <t>KKP Panduan Bioflok</t>
  </si>
  <si>
    <t>Model default konservatif 5%</t>
  </si>
  <si>
    <t>FCR base</t>
  </si>
  <si>
    <t>Nilai awal semi-empiris, bukan angka pasti</t>
  </si>
  <si>
    <t>Harus dikalibrasi pilot</t>
  </si>
  <si>
    <t>Gunakan VALIDASI_PILOT</t>
  </si>
  <si>
    <t>WQ factor</t>
  </si>
  <si>
    <t>1 jika air baik, &gt;1 jika DO/TAN/nitrit buruk</t>
  </si>
  <si>
    <t>SOP kualitas air</t>
  </si>
  <si>
    <t>Dipakai sebagai penalti FCR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</si>
</sst>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49C9F5-E8EA-4FEE-A95D-B8F413D47D54}" autoFormatId="16" applyNumberFormats="0" applyBorderFormats="0" applyFontFormats="0" applyPatternFormats="0" applyAlignmentFormats="0" applyWidthHeightFormats="0">
  <queryTableRefresh nextId="5">
    <queryTableFields count="4">
      <queryTableField id="1" name="Parameter" tableColumnId="1"/>
      <queryTableField id="2" name="Nilai" tableColumnId="2"/>
      <queryTableField id="3" name="Satuan" tableColumnId="3"/>
      <queryTableField id="4" name="Catata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D9E277A-3DA1-4B4D-AB06-145D9F36A6F2}" autoFormatId="16" applyNumberFormats="0" applyBorderFormats="0" applyFontFormats="0" applyPatternFormats="0" applyAlignmentFormats="0" applyWidthHeightFormats="0">
  <queryTableRefresh nextId="15">
    <queryTableFields count="14">
      <queryTableField id="1" name="Bobot_Min_g" tableColumnId="1"/>
      <queryTableField id="2" name="Bobot_Max_g" tableColumnId="2"/>
      <queryTableField id="3" name="FR_Min" tableColumnId="3"/>
      <queryTableField id="4" name="FR_Max" tableColumnId="4"/>
      <queryTableField id="5" name="CP_Min" tableColumnId="5"/>
      <queryTableField id="6" name="CP_Max" tableColumnId="6"/>
      <queryTableField id="7" name="DE_Min" tableColumnId="7"/>
      <queryTableField id="8" name="DE_Max" tableColumnId="8"/>
      <queryTableField id="9" name="EP_Low" tableColumnId="9"/>
      <queryTableField id="10" name="EP_High" tableColumnId="10"/>
      <queryTableField id="11" name="FCR_Base" tableColumnId="11"/>
      <queryTableField id="12" name="Frekuensi" tableColumnId="12"/>
      <queryTableField id="13" name="Pelet_mm" tableColumnId="13"/>
      <queryTableField id="14" name="Catatan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6E6FC11F-E93C-4CFA-995E-12B101A1CE58}" autoFormatId="16" applyNumberFormats="0" applyBorderFormats="0" applyFontFormats="0" applyPatternFormats="0" applyAlignmentFormats="0" applyWidthHeightFormats="0">
  <queryTableRefresh nextId="33">
    <queryTableFields count="32">
      <queryTableField id="1" name="Hari" tableColumnId="1"/>
      <queryTableField id="2" name="Jumlah_Ikan_Hidup" tableColumnId="2"/>
      <queryTableField id="3" name="Bobot_Avg_g" tableColumnId="3"/>
      <queryTableField id="4" name="Biomassa_Awal_Hari_kg" tableColumnId="4"/>
      <queryTableField id="5" name="FR_Min" tableColumnId="5"/>
      <queryTableField id="6" name="FR_Max" tableColumnId="6"/>
      <queryTableField id="7" name="Feeding_Rate" tableColumnId="7"/>
      <queryTableField id="8" name="Pakan_kg_hari" tableColumnId="8"/>
      <queryTableField id="9" name="CP_percent" tableColumnId="9"/>
      <queryTableField id="10" name="DE_kcal_kg" tableColumnId="10"/>
      <queryTableField id="11" name="EP_kcal_per_g" tableColumnId="11"/>
      <queryTableField id="12" name="EP_Low" tableColumnId="12"/>
      <queryTableField id="13" name="EP_High" tableColumnId="13"/>
      <queryTableField id="14" name="EP_Factor" tableColumnId="14"/>
      <queryTableField id="15" name="FR_Factor" tableColumnId="15"/>
      <queryTableField id="16" name="FCR_Base" tableColumnId="16"/>
      <queryTableField id="17" name="BFT_Credit" tableColumnId="17"/>
      <queryTableField id="18" name="BFT_Factor" tableColumnId="18"/>
      <queryTableField id="19" name="WQ_Factor" tableColumnId="19"/>
      <queryTableField id="20" name="FCR_Effective" tableColumnId="20"/>
      <queryTableField id="21" name="Gain_kg_hari" tableColumnId="21"/>
      <queryTableField id="22" name="ADG_g_per_ekor" tableColumnId="22"/>
      <queryTableField id="23" name="Bobot_Akhir_Hari_g" tableColumnId="23"/>
      <queryTableField id="24" name="Mortalitas_Harian" tableColumnId="24"/>
      <queryTableField id="25" name="Jumlah_Ikan_Akhir_Hari" tableColumnId="25"/>
      <queryTableField id="26" name="Biomassa_Akhir_Hari_kg" tableColumnId="26"/>
      <queryTableField id="27" name="Cum_Feed_kg" tableColumnId="27"/>
      <queryTableField id="28" name="Cum_Gain_kg" tableColumnId="28"/>
      <queryTableField id="29" name="FCR_Kumulatif" tableColumnId="29"/>
      <queryTableField id="30" name="SGR_percent_per_day" tableColumnId="30"/>
      <queryTableField id="31" name="Status_Panen" tableColumnId="31"/>
      <queryTableField id="32" name="Catatan" tableColumnId="3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261D3745-E3C3-4708-B17D-8F8ABE4658DD}" autoFormatId="16" applyNumberFormats="0" applyBorderFormats="0" applyFontFormats="0" applyPatternFormats="0" applyAlignmentFormats="0" applyWidthHeightFormats="0">
  <queryTableRefresh nextId="5">
    <queryTableFields count="4">
      <queryTableField id="1" name="Indikator" tableColumnId="1"/>
      <queryTableField id="2" name="Nilai" tableColumnId="2"/>
      <queryTableField id="3" name="Satuan" tableColumnId="3"/>
      <queryTableField id="4" name="Catatan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AD5FB69F-B163-4009-AD58-6CCD380E7B0C}" autoFormatId="16" applyNumberFormats="0" applyBorderFormats="0" applyFontFormats="0" applyPatternFormats="0" applyAlignmentFormats="0" applyWidthHeightFormats="0">
  <queryTableRefresh nextId="5">
    <queryTableFields count="4">
      <queryTableField id="1" name="Topik" tableColumnId="1"/>
      <queryTableField id="2" name="Asumsi" tableColumnId="2"/>
      <queryTableField id="3" name="Rujukan" tableColumnId="3"/>
      <queryTableField id="4" name="Catata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97BF6-B8EB-4B01-89FE-00A50D437A09}" name="INPUT_GLOBAL" displayName="INPUT_GLOBAL" ref="A1:D15" tableType="queryTable" totalsRowShown="0">
  <autoFilter ref="A1:D15" xr:uid="{46F97BF6-B8EB-4B01-89FE-00A50D437A09}"/>
  <tableColumns count="4">
    <tableColumn id="1" xr3:uid="{7830C798-881D-4972-B871-B9E839D619D0}" uniqueName="1" name="Parameter" queryTableFieldId="1" dataDxfId="45"/>
    <tableColumn id="2" xr3:uid="{5F6E5D4B-E0F4-4841-964A-CAFC8E5BDA22}" uniqueName="2" name="Nilai" queryTableFieldId="2"/>
    <tableColumn id="3" xr3:uid="{B2927A49-1731-4158-AEF3-4F079CF1F1B7}" uniqueName="3" name="Satuan" queryTableFieldId="3" dataDxfId="44"/>
    <tableColumn id="4" xr3:uid="{258C467E-76E5-4985-B325-ED65E5D13679}" uniqueName="4" name="Catatan" queryTableFieldId="4" dataDxfId="4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6179B2-5485-48A4-BDD7-26C1468ECB47}" name="LOOKUP_FASE" displayName="LOOKUP_FASE" ref="A1:N7" tableType="queryTable" totalsRowShown="0">
  <autoFilter ref="A1:N7" xr:uid="{986179B2-5485-48A4-BDD7-26C1468ECB47}"/>
  <tableColumns count="14">
    <tableColumn id="1" xr3:uid="{666D17DD-0E64-458E-B842-62DADC1CE775}" uniqueName="1" name="Bobot_Min_g" queryTableFieldId="1"/>
    <tableColumn id="2" xr3:uid="{22AE4A35-DC14-4310-9C55-270C30D693DA}" uniqueName="2" name="Bobot_Max_g" queryTableFieldId="2"/>
    <tableColumn id="3" xr3:uid="{569CBEB6-334B-411D-8478-9AFE755469D9}" uniqueName="3" name="FR_Min" queryTableFieldId="3"/>
    <tableColumn id="4" xr3:uid="{3B5F61B5-01AB-4B93-B67B-CBB1B1242EF9}" uniqueName="4" name="FR_Max" queryTableFieldId="4"/>
    <tableColumn id="5" xr3:uid="{A9EC2C7E-D23D-4E6D-B10D-2EE540F3D612}" uniqueName="5" name="CP_Min" queryTableFieldId="5"/>
    <tableColumn id="6" xr3:uid="{1BAFEBCC-7BA5-4FF6-8081-FA4A430C6FE0}" uniqueName="6" name="CP_Max" queryTableFieldId="6"/>
    <tableColumn id="7" xr3:uid="{B1FD8FAB-A40E-4853-B0C6-C4898AD1090C}" uniqueName="7" name="DE_Min" queryTableFieldId="7"/>
    <tableColumn id="8" xr3:uid="{830A4909-9ACA-445F-B455-F55299CAD23B}" uniqueName="8" name="DE_Max" queryTableFieldId="8"/>
    <tableColumn id="9" xr3:uid="{F9EBE196-F753-4F8D-8777-51D1B659F970}" uniqueName="9" name="EP_Low" queryTableFieldId="9"/>
    <tableColumn id="10" xr3:uid="{0103BD49-3BBF-4F0A-A73D-DC07136D323C}" uniqueName="10" name="EP_High" queryTableFieldId="10"/>
    <tableColumn id="11" xr3:uid="{C0CC4BAC-F721-4529-A844-82DEA03FD835}" uniqueName="11" name="FCR_Base" queryTableFieldId="11"/>
    <tableColumn id="12" xr3:uid="{B558F6D0-03E9-4782-9329-98086AFA8376}" uniqueName="12" name="Frekuensi" queryTableFieldId="12" dataDxfId="42"/>
    <tableColumn id="13" xr3:uid="{DE3E657C-1CE7-49F4-A9E3-C4E6D34A22C2}" uniqueName="13" name="Pelet_mm" queryTableFieldId="13" dataDxfId="41"/>
    <tableColumn id="14" xr3:uid="{2109F8F8-275A-4CD7-9EAE-5FE326DE2B80}" uniqueName="14" name="Catatan" queryTableFieldId="14" dataDxfId="4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913846-D7B8-4378-A573-A62A5E7294C7}" name="SIMULASI_HARIAN" displayName="SIMULASI_HARIAN" ref="A1:AF3" tableType="queryTable" totalsRowShown="0">
  <autoFilter ref="A1:AF3" xr:uid="{48913846-D7B8-4378-A573-A62A5E7294C7}"/>
  <tableColumns count="32">
    <tableColumn id="1" xr3:uid="{83AA7342-0EF2-4965-AC94-13DF01E05504}" uniqueName="1" name="Hari" queryTableFieldId="1" dataDxfId="39"/>
    <tableColumn id="2" xr3:uid="{AE6F4F81-409A-40D4-AE3D-1C3680E09D4E}" uniqueName="2" name="Jumlah_Ikan_Hidup" queryTableFieldId="2" dataDxfId="38"/>
    <tableColumn id="3" xr3:uid="{BC9AB7EF-20DC-404F-B3C6-11A879E6EE14}" uniqueName="3" name="Bobot_Avg_g" queryTableFieldId="3" dataDxfId="37"/>
    <tableColumn id="4" xr3:uid="{F3892BBF-33A5-4596-8B56-3FAEC86BCF48}" uniqueName="4" name="Biomassa_Awal_Hari_kg" queryTableFieldId="4" dataDxfId="36"/>
    <tableColumn id="5" xr3:uid="{1F1C3478-8086-47B5-A442-47A6E4A0631E}" uniqueName="5" name="FR_Min" queryTableFieldId="5" dataDxfId="35"/>
    <tableColumn id="6" xr3:uid="{2062694F-B807-4E21-B931-FE2E04DC14DF}" uniqueName="6" name="FR_Max" queryTableFieldId="6" dataDxfId="34"/>
    <tableColumn id="7" xr3:uid="{A8E3BD93-7595-428B-B01E-63FAA4FFE46E}" uniqueName="7" name="Feeding_Rate" queryTableFieldId="7" dataDxfId="33"/>
    <tableColumn id="8" xr3:uid="{ED92F076-C890-4B2F-AACB-B632DB52F2CD}" uniqueName="8" name="Pakan_kg_hari" queryTableFieldId="8" dataDxfId="32"/>
    <tableColumn id="9" xr3:uid="{C6FC8D0C-EC98-4FF5-B8CB-2020B944ADE3}" uniqueName="9" name="CP_percent" queryTableFieldId="9" dataDxfId="31"/>
    <tableColumn id="10" xr3:uid="{3E7451AB-A635-448C-A05B-B7A483D834EA}" uniqueName="10" name="DE_kcal_kg" queryTableFieldId="10" dataDxfId="30"/>
    <tableColumn id="11" xr3:uid="{A818F85D-9CBD-4BEF-88C1-9B5E0876E502}" uniqueName="11" name="EP_kcal_per_g" queryTableFieldId="11" dataDxfId="29"/>
    <tableColumn id="12" xr3:uid="{D6884A77-CDCE-48D2-BD1C-07BAB7774141}" uniqueName="12" name="EP_Low" queryTableFieldId="12" dataDxfId="28"/>
    <tableColumn id="13" xr3:uid="{BEA762C0-1E1A-47C7-A76B-C1CA3180E7B5}" uniqueName="13" name="EP_High" queryTableFieldId="13" dataDxfId="27"/>
    <tableColumn id="14" xr3:uid="{009C5EB1-49FE-4BA4-9E6D-FFC08C36BC39}" uniqueName="14" name="EP_Factor" queryTableFieldId="14" dataDxfId="26"/>
    <tableColumn id="15" xr3:uid="{D45038FF-6657-449B-B2A8-9342F7EDE64E}" uniqueName="15" name="FR_Factor" queryTableFieldId="15" dataDxfId="25"/>
    <tableColumn id="16" xr3:uid="{2832AA2F-6C07-4517-BF23-F16EF476B5CB}" uniqueName="16" name="FCR_Base" queryTableFieldId="16" dataDxfId="24"/>
    <tableColumn id="17" xr3:uid="{1CA84A8C-5730-4ADC-B10D-BD13788A5D90}" uniqueName="17" name="BFT_Credit" queryTableFieldId="17" dataDxfId="23"/>
    <tableColumn id="18" xr3:uid="{4E4A0473-8F09-4D9A-BAB1-F1337D808C03}" uniqueName="18" name="BFT_Factor" queryTableFieldId="18" dataDxfId="22"/>
    <tableColumn id="19" xr3:uid="{1D52A940-AD47-4C68-BAC7-A2995E37BE74}" uniqueName="19" name="WQ_Factor" queryTableFieldId="19" dataDxfId="21"/>
    <tableColumn id="20" xr3:uid="{BF2DCDD0-593D-44AD-8A1F-0E9F6FF91DDB}" uniqueName="20" name="FCR_Effective" queryTableFieldId="20" dataDxfId="20"/>
    <tableColumn id="21" xr3:uid="{525F5CBD-A31C-4955-9BAC-8F7104189538}" uniqueName="21" name="Gain_kg_hari" queryTableFieldId="21" dataDxfId="19"/>
    <tableColumn id="22" xr3:uid="{D672262C-A1A6-4671-ABB1-EDDDABB2329D}" uniqueName="22" name="ADG_g_per_ekor" queryTableFieldId="22" dataDxfId="18"/>
    <tableColumn id="23" xr3:uid="{4B54A625-6173-4B39-BA72-2584A3966001}" uniqueName="23" name="Bobot_Akhir_Hari_g" queryTableFieldId="23" dataDxfId="17"/>
    <tableColumn id="24" xr3:uid="{13BF85A1-D28E-4F19-A9D5-AB365A1D48FB}" uniqueName="24" name="Mortalitas_Harian" queryTableFieldId="24" dataDxfId="16"/>
    <tableColumn id="25" xr3:uid="{32E311AF-AC70-43BE-A252-4710D12E81B9}" uniqueName="25" name="Jumlah_Ikan_Akhir_Hari" queryTableFieldId="25" dataDxfId="15"/>
    <tableColumn id="26" xr3:uid="{C0FCA270-861D-4D39-8415-24BA8CEA7129}" uniqueName="26" name="Biomassa_Akhir_Hari_kg" queryTableFieldId="26" dataDxfId="14"/>
    <tableColumn id="27" xr3:uid="{D4570904-977F-4900-84E3-45D3B7860FDD}" uniqueName="27" name="Cum_Feed_kg" queryTableFieldId="27" dataDxfId="13"/>
    <tableColumn id="28" xr3:uid="{7DB337F2-3467-4152-971F-2A9E4A0A8812}" uniqueName="28" name="Cum_Gain_kg" queryTableFieldId="28" dataDxfId="12"/>
    <tableColumn id="29" xr3:uid="{F717D13C-EFA0-437A-9D6D-543466C826C5}" uniqueName="29" name="FCR_Kumulatif" queryTableFieldId="29" dataDxfId="11"/>
    <tableColumn id="30" xr3:uid="{076ED626-5BE1-445E-8938-4F1FBBF607B7}" uniqueName="30" name="SGR_percent_per_day" queryTableFieldId="30" dataDxfId="10"/>
    <tableColumn id="31" xr3:uid="{81B75532-6877-4FD2-9FB9-CF924B95E71C}" uniqueName="31" name="Status_Panen" queryTableFieldId="31" dataDxfId="9"/>
    <tableColumn id="32" xr3:uid="{73D977E0-E0EF-41B9-9864-5709EEC32A01}" uniqueName="32" name="Catatan" queryTableFieldId="32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513E0F-F2DB-4090-9576-77A81762E86A}" name="RINGKASAN" displayName="RINGKASAN" ref="A1:D16" tableType="queryTable" totalsRowShown="0">
  <autoFilter ref="A1:D16" xr:uid="{E5513E0F-F2DB-4090-9576-77A81762E86A}"/>
  <tableColumns count="4">
    <tableColumn id="1" xr3:uid="{7ED75EDC-AB08-4966-A9BB-2F5A8C0B12FF}" uniqueName="1" name="Indikator" queryTableFieldId="1" dataDxfId="7"/>
    <tableColumn id="2" xr3:uid="{2610961B-1CDD-4DA1-A0AD-BF886EBBAC50}" uniqueName="2" name="Nilai" queryTableFieldId="2" dataDxfId="6"/>
    <tableColumn id="3" xr3:uid="{B04E3D92-C7C2-4A9B-8106-1A5B17D081B3}" uniqueName="3" name="Satuan" queryTableFieldId="3" dataDxfId="5"/>
    <tableColumn id="4" xr3:uid="{135D000E-CC92-45CB-AD29-83BF54578753}" uniqueName="4" name="Catatan" queryTableFieldId="4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518CC5-1CFA-41B9-9C18-8A4DFADA4F8D}" name="REFERENSI_ASUMSI" displayName="REFERENSI_ASUMSI" ref="A1:D7" tableType="queryTable" totalsRowShown="0">
  <autoFilter ref="A1:D7" xr:uid="{0F518CC5-1CFA-41B9-9C18-8A4DFADA4F8D}"/>
  <tableColumns count="4">
    <tableColumn id="1" xr3:uid="{C1FA9BB9-5205-4AB2-961B-2513FBDD363A}" uniqueName="1" name="Topik" queryTableFieldId="1" dataDxfId="3"/>
    <tableColumn id="2" xr3:uid="{88402544-1212-4116-8FBD-4D8D85AFA943}" uniqueName="2" name="Asumsi" queryTableFieldId="2" dataDxfId="2"/>
    <tableColumn id="3" xr3:uid="{DA427C80-C791-4ED9-805F-05158C3CEB51}" uniqueName="3" name="Rujukan" queryTableFieldId="3" dataDxfId="1"/>
    <tableColumn id="4" xr3:uid="{E1B1687F-0893-4FF7-B88E-1E7D0B0CBDAF}" uniqueName="4" name="Catata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5AEE3-2DBC-4656-B8BB-8CF5934F9BF6}">
  <dimension ref="A1:D15"/>
  <sheetViews>
    <sheetView workbookViewId="0"/>
  </sheetViews>
  <sheetFormatPr defaultRowHeight="15" x14ac:dyDescent="0.25"/>
  <cols>
    <col min="1" max="1" width="24.85546875" bestFit="1" customWidth="1"/>
    <col min="2" max="2" width="7.42578125" bestFit="1" customWidth="1"/>
    <col min="3" max="3" width="10.140625" bestFit="1" customWidth="1"/>
    <col min="4" max="4" width="45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>
        <v>8000</v>
      </c>
      <c r="C2" s="1" t="s">
        <v>5</v>
      </c>
      <c r="D2" s="1" t="s">
        <v>6</v>
      </c>
    </row>
    <row r="3" spans="1:4" x14ac:dyDescent="0.25">
      <c r="A3" s="1" t="s">
        <v>7</v>
      </c>
      <c r="B3">
        <v>15</v>
      </c>
      <c r="C3" s="1" t="s">
        <v>8</v>
      </c>
      <c r="D3" s="1" t="s">
        <v>9</v>
      </c>
    </row>
    <row r="4" spans="1:4" x14ac:dyDescent="0.25">
      <c r="A4" s="1" t="s">
        <v>10</v>
      </c>
      <c r="B4">
        <v>2.9999999999999997E-4</v>
      </c>
      <c r="C4" s="1" t="s">
        <v>11</v>
      </c>
      <c r="D4" s="1" t="s">
        <v>12</v>
      </c>
    </row>
    <row r="5" spans="1:4" x14ac:dyDescent="0.25">
      <c r="A5" s="1" t="s">
        <v>13</v>
      </c>
      <c r="B5">
        <v>32</v>
      </c>
      <c r="C5" s="1" t="s">
        <v>14</v>
      </c>
      <c r="D5" s="1" t="s">
        <v>15</v>
      </c>
    </row>
    <row r="6" spans="1:4" x14ac:dyDescent="0.25">
      <c r="A6" s="1" t="s">
        <v>16</v>
      </c>
      <c r="B6">
        <v>3100</v>
      </c>
      <c r="C6" s="1" t="s">
        <v>17</v>
      </c>
      <c r="D6" s="1" t="s">
        <v>18</v>
      </c>
    </row>
    <row r="7" spans="1:4" x14ac:dyDescent="0.25">
      <c r="A7" s="1" t="s">
        <v>19</v>
      </c>
      <c r="B7">
        <v>0.05</v>
      </c>
      <c r="C7" s="1" t="s">
        <v>20</v>
      </c>
      <c r="D7" s="1" t="s">
        <v>21</v>
      </c>
    </row>
    <row r="8" spans="1:4" x14ac:dyDescent="0.25">
      <c r="A8" s="1" t="s">
        <v>22</v>
      </c>
      <c r="B8">
        <v>1</v>
      </c>
      <c r="C8" s="1" t="s">
        <v>23</v>
      </c>
      <c r="D8" s="1" t="s">
        <v>24</v>
      </c>
    </row>
    <row r="9" spans="1:4" x14ac:dyDescent="0.25">
      <c r="A9" s="1" t="s">
        <v>25</v>
      </c>
      <c r="B9">
        <v>1</v>
      </c>
      <c r="C9" s="1" t="s">
        <v>26</v>
      </c>
      <c r="D9" s="1" t="s">
        <v>27</v>
      </c>
    </row>
    <row r="10" spans="1:4" x14ac:dyDescent="0.25">
      <c r="A10" s="1" t="s">
        <v>28</v>
      </c>
      <c r="B10">
        <v>3</v>
      </c>
      <c r="C10" s="1" t="s">
        <v>26</v>
      </c>
      <c r="D10" s="1" t="s">
        <v>29</v>
      </c>
    </row>
    <row r="11" spans="1:4" x14ac:dyDescent="0.25">
      <c r="A11" s="1" t="s">
        <v>30</v>
      </c>
      <c r="B11">
        <v>1</v>
      </c>
      <c r="C11" s="1" t="s">
        <v>23</v>
      </c>
      <c r="D11" s="1" t="s">
        <v>31</v>
      </c>
    </row>
    <row r="12" spans="1:4" x14ac:dyDescent="0.25">
      <c r="A12" s="1" t="s">
        <v>32</v>
      </c>
      <c r="B12">
        <v>250</v>
      </c>
      <c r="C12" s="1" t="s">
        <v>8</v>
      </c>
      <c r="D12" s="1" t="s">
        <v>33</v>
      </c>
    </row>
    <row r="13" spans="1:4" x14ac:dyDescent="0.25">
      <c r="A13" s="1" t="s">
        <v>34</v>
      </c>
      <c r="B13">
        <v>11500</v>
      </c>
      <c r="C13" s="1" t="s">
        <v>35</v>
      </c>
      <c r="D13" s="1" t="s">
        <v>36</v>
      </c>
    </row>
    <row r="14" spans="1:4" x14ac:dyDescent="0.25">
      <c r="A14" s="1" t="s">
        <v>37</v>
      </c>
      <c r="B14">
        <v>30000</v>
      </c>
      <c r="C14" s="1" t="s">
        <v>35</v>
      </c>
      <c r="D14" s="1" t="s">
        <v>38</v>
      </c>
    </row>
    <row r="15" spans="1:4" x14ac:dyDescent="0.25">
      <c r="A15" s="1" t="s">
        <v>39</v>
      </c>
      <c r="B15">
        <v>500</v>
      </c>
      <c r="C15" s="1" t="s">
        <v>40</v>
      </c>
      <c r="D15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8017B-F505-4654-BFC0-2B14504006BF}">
  <dimension ref="A1:N7"/>
  <sheetViews>
    <sheetView workbookViewId="0"/>
  </sheetViews>
  <sheetFormatPr defaultRowHeight="15" x14ac:dyDescent="0.25"/>
  <cols>
    <col min="1" max="1" width="15.140625" bestFit="1" customWidth="1"/>
    <col min="2" max="2" width="15.5703125" bestFit="1" customWidth="1"/>
    <col min="3" max="3" width="10" bestFit="1" customWidth="1"/>
    <col min="4" max="4" width="10.28515625" bestFit="1" customWidth="1"/>
    <col min="5" max="5" width="10.140625" bestFit="1" customWidth="1"/>
    <col min="6" max="6" width="10.42578125" bestFit="1" customWidth="1"/>
    <col min="7" max="7" width="10.140625" bestFit="1" customWidth="1"/>
    <col min="8" max="8" width="10.42578125" bestFit="1" customWidth="1"/>
    <col min="9" max="9" width="10" bestFit="1" customWidth="1"/>
    <col min="10" max="10" width="10.42578125" bestFit="1" customWidth="1"/>
    <col min="11" max="11" width="11.7109375" bestFit="1" customWidth="1"/>
    <col min="12" max="12" width="12" bestFit="1" customWidth="1"/>
    <col min="13" max="13" width="12.42578125" bestFit="1" customWidth="1"/>
    <col min="14" max="14" width="15.7109375" bestFit="1" customWidth="1"/>
  </cols>
  <sheetData>
    <row r="1" spans="1:14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3</v>
      </c>
    </row>
    <row r="2" spans="1:14" x14ac:dyDescent="0.25">
      <c r="A2">
        <v>1</v>
      </c>
      <c r="B2">
        <v>5</v>
      </c>
      <c r="C2">
        <v>0.06</v>
      </c>
      <c r="D2">
        <v>0.1</v>
      </c>
      <c r="E2">
        <v>40</v>
      </c>
      <c r="F2">
        <v>45</v>
      </c>
      <c r="G2">
        <v>3000</v>
      </c>
      <c r="H2">
        <v>3200</v>
      </c>
      <c r="I2">
        <v>6.7</v>
      </c>
      <c r="J2">
        <v>8</v>
      </c>
      <c r="K2">
        <v>1.05</v>
      </c>
      <c r="L2" s="1" t="s">
        <v>55</v>
      </c>
      <c r="M2" s="1" t="s">
        <v>56</v>
      </c>
      <c r="N2" s="1" t="s">
        <v>57</v>
      </c>
    </row>
    <row r="3" spans="1:14" x14ac:dyDescent="0.25">
      <c r="A3">
        <v>5</v>
      </c>
      <c r="B3">
        <v>20</v>
      </c>
      <c r="C3">
        <v>0.04</v>
      </c>
      <c r="D3">
        <v>0.06</v>
      </c>
      <c r="E3">
        <v>35</v>
      </c>
      <c r="F3">
        <v>40</v>
      </c>
      <c r="G3">
        <v>3000</v>
      </c>
      <c r="H3">
        <v>3200</v>
      </c>
      <c r="I3">
        <v>7.5</v>
      </c>
      <c r="J3">
        <v>9.1</v>
      </c>
      <c r="K3">
        <v>1.1000000000000001</v>
      </c>
      <c r="L3" s="1" t="s">
        <v>58</v>
      </c>
      <c r="M3" s="1" t="s">
        <v>59</v>
      </c>
      <c r="N3" s="1" t="s">
        <v>60</v>
      </c>
    </row>
    <row r="4" spans="1:14" x14ac:dyDescent="0.25">
      <c r="A4">
        <v>20</v>
      </c>
      <c r="B4">
        <v>50</v>
      </c>
      <c r="C4">
        <v>3.5000000000000003E-2</v>
      </c>
      <c r="D4">
        <v>0.04</v>
      </c>
      <c r="E4">
        <v>32</v>
      </c>
      <c r="F4">
        <v>35</v>
      </c>
      <c r="G4">
        <v>3000</v>
      </c>
      <c r="H4">
        <v>3200</v>
      </c>
      <c r="I4">
        <v>8.6</v>
      </c>
      <c r="J4">
        <v>10</v>
      </c>
      <c r="K4">
        <v>1.1499999999999999</v>
      </c>
      <c r="L4" s="1" t="s">
        <v>61</v>
      </c>
      <c r="M4" s="1" t="s">
        <v>62</v>
      </c>
      <c r="N4" s="1" t="s">
        <v>63</v>
      </c>
    </row>
    <row r="5" spans="1:14" x14ac:dyDescent="0.25">
      <c r="A5">
        <v>50</v>
      </c>
      <c r="B5">
        <v>100</v>
      </c>
      <c r="C5">
        <v>0.03</v>
      </c>
      <c r="D5">
        <v>3.5000000000000003E-2</v>
      </c>
      <c r="E5">
        <v>30</v>
      </c>
      <c r="F5">
        <v>32</v>
      </c>
      <c r="G5">
        <v>3000</v>
      </c>
      <c r="H5">
        <v>3200</v>
      </c>
      <c r="I5">
        <v>9.4</v>
      </c>
      <c r="J5">
        <v>10.7</v>
      </c>
      <c r="K5">
        <v>1.2</v>
      </c>
      <c r="L5" s="1" t="s">
        <v>64</v>
      </c>
      <c r="M5" s="1" t="s">
        <v>65</v>
      </c>
      <c r="N5" s="1" t="s">
        <v>66</v>
      </c>
    </row>
    <row r="6" spans="1:14" x14ac:dyDescent="0.25">
      <c r="A6">
        <v>100</v>
      </c>
      <c r="B6">
        <v>200</v>
      </c>
      <c r="C6">
        <v>0.02</v>
      </c>
      <c r="D6">
        <v>0.03</v>
      </c>
      <c r="E6">
        <v>30</v>
      </c>
      <c r="F6">
        <v>32</v>
      </c>
      <c r="G6">
        <v>3000</v>
      </c>
      <c r="H6">
        <v>3200</v>
      </c>
      <c r="I6">
        <v>9.4</v>
      </c>
      <c r="J6">
        <v>10.7</v>
      </c>
      <c r="K6">
        <v>1.3</v>
      </c>
      <c r="L6" s="1" t="s">
        <v>67</v>
      </c>
      <c r="M6" s="1" t="s">
        <v>67</v>
      </c>
      <c r="N6" s="1" t="s">
        <v>68</v>
      </c>
    </row>
    <row r="7" spans="1:14" x14ac:dyDescent="0.25">
      <c r="A7">
        <v>200</v>
      </c>
      <c r="B7">
        <v>300</v>
      </c>
      <c r="C7">
        <v>1.4999999999999999E-2</v>
      </c>
      <c r="D7">
        <v>0.02</v>
      </c>
      <c r="E7">
        <v>28</v>
      </c>
      <c r="F7">
        <v>30</v>
      </c>
      <c r="G7">
        <v>3000</v>
      </c>
      <c r="H7">
        <v>3200</v>
      </c>
      <c r="I7">
        <v>10</v>
      </c>
      <c r="J7">
        <v>11.4</v>
      </c>
      <c r="K7">
        <v>1.4</v>
      </c>
      <c r="L7" s="1" t="s">
        <v>65</v>
      </c>
      <c r="M7" s="1" t="s">
        <v>61</v>
      </c>
      <c r="N7" s="1" t="s">
        <v>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02A73-603D-4579-8103-ACF873DC0A31}">
  <dimension ref="A1:AF3"/>
  <sheetViews>
    <sheetView workbookViewId="0">
      <selection activeCell="A7" sqref="A7"/>
    </sheetView>
  </sheetViews>
  <sheetFormatPr defaultRowHeight="15" x14ac:dyDescent="0.25"/>
  <cols>
    <col min="1" max="1" width="5.7109375" customWidth="1"/>
    <col min="2" max="2" width="20.28515625" customWidth="1"/>
    <col min="3" max="3" width="14.28515625" customWidth="1"/>
    <col min="4" max="4" width="16.140625" customWidth="1"/>
    <col min="5" max="5" width="12.5703125" customWidth="1"/>
    <col min="6" max="6" width="12.42578125" customWidth="1"/>
    <col min="7" max="7" width="15.7109375" customWidth="1"/>
    <col min="8" max="8" width="16.140625" bestFit="1" customWidth="1"/>
    <col min="9" max="9" width="14.5703125" customWidth="1"/>
    <col min="10" max="10" width="10.28515625" customWidth="1"/>
    <col min="11" max="11" width="16" bestFit="1" customWidth="1"/>
    <col min="12" max="12" width="8.42578125" customWidth="1"/>
    <col min="13" max="13" width="9.28515625" customWidth="1"/>
    <col min="14" max="14" width="10.5703125" customWidth="1"/>
    <col min="15" max="15" width="9.5703125" customWidth="1"/>
    <col min="16" max="16" width="9.85546875" customWidth="1"/>
    <col min="17" max="17" width="11.5703125" customWidth="1"/>
    <col min="18" max="18" width="12.85546875" bestFit="1" customWidth="1"/>
    <col min="19" max="19" width="11.28515625" customWidth="1"/>
    <col min="20" max="20" width="17.42578125" bestFit="1" customWidth="1"/>
    <col min="21" max="21" width="14.85546875" bestFit="1" customWidth="1"/>
    <col min="22" max="22" width="18.42578125" bestFit="1" customWidth="1"/>
    <col min="23" max="23" width="21.140625" bestFit="1" customWidth="1"/>
    <col min="24" max="24" width="19.28515625" bestFit="1" customWidth="1"/>
    <col min="25" max="25" width="25" bestFit="1" customWidth="1"/>
    <col min="26" max="26" width="25.28515625" bestFit="1" customWidth="1"/>
    <col min="27" max="27" width="15.85546875" bestFit="1" customWidth="1"/>
    <col min="28" max="28" width="15.5703125" bestFit="1" customWidth="1"/>
    <col min="29" max="29" width="20.7109375" bestFit="1" customWidth="1"/>
    <col min="30" max="30" width="23.140625" bestFit="1" customWidth="1"/>
    <col min="31" max="31" width="13.7109375" customWidth="1"/>
    <col min="32" max="32" width="41.140625" bestFit="1" customWidth="1"/>
  </cols>
  <sheetData>
    <row r="1" spans="1:32" x14ac:dyDescent="0.25">
      <c r="A1" t="s">
        <v>70</v>
      </c>
      <c r="B1" t="s">
        <v>71</v>
      </c>
      <c r="C1" t="s">
        <v>72</v>
      </c>
      <c r="D1" t="s">
        <v>73</v>
      </c>
      <c r="E1" t="s">
        <v>44</v>
      </c>
      <c r="F1" t="s">
        <v>45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50</v>
      </c>
      <c r="M1" t="s">
        <v>51</v>
      </c>
      <c r="N1" t="s">
        <v>79</v>
      </c>
      <c r="O1" t="s">
        <v>80</v>
      </c>
      <c r="P1" t="s">
        <v>52</v>
      </c>
      <c r="Q1" t="s">
        <v>19</v>
      </c>
      <c r="R1" t="s">
        <v>81</v>
      </c>
      <c r="S1" t="s">
        <v>22</v>
      </c>
      <c r="T1" t="s">
        <v>82</v>
      </c>
      <c r="U1" t="s">
        <v>83</v>
      </c>
      <c r="V1" t="s">
        <v>84</v>
      </c>
      <c r="W1" t="s">
        <v>85</v>
      </c>
      <c r="X1" t="s">
        <v>10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t="s">
        <v>92</v>
      </c>
      <c r="AF1" t="s">
        <v>3</v>
      </c>
    </row>
    <row r="2" spans="1:32" x14ac:dyDescent="0.25">
      <c r="A2" s="1" t="s">
        <v>93</v>
      </c>
      <c r="B2" s="1">
        <f>INPUT_GLOBAL!B2</f>
        <v>8000</v>
      </c>
      <c r="C2" s="1">
        <f>INPUT_GLOBAL!B3</f>
        <v>15</v>
      </c>
      <c r="D2" s="1">
        <f>B2*C2/1000</f>
        <v>120</v>
      </c>
      <c r="E2" s="1">
        <f>LOOKUP(C2,LOOKUP_FASE!$A$2:$A$7,LOOKUP_FASE!$C$2:$C$7)</f>
        <v>0.04</v>
      </c>
      <c r="F2" s="1">
        <f>LOOKUP(C2,LOOKUP_FASE!$A$2:$A$7,LOOKUP_FASE!$D$2:$D$7)</f>
        <v>0.06</v>
      </c>
      <c r="G2" s="1">
        <f>F2*INPUT_GLOBAL!B11</f>
        <v>0.06</v>
      </c>
      <c r="H2" s="1">
        <f>D2*G2</f>
        <v>7.1999999999999993</v>
      </c>
      <c r="I2" s="1">
        <f>INPUT_GLOBAL!B5</f>
        <v>32</v>
      </c>
      <c r="J2" s="1">
        <f>INPUT_GLOBAL!B6</f>
        <v>3100</v>
      </c>
      <c r="K2" s="1">
        <f>J2/(I2*10)</f>
        <v>9.6875</v>
      </c>
      <c r="L2" s="1">
        <f>LOOKUP(C2,LOOKUP_FASE!$A$2:$A$7,LOOKUP_FASE!$I$2:$I$7)</f>
        <v>7.5</v>
      </c>
      <c r="M2" s="1">
        <f>LOOKUP(C2,LOOKUP_FASE!$A$2:$A$7,LOOKUP_FASE!$J$2:$J$7)</f>
        <v>9.1</v>
      </c>
      <c r="N2" s="1">
        <f>IF(K2&lt;L2,1+INPUT_GLOBAL!B9*(L2-K2)/L2,IF(K2&gt;M2,1+INPUT_GLOBAL!B9*(K2-M2)/M2,1))</f>
        <v>1.0645604395604396</v>
      </c>
      <c r="O2" s="1">
        <f>1+INPUT_GLOBAL!B10*(MAX(0,(G2-F2)/F2)^2)</f>
        <v>1</v>
      </c>
      <c r="P2" s="1">
        <f>LOOKUP(C2,LOOKUP_FASE!$A$2:$A$7,LOOKUP_FASE!$K$2:$K$7)</f>
        <v>1.1000000000000001</v>
      </c>
      <c r="Q2" s="1">
        <f>INPUT_GLOBAL!B7</f>
        <v>0.05</v>
      </c>
      <c r="R2" s="1">
        <f>1-Q2</f>
        <v>0.95</v>
      </c>
      <c r="S2" s="1">
        <f>INPUT_GLOBAL!B8</f>
        <v>1</v>
      </c>
      <c r="T2" s="1">
        <f>P2*N2*O2*R2*S2</f>
        <v>1.1124656593406594</v>
      </c>
      <c r="U2" s="1">
        <f>H2/T2</f>
        <v>6.4721098935020827</v>
      </c>
      <c r="V2" s="1">
        <f>U2*1000/B2</f>
        <v>0.80901373668776033</v>
      </c>
      <c r="W2" s="1">
        <f>C2+V2</f>
        <v>15.80901373668776</v>
      </c>
      <c r="X2" s="1">
        <f>INPUT_GLOBAL!B4</f>
        <v>2.9999999999999997E-4</v>
      </c>
      <c r="Y2" s="1">
        <f>B2*(1-X2)</f>
        <v>7997.6</v>
      </c>
      <c r="Z2" s="1">
        <f>Y2*W2/1000</f>
        <v>126.43416826053404</v>
      </c>
      <c r="AA2" s="1">
        <f>H2</f>
        <v>7.1999999999999993</v>
      </c>
      <c r="AB2" s="1">
        <f>Z2-$D$2</f>
        <v>6.4341682605340367</v>
      </c>
      <c r="AC2" s="1">
        <f>IF(AB2&gt;0,AA2/AB2,0)</f>
        <v>1.1190257556929974</v>
      </c>
      <c r="AD2" s="1">
        <f>LN(W2/C2)*100</f>
        <v>5.2530065927128948</v>
      </c>
      <c r="AE2" s="1" t="str">
        <f>IF(W2&gt;=INPUT_GLOBAL!B12,"PANEN","LANJUT")</f>
        <v>LANJUT</v>
      </c>
      <c r="AF2" s="1" t="s">
        <v>94</v>
      </c>
    </row>
    <row r="3" spans="1:32" x14ac:dyDescent="0.25">
      <c r="A3" s="1">
        <f>A2+1</f>
        <v>1</v>
      </c>
      <c r="B3" s="1">
        <f>Y2</f>
        <v>7997.6</v>
      </c>
      <c r="C3" s="1">
        <f>W2</f>
        <v>15.80901373668776</v>
      </c>
      <c r="D3" s="1">
        <f>B3*C3/1000</f>
        <v>126.43416826053404</v>
      </c>
      <c r="E3" s="1">
        <f>LOOKUP(C3,LOOKUP_FASE!$A$2:$A$7,LOOKUP_FASE!$C$2:$C$7)</f>
        <v>0.04</v>
      </c>
      <c r="F3" s="1">
        <f>LOOKUP(C3,LOOKUP_FASE!$A$2:$A$7,LOOKUP_FASE!$D$2:$D$7)</f>
        <v>0.06</v>
      </c>
      <c r="G3" s="1">
        <f>F3*INPUT_GLOBAL!B11</f>
        <v>0.06</v>
      </c>
      <c r="H3" s="1">
        <f>D3*G3</f>
        <v>7.586050095632042</v>
      </c>
      <c r="I3" s="1">
        <f>INPUT_GLOBAL!B5</f>
        <v>32</v>
      </c>
      <c r="J3" s="1">
        <f>INPUT_GLOBAL!B6</f>
        <v>3100</v>
      </c>
      <c r="K3" s="1">
        <f>J3/(I3*10)</f>
        <v>9.6875</v>
      </c>
      <c r="L3" s="1">
        <f>LOOKUP(C3,LOOKUP_FASE!$A$2:$A$7,LOOKUP_FASE!$I$2:$I$7)</f>
        <v>7.5</v>
      </c>
      <c r="M3" s="1">
        <f>LOOKUP(C3,LOOKUP_FASE!$A$2:$A$7,LOOKUP_FASE!$J$2:$J$7)</f>
        <v>9.1</v>
      </c>
      <c r="N3" s="1">
        <f>IF(K3&lt;L3,1+INPUT_GLOBAL!B9*(L3-K3)/L3,IF(K3&gt;M3,1+INPUT_GLOBAL!B9*(K3-M3)/M3,1))</f>
        <v>1.0645604395604396</v>
      </c>
      <c r="O3" s="1">
        <f>1+INPUT_GLOBAL!B10*(MAX(0,(G3-F3)/F3)^2)</f>
        <v>1</v>
      </c>
      <c r="P3" s="1">
        <f>LOOKUP(C3,LOOKUP_FASE!$A$2:$A$7,LOOKUP_FASE!$K$2:$K$7)</f>
        <v>1.1000000000000001</v>
      </c>
      <c r="Q3" s="1">
        <f>INPUT_GLOBAL!B7</f>
        <v>0.05</v>
      </c>
      <c r="R3" s="1">
        <f>1-Q3</f>
        <v>0.95</v>
      </c>
      <c r="S3" s="1">
        <f>INPUT_GLOBAL!B8</f>
        <v>1</v>
      </c>
      <c r="T3" s="1">
        <f>P3*N3*O3*R3*S3</f>
        <v>1.1124656593406594</v>
      </c>
      <c r="U3" s="1">
        <f>H3/T3</f>
        <v>6.8191319272975779</v>
      </c>
      <c r="V3" s="1">
        <f>U3*1000/B3</f>
        <v>0.85264728509772647</v>
      </c>
      <c r="W3" s="1">
        <f>C3+V3</f>
        <v>16.661661021785488</v>
      </c>
      <c r="X3" s="1">
        <f>INPUT_GLOBAL!B4</f>
        <v>2.9999999999999997E-4</v>
      </c>
      <c r="Y3" s="1">
        <f>B3*(1-X3)</f>
        <v>7995.2007200000007</v>
      </c>
      <c r="Z3" s="1">
        <f>Y3*W3/1000</f>
        <v>133.21332419777528</v>
      </c>
      <c r="AA3" s="1">
        <f>AA2+H3</f>
        <v>14.786050095632042</v>
      </c>
      <c r="AB3" s="1">
        <f>Z3-$D$2</f>
        <v>13.213324197775279</v>
      </c>
      <c r="AC3" s="1">
        <f>IF(AB3&gt;0,AA3/AB3,0)</f>
        <v>1.1190257556929968</v>
      </c>
      <c r="AD3" s="1">
        <f>LN(W3/C3)*100</f>
        <v>5.2530065927128948</v>
      </c>
      <c r="AE3" s="1" t="str">
        <f>IF(W3&gt;=INPUT_GLOBAL!B12,"PANEN","LANJUT")</f>
        <v>LANJUT</v>
      </c>
      <c r="AF3" s="1" t="s">
        <v>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3885-38A2-44C5-A08E-9C37ADC3126B}">
  <dimension ref="A1:D16"/>
  <sheetViews>
    <sheetView workbookViewId="0">
      <selection activeCell="D28" sqref="D28"/>
    </sheetView>
  </sheetViews>
  <sheetFormatPr defaultRowHeight="15" x14ac:dyDescent="0.25"/>
  <cols>
    <col min="1" max="1" width="34" bestFit="1" customWidth="1"/>
    <col min="2" max="2" width="25.42578125" customWidth="1"/>
    <col min="3" max="3" width="15.85546875" bestFit="1" customWidth="1"/>
    <col min="4" max="4" width="38" bestFit="1" customWidth="1"/>
  </cols>
  <sheetData>
    <row r="1" spans="1:4" x14ac:dyDescent="0.25">
      <c r="A1" t="s">
        <v>96</v>
      </c>
      <c r="B1" t="s">
        <v>1</v>
      </c>
      <c r="C1" t="s">
        <v>2</v>
      </c>
      <c r="D1" t="s">
        <v>3</v>
      </c>
    </row>
    <row r="2" spans="1:4" x14ac:dyDescent="0.25">
      <c r="A2" s="1" t="s">
        <v>97</v>
      </c>
      <c r="B2" s="1">
        <f>INPUT_GLOBAL!B2</f>
        <v>8000</v>
      </c>
      <c r="C2" s="1" t="s">
        <v>5</v>
      </c>
      <c r="D2" s="1" t="s">
        <v>98</v>
      </c>
    </row>
    <row r="3" spans="1:4" x14ac:dyDescent="0.25">
      <c r="A3" s="1" t="s">
        <v>99</v>
      </c>
      <c r="B3" s="1">
        <f>INPUT_GLOBAL!B3</f>
        <v>15</v>
      </c>
      <c r="C3" s="1" t="s">
        <v>8</v>
      </c>
      <c r="D3" s="1" t="s">
        <v>98</v>
      </c>
    </row>
    <row r="4" spans="1:4" x14ac:dyDescent="0.25">
      <c r="A4" s="1" t="s">
        <v>33</v>
      </c>
      <c r="B4" s="1">
        <f>INPUT_GLOBAL!B12</f>
        <v>250</v>
      </c>
      <c r="C4" s="1" t="s">
        <v>8</v>
      </c>
      <c r="D4" s="1" t="s">
        <v>100</v>
      </c>
    </row>
    <row r="5" spans="1:4" x14ac:dyDescent="0.25">
      <c r="A5" s="1" t="s">
        <v>101</v>
      </c>
      <c r="B5" s="1">
        <f>LOOKUP(2,1/(SIMULASI_HARIAN!A:A&lt;&gt;""),SIMULASI_HARIAN!A:A)</f>
        <v>1</v>
      </c>
      <c r="C5" s="1" t="s">
        <v>102</v>
      </c>
      <c r="D5" s="1" t="s">
        <v>103</v>
      </c>
    </row>
    <row r="6" spans="1:4" x14ac:dyDescent="0.25">
      <c r="A6" s="1" t="s">
        <v>104</v>
      </c>
      <c r="B6" s="1">
        <f>LOOKUP(2,1/(SIMULASI_HARIAN!A:A&lt;&gt;""),SIMULASI_HARIAN!W:W)</f>
        <v>16.661661021785488</v>
      </c>
      <c r="C6" s="1" t="s">
        <v>8</v>
      </c>
      <c r="D6" s="1" t="s">
        <v>105</v>
      </c>
    </row>
    <row r="7" spans="1:4" x14ac:dyDescent="0.25">
      <c r="A7" s="1" t="s">
        <v>106</v>
      </c>
      <c r="B7" s="1">
        <f>LOOKUP(2,1/(SIMULASI_HARIAN!A:A&lt;&gt;""),SIMULASI_HARIAN!Y:Y)</f>
        <v>7995.2007200000007</v>
      </c>
      <c r="C7" s="1" t="s">
        <v>5</v>
      </c>
      <c r="D7" s="1" t="s">
        <v>107</v>
      </c>
    </row>
    <row r="8" spans="1:4" x14ac:dyDescent="0.25">
      <c r="A8" s="1" t="s">
        <v>108</v>
      </c>
      <c r="B8" s="1">
        <f>LOOKUP(2,1/(SIMULASI_HARIAN!A:A&lt;&gt;""),SIMULASI_HARIAN!Z:Z)</f>
        <v>133.21332419777528</v>
      </c>
      <c r="C8" s="1" t="s">
        <v>109</v>
      </c>
      <c r="D8" s="1" t="s">
        <v>110</v>
      </c>
    </row>
    <row r="9" spans="1:4" x14ac:dyDescent="0.25">
      <c r="A9" s="1" t="s">
        <v>111</v>
      </c>
      <c r="B9" s="1">
        <f>LOOKUP(2,1/(SIMULASI_HARIAN!A:A&lt;&gt;""),SIMULASI_HARIAN!AA:AA)</f>
        <v>14.786050095632042</v>
      </c>
      <c r="C9" s="1" t="s">
        <v>109</v>
      </c>
      <c r="D9" s="1" t="s">
        <v>112</v>
      </c>
    </row>
    <row r="10" spans="1:4" x14ac:dyDescent="0.25">
      <c r="A10" s="1" t="s">
        <v>113</v>
      </c>
      <c r="B10" s="1">
        <f>LOOKUP(2,1/(SIMULASI_HARIAN!A:A&lt;&gt;""),SIMULASI_HARIAN!AB:AB)</f>
        <v>13.213324197775279</v>
      </c>
      <c r="C10" s="1" t="s">
        <v>109</v>
      </c>
      <c r="D10" s="1" t="s">
        <v>114</v>
      </c>
    </row>
    <row r="11" spans="1:4" x14ac:dyDescent="0.25">
      <c r="A11" s="1" t="s">
        <v>115</v>
      </c>
      <c r="B11" s="1">
        <f>LOOKUP(2,1/(SIMULASI_HARIAN!A:A&lt;&gt;""),SIMULASI_HARIAN!AC:AC)</f>
        <v>1.1190257556929968</v>
      </c>
      <c r="C11" s="1" t="s">
        <v>116</v>
      </c>
      <c r="D11" s="1" t="s">
        <v>117</v>
      </c>
    </row>
    <row r="12" spans="1:4" x14ac:dyDescent="0.25">
      <c r="A12" s="1" t="s">
        <v>118</v>
      </c>
      <c r="B12" s="1">
        <f>B8*INPUT_GLOBAL!B13</f>
        <v>1531953.2282744157</v>
      </c>
      <c r="C12" s="1" t="s">
        <v>119</v>
      </c>
      <c r="D12" s="1" t="s">
        <v>120</v>
      </c>
    </row>
    <row r="13" spans="1:4" x14ac:dyDescent="0.25">
      <c r="A13" s="1" t="s">
        <v>121</v>
      </c>
      <c r="B13" s="1">
        <f>INPUT_GLOBAL!B2*INPUT_GLOBAL!B15</f>
        <v>4000000</v>
      </c>
      <c r="C13" s="1" t="s">
        <v>119</v>
      </c>
      <c r="D13" s="1" t="s">
        <v>122</v>
      </c>
    </row>
    <row r="14" spans="1:4" x14ac:dyDescent="0.25">
      <c r="A14" s="1" t="s">
        <v>123</v>
      </c>
      <c r="B14" s="1">
        <f>B7*INPUT_GLOBAL!B14</f>
        <v>239856021.60000002</v>
      </c>
      <c r="C14" s="1" t="s">
        <v>119</v>
      </c>
      <c r="D14" s="1" t="s">
        <v>124</v>
      </c>
    </row>
    <row r="15" spans="1:4" x14ac:dyDescent="0.25">
      <c r="A15" s="1" t="s">
        <v>125</v>
      </c>
      <c r="B15" s="1">
        <f>B13-B11-B12</f>
        <v>2468045.6526998286</v>
      </c>
      <c r="C15" s="1" t="s">
        <v>119</v>
      </c>
      <c r="D15" s="1" t="s">
        <v>126</v>
      </c>
    </row>
    <row r="16" spans="1:4" x14ac:dyDescent="0.25">
      <c r="A16" s="1" t="s">
        <v>127</v>
      </c>
      <c r="B16" s="1" t="str">
        <f>IF(B5&gt;=INPUT_GLOBAL!B12,"Target bobot tercapai","Belum mencapai target")</f>
        <v>Belum mencapai target</v>
      </c>
      <c r="C16" s="1" t="s">
        <v>128</v>
      </c>
      <c r="D16" s="1" t="s">
        <v>129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8B80-1F35-4EDE-B259-99B5B3F266D8}">
  <dimension ref="A1:D7"/>
  <sheetViews>
    <sheetView tabSelected="1" topLeftCell="B1" workbookViewId="0">
      <selection activeCell="B34" sqref="B34"/>
    </sheetView>
  </sheetViews>
  <sheetFormatPr defaultRowHeight="15" x14ac:dyDescent="0.25"/>
  <cols>
    <col min="1" max="1" width="23.5703125" bestFit="1" customWidth="1"/>
    <col min="2" max="2" width="77.5703125" bestFit="1" customWidth="1"/>
    <col min="3" max="3" width="31" bestFit="1" customWidth="1"/>
    <col min="4" max="4" width="44.5703125" bestFit="1" customWidth="1"/>
  </cols>
  <sheetData>
    <row r="1" spans="1:4" x14ac:dyDescent="0.25">
      <c r="A1" t="s">
        <v>130</v>
      </c>
      <c r="B1" t="s">
        <v>131</v>
      </c>
      <c r="C1" t="s">
        <v>132</v>
      </c>
      <c r="D1" t="s">
        <v>3</v>
      </c>
    </row>
    <row r="2" spans="1:4" x14ac:dyDescent="0.25">
      <c r="A2" s="1" t="s">
        <v>133</v>
      </c>
      <c r="B2" s="1" t="s">
        <v>134</v>
      </c>
      <c r="C2" s="1" t="s">
        <v>135</v>
      </c>
      <c r="D2" s="1" t="s">
        <v>136</v>
      </c>
    </row>
    <row r="3" spans="1:4" x14ac:dyDescent="0.25">
      <c r="A3" s="1" t="s">
        <v>137</v>
      </c>
      <c r="B3" s="1" t="s">
        <v>138</v>
      </c>
      <c r="C3" s="1" t="s">
        <v>139</v>
      </c>
      <c r="D3" s="1" t="s">
        <v>140</v>
      </c>
    </row>
    <row r="4" spans="1:4" x14ac:dyDescent="0.25">
      <c r="A4" s="1" t="s">
        <v>141</v>
      </c>
      <c r="B4" s="1" t="s">
        <v>142</v>
      </c>
      <c r="C4" s="1" t="s">
        <v>143</v>
      </c>
      <c r="D4" s="1" t="s">
        <v>144</v>
      </c>
    </row>
    <row r="5" spans="1:4" x14ac:dyDescent="0.25">
      <c r="A5" s="1" t="s">
        <v>145</v>
      </c>
      <c r="B5" s="1" t="s">
        <v>146</v>
      </c>
      <c r="C5" s="1" t="s">
        <v>147</v>
      </c>
      <c r="D5" s="1" t="s">
        <v>148</v>
      </c>
    </row>
    <row r="6" spans="1:4" x14ac:dyDescent="0.25">
      <c r="A6" s="1" t="s">
        <v>149</v>
      </c>
      <c r="B6" s="1" t="s">
        <v>150</v>
      </c>
      <c r="C6" s="1" t="s">
        <v>151</v>
      </c>
      <c r="D6" s="1" t="s">
        <v>152</v>
      </c>
    </row>
    <row r="7" spans="1:4" x14ac:dyDescent="0.25">
      <c r="A7" s="1" t="s">
        <v>153</v>
      </c>
      <c r="B7" s="1" t="s">
        <v>154</v>
      </c>
      <c r="C7" s="1" t="s">
        <v>155</v>
      </c>
      <c r="D7" s="1" t="s">
        <v>156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F3AF2-7AAE-44FD-9C6E-74AAECAA21B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5B8B2F-9E23-4F63-ACE5-55ED526749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INPUT_GLOBAL</vt:lpstr>
      <vt:lpstr>LOOKUP_FASE</vt:lpstr>
      <vt:lpstr>SIMULASI_HARIAN</vt:lpstr>
      <vt:lpstr>RINGKASAN</vt:lpstr>
      <vt:lpstr>REFERENSI_ASUMSI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 Oxo Nusantara</dc:creator>
  <cp:lastModifiedBy>Petro Oxo Nusantara</cp:lastModifiedBy>
  <dcterms:created xsi:type="dcterms:W3CDTF">2026-05-16T10:03:13Z</dcterms:created>
  <dcterms:modified xsi:type="dcterms:W3CDTF">2026-05-16T10:13:12Z</dcterms:modified>
</cp:coreProperties>
</file>