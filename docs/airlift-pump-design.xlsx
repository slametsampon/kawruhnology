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TA\Projects\kawruhnology\docs\"/>
    </mc:Choice>
  </mc:AlternateContent>
  <xr:revisionPtr revIDLastSave="0" documentId="13_ncr:1_{C8BAB657-0BC2-4E1D-B5DF-C70EEF89034E}" xr6:coauthVersionLast="47" xr6:coauthVersionMax="47" xr10:uidLastSave="{00000000-0000-0000-0000-000000000000}"/>
  <bookViews>
    <workbookView xWindow="390" yWindow="390" windowWidth="15180" windowHeight="11385" xr2:uid="{AC3BD9D6-CAE3-4C4D-8869-82B1FC86F58B}"/>
  </bookViews>
  <sheets>
    <sheet name="simulation" sheetId="6" r:id="rId1"/>
  </sheets>
  <definedNames>
    <definedName name="ExternalData_4" localSheetId="0" hidden="1">simulation!$A$1:$I$28</definedName>
  </definedNames>
  <calcPr calcId="191029"/>
</workbook>
</file>

<file path=xl/calcChain.xml><?xml version="1.0" encoding="utf-8"?>
<calcChain xmlns="http://schemas.openxmlformats.org/spreadsheetml/2006/main">
  <c r="F25" i="6" l="1"/>
  <c r="F26" i="6" s="1"/>
  <c r="F18" i="6"/>
  <c r="F17" i="6"/>
  <c r="F11" i="6"/>
  <c r="F12" i="6" s="1"/>
  <c r="F14" i="6" s="1"/>
  <c r="F15" i="6" s="1"/>
  <c r="F5" i="6"/>
  <c r="F6" i="6" s="1"/>
  <c r="F7" i="6" s="1"/>
  <c r="F3" i="6"/>
  <c r="F20" i="6" l="1"/>
  <c r="F22" i="6" s="1"/>
  <c r="F27" i="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4DF2AE4-8033-4660-8C36-C222A21B8498}" keepAlive="1" name="Query - air_lift_pump_design_formula" description="Connection to the 'air_lift_pump_design_formula' query in the workbook." type="5" refreshedVersion="8" background="1" saveData="1">
    <dbPr connection="Provider=Microsoft.Mashup.OleDb.1;Data Source=$Workbook$;Location=air_lift_pump_design_formula;Extended Properties=&quot;&quot;" command="SELECT * FROM [air_lift_pump_design_formula]"/>
  </connection>
  <connection id="2" xr16:uid="{AF07577B-BB37-4A51-A353-5464B4C8ECC1}" keepAlive="1" name="Query - air_lift_pump_design_formula (2)" description="Connection to the 'air_lift_pump_design_formula (2)' query in the workbook." type="5" refreshedVersion="8" background="1" saveData="1">
    <dbPr connection="Provider=Microsoft.Mashup.OleDb.1;Data Source=$Workbook$;Location=&quot;air_lift_pump_design_formula (2)&quot;;Extended Properties=&quot;&quot;" command="SELECT * FROM [air_lift_pump_design_formula (2)]"/>
  </connection>
  <connection id="3" xr16:uid="{3164F1D9-3026-4040-9B54-0EADA57CFFF1}" keepAlive="1" name="Query - air_lift_pump_design_formula (3)" description="Connection to the 'air_lift_pump_design_formula (3)' query in the workbook." type="5" refreshedVersion="0" background="1">
    <dbPr connection="Provider=Microsoft.Mashup.OleDb.1;Data Source=$Workbook$;Location=&quot;air_lift_pump_design_formula (3)&quot;;Extended Properties=&quot;&quot;" command="SELECT * FROM [air_lift_pump_design_formula (3)]"/>
  </connection>
  <connection id="4" xr16:uid="{7BCAE8FC-6E1A-4CEB-9EB9-EDCDEEA2E7A9}" keepAlive="1" name="Query - air_lift_pump_design_formula (4)" description="Connection to the 'air_lift_pump_design_formula (4)' query in the workbook." type="5" refreshedVersion="8" background="1" saveData="1">
    <dbPr connection="Provider=Microsoft.Mashup.OleDb.1;Data Source=$Workbook$;Location=&quot;air_lift_pump_design_formula (4)&quot;;Extended Properties=&quot;&quot;" command="SELECT * FROM [air_lift_pump_design_formula (4)]"/>
  </connection>
  <connection id="5" xr16:uid="{DA43983C-D192-44E6-931D-B715B29F785E}" keepAlive="1" name="Query - INPUT" description="Connection to the 'INPUT' query in the workbook." type="5" refreshedVersion="0" background="1">
    <dbPr connection="Provider=Microsoft.Mashup.OleDb.1;Data Source=$Workbook$;Location=INPUT;Extended Properties=&quot;&quot;" command="SELECT * FROM [INPUT]"/>
  </connection>
</connections>
</file>

<file path=xl/sharedStrings.xml><?xml version="1.0" encoding="utf-8"?>
<sst xmlns="http://schemas.openxmlformats.org/spreadsheetml/2006/main" count="198" uniqueCount="149">
  <si>
    <t>D</t>
  </si>
  <si>
    <t>m</t>
  </si>
  <si>
    <t>h</t>
  </si>
  <si>
    <t>W</t>
  </si>
  <si>
    <t>SF</t>
  </si>
  <si>
    <t>-</t>
  </si>
  <si>
    <t>Input</t>
  </si>
  <si>
    <t>Debit air</t>
  </si>
  <si>
    <t>Q_water</t>
  </si>
  <si>
    <t>m3/jam</t>
  </si>
  <si>
    <t>Input manual</t>
  </si>
  <si>
    <t>Target kapasitas aliran air</t>
  </si>
  <si>
    <t>Konversi</t>
  </si>
  <si>
    <t>Debit air SI</t>
  </si>
  <si>
    <t>Q_water_s</t>
  </si>
  <si>
    <t>m3/s</t>
  </si>
  <si>
    <t>Q_water/3600</t>
  </si>
  <si>
    <t>Konversi m3/jam ke m3/s</t>
  </si>
  <si>
    <t>Kecepatan air dalam pipa</t>
  </si>
  <si>
    <t>v_water</t>
  </si>
  <si>
    <t>m/s</t>
  </si>
  <si>
    <t>Perhitungan</t>
  </si>
  <si>
    <t>Luas penampang pipa</t>
  </si>
  <si>
    <t>A</t>
  </si>
  <si>
    <t>m2</t>
  </si>
  <si>
    <t>Q_water_s/v_water</t>
  </si>
  <si>
    <t>Luas minimum lift tube</t>
  </si>
  <si>
    <t>Diameter dalam pipa</t>
  </si>
  <si>
    <t>2*SQRT(A/PI())</t>
  </si>
  <si>
    <t>Diameter teoritis lift tube</t>
  </si>
  <si>
    <t>D_cm</t>
  </si>
  <si>
    <t>cm</t>
  </si>
  <si>
    <t>D*100</t>
  </si>
  <si>
    <t>Diameter dalam cm</t>
  </si>
  <si>
    <t>Kedalaman injeksi udara</t>
  </si>
  <si>
    <t>Kedalaman diffuser dari permukaan air</t>
  </si>
  <si>
    <t>Konstanta</t>
  </si>
  <si>
    <t>Densitas air</t>
  </si>
  <si>
    <t>rho</t>
  </si>
  <si>
    <t>kg/m3</t>
  </si>
  <si>
    <t>Untuk air tawar</t>
  </si>
  <si>
    <t>Gravitasi</t>
  </si>
  <si>
    <t>g</t>
  </si>
  <si>
    <t>m/s2</t>
  </si>
  <si>
    <t>Percepatan gravitasi</t>
  </si>
  <si>
    <t>Tekanan hidrostatik</t>
  </si>
  <si>
    <t>P_hydro</t>
  </si>
  <si>
    <t>Pa</t>
  </si>
  <si>
    <t>rho*g*h</t>
  </si>
  <si>
    <t>Tekanan minimum akibat kedalaman air</t>
  </si>
  <si>
    <t>P_bar</t>
  </si>
  <si>
    <t>bar</t>
  </si>
  <si>
    <t>P_hydro/100000</t>
  </si>
  <si>
    <t>Tekanan dalam bar</t>
  </si>
  <si>
    <t>Desain</t>
  </si>
  <si>
    <t>Tekanan kompresor rekomendasi</t>
  </si>
  <si>
    <t>P_comp</t>
  </si>
  <si>
    <t>Tekanan kompresor SI</t>
  </si>
  <si>
    <t>P_comp_Pa</t>
  </si>
  <si>
    <t>P_comp*100000</t>
  </si>
  <si>
    <t>Tekanan kompresor dalam Pa</t>
  </si>
  <si>
    <t>Rasio udara-air</t>
  </si>
  <si>
    <t>R</t>
  </si>
  <si>
    <t>Umumnya 1 sampai 2</t>
  </si>
  <si>
    <t>Debit udara</t>
  </si>
  <si>
    <t>Q_air</t>
  </si>
  <si>
    <t>R*Q_water</t>
  </si>
  <si>
    <t>Kebutuhan debit udara</t>
  </si>
  <si>
    <t>Debit udara SI</t>
  </si>
  <si>
    <t>Q_air_s</t>
  </si>
  <si>
    <t>Q_air/3600</t>
  </si>
  <si>
    <t>Debit udara dalam m3/s</t>
  </si>
  <si>
    <t>Efisiensi kompresor</t>
  </si>
  <si>
    <t>eta</t>
  </si>
  <si>
    <t>Umumnya 0.7 sampai 0.9</t>
  </si>
  <si>
    <t>Daya kompresor teoritis</t>
  </si>
  <si>
    <t>P_power</t>
  </si>
  <si>
    <t>Daya minimum teoritis</t>
  </si>
  <si>
    <t>Daya kompresor rekomendasi</t>
  </si>
  <si>
    <t>P_recom</t>
  </si>
  <si>
    <t>Diameter lubang diffuser</t>
  </si>
  <si>
    <t>d_hole</t>
  </si>
  <si>
    <t>mm</t>
  </si>
  <si>
    <t>Umumnya 0.5 sampai 1 mm</t>
  </si>
  <si>
    <t>Jumlah lubang diffuser</t>
  </si>
  <si>
    <t>N_hole</t>
  </si>
  <si>
    <t>buah</t>
  </si>
  <si>
    <t>Luas total lubang diffuser</t>
  </si>
  <si>
    <t>A_hole_total</t>
  </si>
  <si>
    <t>mm2</t>
  </si>
  <si>
    <t>N_hole*PI()*(d_hole/2)^2</t>
  </si>
  <si>
    <t>Luas total outlet udara diffuser</t>
  </si>
  <si>
    <t>A_hole_m2</t>
  </si>
  <si>
    <t>A_hole_total/1000000</t>
  </si>
  <si>
    <t>Konversi mm2 ke m2</t>
  </si>
  <si>
    <t>Kecepatan udara keluar diffuser</t>
  </si>
  <si>
    <t>v_air</t>
  </si>
  <si>
    <t>Q_air_s/A_hole_m2</t>
  </si>
  <si>
    <t>Kecepatan udara di lubang diffuser</t>
  </si>
  <si>
    <t>lift_height</t>
  </si>
  <si>
    <t>Nilai awal 0.5 sampai 2 m/s</t>
  </si>
  <si>
    <t>Margin tekanan udara</t>
  </si>
  <si>
    <t>margin_P</t>
  </si>
  <si>
    <t>Tambahan tekanan untuk rugi-rugi</t>
  </si>
  <si>
    <t>P_bar+margin_P</t>
  </si>
  <si>
    <t>Tekanan kerja kompresor</t>
  </si>
  <si>
    <t>Q_air_s*P_comp_Pa/eta</t>
  </si>
  <si>
    <t>Safety factor daya</t>
  </si>
  <si>
    <t>Cadangan daya 30 persen</t>
  </si>
  <si>
    <t>P_power*SF</t>
  </si>
  <si>
    <t>Awal desain diffuser</t>
  </si>
  <si>
    <t>Tinggi angkat outlet</t>
  </si>
  <si>
    <t>Tinggi outlet dari permukaan air</t>
  </si>
  <si>
    <t>No</t>
  </si>
  <si>
    <t>Kategori</t>
  </si>
  <si>
    <t>Parameter</t>
  </si>
  <si>
    <t>Simbol</t>
  </si>
  <si>
    <t>Satuan</t>
  </si>
  <si>
    <t>Nilai Awal</t>
  </si>
  <si>
    <t>Rumus Umum</t>
  </si>
  <si>
    <t>Formula Excel</t>
  </si>
  <si>
    <t>Keterangan</t>
  </si>
  <si>
    <t>=F2</t>
  </si>
  <si>
    <t>=F2/3600</t>
  </si>
  <si>
    <t>=F4</t>
  </si>
  <si>
    <t>=F3/F4</t>
  </si>
  <si>
    <t>=2*SQRT(F5/PI())</t>
  </si>
  <si>
    <t>=F6*100</t>
  </si>
  <si>
    <t>=F8</t>
  </si>
  <si>
    <t>=1000</t>
  </si>
  <si>
    <t>=9.81</t>
  </si>
  <si>
    <t>=F9*F10*F8</t>
  </si>
  <si>
    <t>=F11/100000</t>
  </si>
  <si>
    <t>=F13</t>
  </si>
  <si>
    <t>=F12+F13</t>
  </si>
  <si>
    <t>=F14*100000</t>
  </si>
  <si>
    <t>=F16</t>
  </si>
  <si>
    <t>=F16*F2</t>
  </si>
  <si>
    <t>=F17/3600</t>
  </si>
  <si>
    <t>=F19</t>
  </si>
  <si>
    <t>=F18*F15/F19</t>
  </si>
  <si>
    <t>=F21</t>
  </si>
  <si>
    <t>=F20*F21</t>
  </si>
  <si>
    <t>=F23</t>
  </si>
  <si>
    <t>=F24</t>
  </si>
  <si>
    <t>=F24*PI()*(F23/2)^2</t>
  </si>
  <si>
    <t>=F25/1000000</t>
  </si>
  <si>
    <t>=F18/F26</t>
  </si>
  <si>
    <t>=F28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</si>
</sst>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NumberFormat="1"/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8">
    <dxf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4" xr16:uid="{F0E52AE5-D356-4286-9B61-D7D8CB58CF35}" autoFormatId="16" applyNumberFormats="0" applyBorderFormats="0" applyFontFormats="0" applyPatternFormats="0" applyAlignmentFormats="0" applyWidthHeightFormats="0">
  <queryTableRefresh nextId="10">
    <queryTableFields count="9">
      <queryTableField id="1" name="No" tableColumnId="1"/>
      <queryTableField id="2" name="Kategori" tableColumnId="2"/>
      <queryTableField id="3" name="Parameter" tableColumnId="3"/>
      <queryTableField id="4" name="Simbol" tableColumnId="4"/>
      <queryTableField id="5" name="Satuan" tableColumnId="5"/>
      <queryTableField id="6" name="Nilai Awal" tableColumnId="6"/>
      <queryTableField id="7" name="Rumus Umum" tableColumnId="7"/>
      <queryTableField id="8" name="Formula Excel" tableColumnId="8"/>
      <queryTableField id="9" name="Keterangan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FB1D3EE-0651-4CE8-A48D-0D7C7D085CF0}" name="air_lift_pump_design_formula__4" displayName="air_lift_pump_design_formula__4" ref="A1:I28" tableType="queryTable" totalsRowShown="0">
  <autoFilter ref="A1:I28" xr:uid="{0FB1D3EE-0651-4CE8-A48D-0D7C7D085CF0}"/>
  <tableColumns count="9">
    <tableColumn id="1" xr3:uid="{C8A044A1-479A-485B-B8CF-643ADCF9BC06}" uniqueName="1" name="No" queryTableFieldId="1"/>
    <tableColumn id="2" xr3:uid="{EBB15678-70BF-4C33-8E44-D334910B68A8}" uniqueName="2" name="Kategori" queryTableFieldId="2" dataDxfId="7"/>
    <tableColumn id="3" xr3:uid="{15D7CDA9-6B4C-4908-9082-6FCA454AD738}" uniqueName="3" name="Parameter" queryTableFieldId="3" dataDxfId="6"/>
    <tableColumn id="4" xr3:uid="{F61542EC-D19C-4583-B3D4-B569B92158BB}" uniqueName="4" name="Simbol" queryTableFieldId="4" dataDxfId="5"/>
    <tableColumn id="5" xr3:uid="{8293F415-41A4-4933-94C3-11DBC0B4C251}" uniqueName="5" name="Satuan" queryTableFieldId="5" dataDxfId="2"/>
    <tableColumn id="6" xr3:uid="{79480AA7-D66E-4537-B862-32417BCF9C0A}" uniqueName="6" name="Nilai Awal" queryTableFieldId="6" dataDxfId="0"/>
    <tableColumn id="7" xr3:uid="{C5FFBBEB-9270-4B78-A201-80C36DCDE8BC}" uniqueName="7" name="Rumus Umum" queryTableFieldId="7" dataDxfId="1"/>
    <tableColumn id="8" xr3:uid="{0CF8BC47-E6B0-4970-B64F-F3CE9B81547E}" uniqueName="8" name="Formula Excel" queryTableFieldId="8" dataDxfId="4"/>
    <tableColumn id="9" xr3:uid="{C9B4CEDC-061D-4310-9E53-41921BD04E59}" uniqueName="9" name="Keterangan" queryTableFieldId="9" dataDxf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D4282-F34D-4277-ABA8-CDBB56F9EC40}">
  <dimension ref="A1:I28"/>
  <sheetViews>
    <sheetView tabSelected="1" workbookViewId="0">
      <selection activeCell="G12" sqref="G12"/>
    </sheetView>
  </sheetViews>
  <sheetFormatPr defaultRowHeight="15" x14ac:dyDescent="0.25"/>
  <cols>
    <col min="1" max="1" width="5.85546875" bestFit="1" customWidth="1"/>
    <col min="2" max="2" width="11.85546875" bestFit="1" customWidth="1"/>
    <col min="3" max="3" width="31.140625" bestFit="1" customWidth="1"/>
    <col min="4" max="4" width="12.42578125" bestFit="1" customWidth="1"/>
    <col min="5" max="5" width="9.28515625" bestFit="1" customWidth="1"/>
    <col min="6" max="6" width="12.28515625" style="2" bestFit="1" customWidth="1"/>
    <col min="7" max="7" width="24.42578125" bestFit="1" customWidth="1"/>
    <col min="8" max="8" width="18.7109375" bestFit="1" customWidth="1"/>
    <col min="9" max="9" width="37" bestFit="1" customWidth="1"/>
  </cols>
  <sheetData>
    <row r="1" spans="1:9" x14ac:dyDescent="0.25">
      <c r="A1" t="s">
        <v>113</v>
      </c>
      <c r="B1" t="s">
        <v>114</v>
      </c>
      <c r="C1" t="s">
        <v>115</v>
      </c>
      <c r="D1" t="s">
        <v>116</v>
      </c>
      <c r="E1" t="s">
        <v>117</v>
      </c>
      <c r="F1" s="2" t="s">
        <v>118</v>
      </c>
      <c r="G1" t="s">
        <v>119</v>
      </c>
      <c r="H1" t="s">
        <v>120</v>
      </c>
      <c r="I1" t="s">
        <v>121</v>
      </c>
    </row>
    <row r="2" spans="1:9" x14ac:dyDescent="0.25">
      <c r="A2">
        <v>1</v>
      </c>
      <c r="B2" s="1" t="s">
        <v>6</v>
      </c>
      <c r="C2" s="1" t="s">
        <v>7</v>
      </c>
      <c r="D2" s="1" t="s">
        <v>8</v>
      </c>
      <c r="E2" s="1" t="s">
        <v>9</v>
      </c>
      <c r="F2" s="2">
        <v>5</v>
      </c>
      <c r="G2" s="1" t="s">
        <v>10</v>
      </c>
      <c r="H2" s="1" t="s">
        <v>122</v>
      </c>
      <c r="I2" s="1" t="s">
        <v>11</v>
      </c>
    </row>
    <row r="3" spans="1:9" x14ac:dyDescent="0.25">
      <c r="A3">
        <v>2</v>
      </c>
      <c r="B3" s="1" t="s">
        <v>12</v>
      </c>
      <c r="C3" s="1" t="s">
        <v>13</v>
      </c>
      <c r="D3" s="1" t="s">
        <v>14</v>
      </c>
      <c r="E3" s="1" t="s">
        <v>15</v>
      </c>
      <c r="F3" s="3">
        <f>F2/3600</f>
        <v>1.3888888888888889E-3</v>
      </c>
      <c r="G3" s="1" t="s">
        <v>16</v>
      </c>
      <c r="H3" s="1" t="s">
        <v>123</v>
      </c>
      <c r="I3" s="1" t="s">
        <v>17</v>
      </c>
    </row>
    <row r="4" spans="1:9" x14ac:dyDescent="0.25">
      <c r="A4">
        <v>3</v>
      </c>
      <c r="B4" s="1" t="s">
        <v>6</v>
      </c>
      <c r="C4" s="1" t="s">
        <v>18</v>
      </c>
      <c r="D4" s="1" t="s">
        <v>19</v>
      </c>
      <c r="E4" s="1" t="s">
        <v>20</v>
      </c>
      <c r="F4" s="2">
        <v>1</v>
      </c>
      <c r="G4" s="1" t="s">
        <v>10</v>
      </c>
      <c r="H4" s="1" t="s">
        <v>124</v>
      </c>
      <c r="I4" s="1" t="s">
        <v>100</v>
      </c>
    </row>
    <row r="5" spans="1:9" x14ac:dyDescent="0.25">
      <c r="A5">
        <v>4</v>
      </c>
      <c r="B5" s="1" t="s">
        <v>21</v>
      </c>
      <c r="C5" s="1" t="s">
        <v>22</v>
      </c>
      <c r="D5" s="1" t="s">
        <v>23</v>
      </c>
      <c r="E5" s="1" t="s">
        <v>24</v>
      </c>
      <c r="F5" s="3">
        <f>F3/F4</f>
        <v>1.3888888888888889E-3</v>
      </c>
      <c r="G5" s="1" t="s">
        <v>25</v>
      </c>
      <c r="H5" s="1" t="s">
        <v>125</v>
      </c>
      <c r="I5" s="1" t="s">
        <v>26</v>
      </c>
    </row>
    <row r="6" spans="1:9" x14ac:dyDescent="0.25">
      <c r="A6">
        <v>5</v>
      </c>
      <c r="B6" s="1" t="s">
        <v>21</v>
      </c>
      <c r="C6" s="1" t="s">
        <v>27</v>
      </c>
      <c r="D6" s="1" t="s">
        <v>0</v>
      </c>
      <c r="E6" s="1" t="s">
        <v>1</v>
      </c>
      <c r="F6" s="3">
        <f>2*SQRT(F5/PI())</f>
        <v>4.2052208700336005E-2</v>
      </c>
      <c r="G6" s="1" t="s">
        <v>28</v>
      </c>
      <c r="H6" s="1" t="s">
        <v>126</v>
      </c>
      <c r="I6" s="1" t="s">
        <v>29</v>
      </c>
    </row>
    <row r="7" spans="1:9" x14ac:dyDescent="0.25">
      <c r="A7">
        <v>6</v>
      </c>
      <c r="B7" s="1" t="s">
        <v>12</v>
      </c>
      <c r="C7" s="1" t="s">
        <v>27</v>
      </c>
      <c r="D7" s="1" t="s">
        <v>30</v>
      </c>
      <c r="E7" s="1" t="s">
        <v>31</v>
      </c>
      <c r="F7" s="3">
        <f>F6*100</f>
        <v>4.2052208700336005</v>
      </c>
      <c r="G7" s="1" t="s">
        <v>32</v>
      </c>
      <c r="H7" s="1" t="s">
        <v>127</v>
      </c>
      <c r="I7" s="1" t="s">
        <v>33</v>
      </c>
    </row>
    <row r="8" spans="1:9" x14ac:dyDescent="0.25">
      <c r="A8">
        <v>7</v>
      </c>
      <c r="B8" s="1" t="s">
        <v>6</v>
      </c>
      <c r="C8" s="1" t="s">
        <v>34</v>
      </c>
      <c r="D8" s="1" t="s">
        <v>2</v>
      </c>
      <c r="E8" s="1" t="s">
        <v>1</v>
      </c>
      <c r="F8" s="2">
        <v>2</v>
      </c>
      <c r="G8" s="1" t="s">
        <v>10</v>
      </c>
      <c r="H8" s="1" t="s">
        <v>128</v>
      </c>
      <c r="I8" s="1" t="s">
        <v>35</v>
      </c>
    </row>
    <row r="9" spans="1:9" x14ac:dyDescent="0.25">
      <c r="A9">
        <v>8</v>
      </c>
      <c r="B9" s="1" t="s">
        <v>36</v>
      </c>
      <c r="C9" s="1" t="s">
        <v>37</v>
      </c>
      <c r="D9" s="1" t="s">
        <v>38</v>
      </c>
      <c r="E9" s="1" t="s">
        <v>39</v>
      </c>
      <c r="F9" s="2">
        <v>1000</v>
      </c>
      <c r="G9" s="1" t="s">
        <v>36</v>
      </c>
      <c r="H9" s="1" t="s">
        <v>129</v>
      </c>
      <c r="I9" s="1" t="s">
        <v>40</v>
      </c>
    </row>
    <row r="10" spans="1:9" x14ac:dyDescent="0.25">
      <c r="A10">
        <v>9</v>
      </c>
      <c r="B10" s="1" t="s">
        <v>36</v>
      </c>
      <c r="C10" s="1" t="s">
        <v>41</v>
      </c>
      <c r="D10" s="1" t="s">
        <v>42</v>
      </c>
      <c r="E10" s="1" t="s">
        <v>43</v>
      </c>
      <c r="F10" s="2">
        <v>981</v>
      </c>
      <c r="G10" s="1" t="s">
        <v>36</v>
      </c>
      <c r="H10" s="1" t="s">
        <v>130</v>
      </c>
      <c r="I10" s="1" t="s">
        <v>44</v>
      </c>
    </row>
    <row r="11" spans="1:9" x14ac:dyDescent="0.25">
      <c r="A11">
        <v>10</v>
      </c>
      <c r="B11" s="1" t="s">
        <v>21</v>
      </c>
      <c r="C11" s="1" t="s">
        <v>45</v>
      </c>
      <c r="D11" s="1" t="s">
        <v>46</v>
      </c>
      <c r="E11" s="1" t="s">
        <v>47</v>
      </c>
      <c r="F11" s="3">
        <f>F9*F10*F8</f>
        <v>1962000</v>
      </c>
      <c r="G11" s="1" t="s">
        <v>48</v>
      </c>
      <c r="H11" s="1" t="s">
        <v>131</v>
      </c>
      <c r="I11" s="1" t="s">
        <v>49</v>
      </c>
    </row>
    <row r="12" spans="1:9" x14ac:dyDescent="0.25">
      <c r="A12">
        <v>11</v>
      </c>
      <c r="B12" s="1" t="s">
        <v>12</v>
      </c>
      <c r="C12" s="1" t="s">
        <v>45</v>
      </c>
      <c r="D12" s="1" t="s">
        <v>50</v>
      </c>
      <c r="E12" s="1" t="s">
        <v>51</v>
      </c>
      <c r="F12" s="3">
        <f>F11/100000</f>
        <v>19.62</v>
      </c>
      <c r="G12" s="1" t="s">
        <v>52</v>
      </c>
      <c r="H12" s="1" t="s">
        <v>132</v>
      </c>
      <c r="I12" s="1" t="s">
        <v>53</v>
      </c>
    </row>
    <row r="13" spans="1:9" x14ac:dyDescent="0.25">
      <c r="A13">
        <v>12</v>
      </c>
      <c r="B13" s="1" t="s">
        <v>6</v>
      </c>
      <c r="C13" s="1" t="s">
        <v>101</v>
      </c>
      <c r="D13" s="1" t="s">
        <v>102</v>
      </c>
      <c r="E13" s="1" t="s">
        <v>51</v>
      </c>
      <c r="F13" s="2">
        <v>1</v>
      </c>
      <c r="G13" s="1" t="s">
        <v>10</v>
      </c>
      <c r="H13" s="1" t="s">
        <v>133</v>
      </c>
      <c r="I13" s="1" t="s">
        <v>103</v>
      </c>
    </row>
    <row r="14" spans="1:9" x14ac:dyDescent="0.25">
      <c r="A14">
        <v>13</v>
      </c>
      <c r="B14" s="1" t="s">
        <v>54</v>
      </c>
      <c r="C14" s="1" t="s">
        <v>55</v>
      </c>
      <c r="D14" s="1" t="s">
        <v>56</v>
      </c>
      <c r="E14" s="1" t="s">
        <v>51</v>
      </c>
      <c r="F14" s="3">
        <f>F12+F13</f>
        <v>20.62</v>
      </c>
      <c r="G14" s="1" t="s">
        <v>104</v>
      </c>
      <c r="H14" s="1" t="s">
        <v>134</v>
      </c>
      <c r="I14" s="1" t="s">
        <v>105</v>
      </c>
    </row>
    <row r="15" spans="1:9" x14ac:dyDescent="0.25">
      <c r="A15">
        <v>14</v>
      </c>
      <c r="B15" s="1" t="s">
        <v>12</v>
      </c>
      <c r="C15" s="1" t="s">
        <v>57</v>
      </c>
      <c r="D15" s="1" t="s">
        <v>58</v>
      </c>
      <c r="E15" s="1" t="s">
        <v>47</v>
      </c>
      <c r="F15" s="3">
        <f>F14*100000</f>
        <v>2062000</v>
      </c>
      <c r="G15" s="1" t="s">
        <v>59</v>
      </c>
      <c r="H15" s="1" t="s">
        <v>135</v>
      </c>
      <c r="I15" s="1" t="s">
        <v>60</v>
      </c>
    </row>
    <row r="16" spans="1:9" x14ac:dyDescent="0.25">
      <c r="A16">
        <v>15</v>
      </c>
      <c r="B16" s="1" t="s">
        <v>6</v>
      </c>
      <c r="C16" s="1" t="s">
        <v>61</v>
      </c>
      <c r="D16" s="1" t="s">
        <v>62</v>
      </c>
      <c r="E16" s="1" t="s">
        <v>5</v>
      </c>
      <c r="F16" s="2">
        <v>12</v>
      </c>
      <c r="G16" s="1" t="s">
        <v>10</v>
      </c>
      <c r="H16" s="1" t="s">
        <v>136</v>
      </c>
      <c r="I16" s="1" t="s">
        <v>63</v>
      </c>
    </row>
    <row r="17" spans="1:9" x14ac:dyDescent="0.25">
      <c r="A17">
        <v>16</v>
      </c>
      <c r="B17" s="1" t="s">
        <v>21</v>
      </c>
      <c r="C17" s="1" t="s">
        <v>64</v>
      </c>
      <c r="D17" s="1" t="s">
        <v>65</v>
      </c>
      <c r="E17" s="1" t="s">
        <v>9</v>
      </c>
      <c r="F17" s="3">
        <f>F16*F2</f>
        <v>60</v>
      </c>
      <c r="G17" s="1" t="s">
        <v>66</v>
      </c>
      <c r="H17" s="1" t="s">
        <v>137</v>
      </c>
      <c r="I17" s="1" t="s">
        <v>67</v>
      </c>
    </row>
    <row r="18" spans="1:9" x14ac:dyDescent="0.25">
      <c r="A18">
        <v>17</v>
      </c>
      <c r="B18" s="1" t="s">
        <v>12</v>
      </c>
      <c r="C18" s="1" t="s">
        <v>68</v>
      </c>
      <c r="D18" s="1" t="s">
        <v>69</v>
      </c>
      <c r="E18" s="1" t="s">
        <v>15</v>
      </c>
      <c r="F18" s="3">
        <f>F17/3600</f>
        <v>1.6666666666666666E-2</v>
      </c>
      <c r="G18" s="1" t="s">
        <v>70</v>
      </c>
      <c r="H18" s="1" t="s">
        <v>138</v>
      </c>
      <c r="I18" s="1" t="s">
        <v>71</v>
      </c>
    </row>
    <row r="19" spans="1:9" x14ac:dyDescent="0.25">
      <c r="A19">
        <v>18</v>
      </c>
      <c r="B19" s="1" t="s">
        <v>6</v>
      </c>
      <c r="C19" s="1" t="s">
        <v>72</v>
      </c>
      <c r="D19" s="1" t="s">
        <v>73</v>
      </c>
      <c r="E19" s="1" t="s">
        <v>5</v>
      </c>
      <c r="F19" s="2">
        <v>75</v>
      </c>
      <c r="G19" s="1" t="s">
        <v>10</v>
      </c>
      <c r="H19" s="1" t="s">
        <v>139</v>
      </c>
      <c r="I19" s="1" t="s">
        <v>74</v>
      </c>
    </row>
    <row r="20" spans="1:9" x14ac:dyDescent="0.25">
      <c r="A20">
        <v>19</v>
      </c>
      <c r="B20" s="1" t="s">
        <v>21</v>
      </c>
      <c r="C20" s="1" t="s">
        <v>75</v>
      </c>
      <c r="D20" s="1" t="s">
        <v>76</v>
      </c>
      <c r="E20" s="1" t="s">
        <v>3</v>
      </c>
      <c r="F20" s="3">
        <f>F18*F15/F19</f>
        <v>458.22222222222217</v>
      </c>
      <c r="G20" s="1" t="s">
        <v>106</v>
      </c>
      <c r="H20" s="1" t="s">
        <v>140</v>
      </c>
      <c r="I20" s="1" t="s">
        <v>77</v>
      </c>
    </row>
    <row r="21" spans="1:9" x14ac:dyDescent="0.25">
      <c r="A21">
        <v>20</v>
      </c>
      <c r="B21" s="1" t="s">
        <v>6</v>
      </c>
      <c r="C21" s="1" t="s">
        <v>107</v>
      </c>
      <c r="D21" s="1" t="s">
        <v>4</v>
      </c>
      <c r="E21" s="1" t="s">
        <v>5</v>
      </c>
      <c r="F21" s="2">
        <v>13</v>
      </c>
      <c r="G21" s="1" t="s">
        <v>10</v>
      </c>
      <c r="H21" s="1" t="s">
        <v>141</v>
      </c>
      <c r="I21" s="1" t="s">
        <v>108</v>
      </c>
    </row>
    <row r="22" spans="1:9" x14ac:dyDescent="0.25">
      <c r="A22">
        <v>21</v>
      </c>
      <c r="B22" s="1" t="s">
        <v>54</v>
      </c>
      <c r="C22" s="1" t="s">
        <v>78</v>
      </c>
      <c r="D22" s="1" t="s">
        <v>79</v>
      </c>
      <c r="E22" s="1" t="s">
        <v>3</v>
      </c>
      <c r="F22" s="3">
        <f>F20*F21</f>
        <v>5956.8888888888887</v>
      </c>
      <c r="G22" s="1" t="s">
        <v>109</v>
      </c>
      <c r="H22" s="1" t="s">
        <v>142</v>
      </c>
      <c r="I22" s="1" t="s">
        <v>78</v>
      </c>
    </row>
    <row r="23" spans="1:9" x14ac:dyDescent="0.25">
      <c r="A23">
        <v>22</v>
      </c>
      <c r="B23" s="1" t="s">
        <v>6</v>
      </c>
      <c r="C23" s="1" t="s">
        <v>80</v>
      </c>
      <c r="D23" s="1" t="s">
        <v>81</v>
      </c>
      <c r="E23" s="1" t="s">
        <v>82</v>
      </c>
      <c r="F23" s="2">
        <v>1</v>
      </c>
      <c r="G23" s="1" t="s">
        <v>10</v>
      </c>
      <c r="H23" s="1" t="s">
        <v>143</v>
      </c>
      <c r="I23" s="1" t="s">
        <v>83</v>
      </c>
    </row>
    <row r="24" spans="1:9" x14ac:dyDescent="0.25">
      <c r="A24">
        <v>23</v>
      </c>
      <c r="B24" s="1" t="s">
        <v>6</v>
      </c>
      <c r="C24" s="1" t="s">
        <v>84</v>
      </c>
      <c r="D24" s="1" t="s">
        <v>85</v>
      </c>
      <c r="E24" s="1" t="s">
        <v>86</v>
      </c>
      <c r="F24" s="2">
        <v>80</v>
      </c>
      <c r="G24" s="1" t="s">
        <v>10</v>
      </c>
      <c r="H24" s="1" t="s">
        <v>144</v>
      </c>
      <c r="I24" s="1" t="s">
        <v>110</v>
      </c>
    </row>
    <row r="25" spans="1:9" x14ac:dyDescent="0.25">
      <c r="A25">
        <v>24</v>
      </c>
      <c r="B25" s="1" t="s">
        <v>21</v>
      </c>
      <c r="C25" s="1" t="s">
        <v>87</v>
      </c>
      <c r="D25" s="1" t="s">
        <v>88</v>
      </c>
      <c r="E25" s="1" t="s">
        <v>89</v>
      </c>
      <c r="F25" s="3">
        <f>F24*PI()*(F23/2)^2</f>
        <v>62.831853071795862</v>
      </c>
      <c r="G25" s="1" t="s">
        <v>90</v>
      </c>
      <c r="H25" s="1" t="s">
        <v>145</v>
      </c>
      <c r="I25" s="1" t="s">
        <v>91</v>
      </c>
    </row>
    <row r="26" spans="1:9" x14ac:dyDescent="0.25">
      <c r="A26">
        <v>25</v>
      </c>
      <c r="B26" s="1" t="s">
        <v>12</v>
      </c>
      <c r="C26" s="1" t="s">
        <v>87</v>
      </c>
      <c r="D26" s="1" t="s">
        <v>92</v>
      </c>
      <c r="E26" s="1" t="s">
        <v>24</v>
      </c>
      <c r="F26" s="3">
        <f>F25/1000000</f>
        <v>6.2831853071795856E-5</v>
      </c>
      <c r="G26" s="1" t="s">
        <v>93</v>
      </c>
      <c r="H26" s="1" t="s">
        <v>146</v>
      </c>
      <c r="I26" s="1" t="s">
        <v>94</v>
      </c>
    </row>
    <row r="27" spans="1:9" x14ac:dyDescent="0.25">
      <c r="A27">
        <v>26</v>
      </c>
      <c r="B27" s="1" t="s">
        <v>21</v>
      </c>
      <c r="C27" s="1" t="s">
        <v>95</v>
      </c>
      <c r="D27" s="1" t="s">
        <v>96</v>
      </c>
      <c r="E27" s="1" t="s">
        <v>20</v>
      </c>
      <c r="F27" s="3">
        <f>F18/F26</f>
        <v>265.25823848649225</v>
      </c>
      <c r="G27" s="1" t="s">
        <v>97</v>
      </c>
      <c r="H27" s="1" t="s">
        <v>147</v>
      </c>
      <c r="I27" s="1" t="s">
        <v>98</v>
      </c>
    </row>
    <row r="28" spans="1:9" x14ac:dyDescent="0.25">
      <c r="A28">
        <v>27</v>
      </c>
      <c r="B28" s="1" t="s">
        <v>6</v>
      </c>
      <c r="C28" s="1" t="s">
        <v>111</v>
      </c>
      <c r="D28" s="1" t="s">
        <v>99</v>
      </c>
      <c r="E28" s="1" t="s">
        <v>1</v>
      </c>
      <c r="F28" s="2">
        <v>5</v>
      </c>
      <c r="G28" s="1" t="s">
        <v>10</v>
      </c>
      <c r="H28" s="1" t="s">
        <v>148</v>
      </c>
      <c r="I28" s="1" t="s">
        <v>112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A1CE613-7A36-432D-9FCB-25801655976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simulation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sam294</dc:creator>
  <cp:lastModifiedBy>Petro Oxo Nusantara</cp:lastModifiedBy>
  <dcterms:created xsi:type="dcterms:W3CDTF">2026-05-14T08:28:24Z</dcterms:created>
  <dcterms:modified xsi:type="dcterms:W3CDTF">2026-05-14T09:57:09Z</dcterms:modified>
</cp:coreProperties>
</file>