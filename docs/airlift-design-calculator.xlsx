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rojects\kawruhnology\docs\"/>
    </mc:Choice>
  </mc:AlternateContent>
  <xr:revisionPtr revIDLastSave="0" documentId="13_ncr:1_{A2BDFA7B-0545-44D6-91BC-FCCBCF8CFEC9}" xr6:coauthVersionLast="47" xr6:coauthVersionMax="47" xr10:uidLastSave="{00000000-0000-0000-0000-000000000000}"/>
  <bookViews>
    <workbookView xWindow="15" yWindow="0" windowWidth="19695" windowHeight="15600" firstSheet="1" activeTab="1" xr2:uid="{338C15F6-95AD-4550-AAD6-10940881E216}"/>
  </bookViews>
  <sheets>
    <sheet name="tambahan (2)" sheetId="8" r:id="rId1"/>
    <sheet name="airlift_design_calculator" sheetId="6" r:id="rId2"/>
    <sheet name="Sheet1" sheetId="1" r:id="rId3"/>
  </sheets>
  <definedNames>
    <definedName name="ExternalData_2" localSheetId="1" hidden="1">airlift_design_calculator!$B$2:$L$41</definedName>
    <definedName name="ExternalData_3" localSheetId="0" hidden="1">'tambahan (2)'!$A$1:$F$20</definedName>
    <definedName name="ExternalData_4" localSheetId="1" hidden="1">airlift_design_calculator!$A$42:$D$64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0" i="6" l="1"/>
  <c r="J51" i="6"/>
  <c r="J52" i="6"/>
  <c r="J53" i="6" s="1"/>
  <c r="J55" i="6"/>
  <c r="E52" i="6"/>
  <c r="E50" i="6"/>
  <c r="E39" i="6"/>
  <c r="E29" i="6"/>
  <c r="E28" i="6"/>
  <c r="E30" i="6" s="1"/>
  <c r="E31" i="6" s="1"/>
  <c r="E25" i="6"/>
  <c r="E21" i="6"/>
  <c r="E22" i="6" s="1"/>
  <c r="E20" i="6"/>
  <c r="E23" i="6" s="1"/>
  <c r="F52" i="6"/>
  <c r="F50" i="6"/>
  <c r="F39" i="6"/>
  <c r="F29" i="6"/>
  <c r="F28" i="6"/>
  <c r="F30" i="6" s="1"/>
  <c r="F31" i="6" s="1"/>
  <c r="F25" i="6"/>
  <c r="F21" i="6"/>
  <c r="F22" i="6" s="1"/>
  <c r="F20" i="6"/>
  <c r="F23" i="6" s="1"/>
  <c r="G52" i="6"/>
  <c r="G53" i="6" s="1"/>
  <c r="G50" i="6"/>
  <c r="G39" i="6"/>
  <c r="G30" i="6"/>
  <c r="G31" i="6" s="1"/>
  <c r="G29" i="6"/>
  <c r="G28" i="6"/>
  <c r="G25" i="6"/>
  <c r="G23" i="6"/>
  <c r="G24" i="6" s="1"/>
  <c r="G40" i="6" s="1"/>
  <c r="G22" i="6"/>
  <c r="G21" i="6"/>
  <c r="G20" i="6"/>
  <c r="H52" i="6"/>
  <c r="H50" i="6"/>
  <c r="H39" i="6"/>
  <c r="H29" i="6"/>
  <c r="H28" i="6"/>
  <c r="H30" i="6" s="1"/>
  <c r="H31" i="6" s="1"/>
  <c r="H25" i="6"/>
  <c r="H22" i="6"/>
  <c r="H21" i="6"/>
  <c r="H20" i="6"/>
  <c r="H23" i="6" s="1"/>
  <c r="I52" i="6"/>
  <c r="I50" i="6"/>
  <c r="I39" i="6"/>
  <c r="I29" i="6"/>
  <c r="I28" i="6"/>
  <c r="I30" i="6" s="1"/>
  <c r="I31" i="6" s="1"/>
  <c r="I25" i="6"/>
  <c r="I23" i="6"/>
  <c r="I24" i="6" s="1"/>
  <c r="I40" i="6" s="1"/>
  <c r="I21" i="6"/>
  <c r="I22" i="6" s="1"/>
  <c r="I20" i="6"/>
  <c r="J39" i="6"/>
  <c r="J29" i="6"/>
  <c r="J28" i="6"/>
  <c r="J30" i="6" s="1"/>
  <c r="J31" i="6" s="1"/>
  <c r="J25" i="6"/>
  <c r="J23" i="6"/>
  <c r="J21" i="6"/>
  <c r="J22" i="6" s="1"/>
  <c r="J20" i="6"/>
  <c r="D52" i="6"/>
  <c r="D53" i="6" s="1"/>
  <c r="D50" i="6"/>
  <c r="J54" i="6" l="1"/>
  <c r="J56" i="6" s="1"/>
  <c r="E24" i="6"/>
  <c r="E40" i="6" s="1"/>
  <c r="E26" i="6"/>
  <c r="E27" i="6" s="1"/>
  <c r="E53" i="6"/>
  <c r="F24" i="6"/>
  <c r="F40" i="6" s="1"/>
  <c r="F26" i="6"/>
  <c r="F27" i="6" s="1"/>
  <c r="F53" i="6"/>
  <c r="G51" i="6"/>
  <c r="G41" i="6"/>
  <c r="G26" i="6"/>
  <c r="G27" i="6" s="1"/>
  <c r="H24" i="6"/>
  <c r="H40" i="6" s="1"/>
  <c r="H26" i="6"/>
  <c r="H27" i="6" s="1"/>
  <c r="H53" i="6"/>
  <c r="I41" i="6"/>
  <c r="I51" i="6"/>
  <c r="I54" i="6" s="1"/>
  <c r="I56" i="6" s="1"/>
  <c r="I26" i="6"/>
  <c r="I27" i="6" s="1"/>
  <c r="I53" i="6"/>
  <c r="J24" i="6"/>
  <c r="J40" i="6" s="1"/>
  <c r="J26" i="6"/>
  <c r="J27" i="6" s="1"/>
  <c r="J58" i="6" l="1"/>
  <c r="J57" i="6"/>
  <c r="E32" i="6"/>
  <c r="E34" i="6" s="1"/>
  <c r="E35" i="6" s="1"/>
  <c r="E36" i="6" s="1"/>
  <c r="E33" i="6"/>
  <c r="E51" i="6"/>
  <c r="E41" i="6"/>
  <c r="F51" i="6"/>
  <c r="F41" i="6"/>
  <c r="F32" i="6"/>
  <c r="F34" i="6" s="1"/>
  <c r="F35" i="6" s="1"/>
  <c r="F36" i="6" s="1"/>
  <c r="F33" i="6"/>
  <c r="G55" i="6"/>
  <c r="G32" i="6"/>
  <c r="G34" i="6" s="1"/>
  <c r="G35" i="6" s="1"/>
  <c r="G36" i="6" s="1"/>
  <c r="G33" i="6"/>
  <c r="G54" i="6"/>
  <c r="G56" i="6" s="1"/>
  <c r="H51" i="6"/>
  <c r="H41" i="6"/>
  <c r="H32" i="6"/>
  <c r="H34" i="6" s="1"/>
  <c r="H35" i="6" s="1"/>
  <c r="H36" i="6" s="1"/>
  <c r="H33" i="6"/>
  <c r="I57" i="6"/>
  <c r="I55" i="6"/>
  <c r="I58" i="6" s="1"/>
  <c r="I32" i="6"/>
  <c r="I34" i="6" s="1"/>
  <c r="I35" i="6" s="1"/>
  <c r="I36" i="6" s="1"/>
  <c r="I33" i="6"/>
  <c r="J32" i="6"/>
  <c r="J34" i="6" s="1"/>
  <c r="J35" i="6" s="1"/>
  <c r="J36" i="6" s="1"/>
  <c r="J33" i="6"/>
  <c r="J41" i="6"/>
  <c r="J59" i="6" l="1"/>
  <c r="J60" i="6" s="1"/>
  <c r="E55" i="6"/>
  <c r="E54" i="6"/>
  <c r="E56" i="6" s="1"/>
  <c r="E38" i="6"/>
  <c r="E37" i="6"/>
  <c r="F55" i="6"/>
  <c r="F54" i="6"/>
  <c r="F56" i="6" s="1"/>
  <c r="F38" i="6"/>
  <c r="F37" i="6"/>
  <c r="G38" i="6"/>
  <c r="G37" i="6"/>
  <c r="G58" i="6"/>
  <c r="G57" i="6"/>
  <c r="H55" i="6"/>
  <c r="H54" i="6"/>
  <c r="H56" i="6" s="1"/>
  <c r="H38" i="6"/>
  <c r="H37" i="6"/>
  <c r="I38" i="6"/>
  <c r="I37" i="6"/>
  <c r="I59" i="6"/>
  <c r="I60" i="6" s="1"/>
  <c r="J38" i="6"/>
  <c r="J37" i="6"/>
  <c r="J61" i="6" l="1"/>
  <c r="J62" i="6" s="1"/>
  <c r="J63" i="6" s="1"/>
  <c r="J64" i="6"/>
  <c r="E58" i="6"/>
  <c r="E57" i="6"/>
  <c r="F58" i="6"/>
  <c r="F57" i="6"/>
  <c r="G59" i="6"/>
  <c r="G60" i="6" s="1"/>
  <c r="H58" i="6"/>
  <c r="H57" i="6"/>
  <c r="I61" i="6"/>
  <c r="I62" i="6" s="1"/>
  <c r="I63" i="6" s="1"/>
  <c r="I64" i="6"/>
  <c r="E59" i="6" l="1"/>
  <c r="E60" i="6" s="1"/>
  <c r="F59" i="6"/>
  <c r="F60" i="6" s="1"/>
  <c r="G61" i="6"/>
  <c r="G62" i="6" s="1"/>
  <c r="G63" i="6" s="1"/>
  <c r="G64" i="6"/>
  <c r="H59" i="6"/>
  <c r="H60" i="6" s="1"/>
  <c r="E61" i="6" l="1"/>
  <c r="E62" i="6" s="1"/>
  <c r="E63" i="6" s="1"/>
  <c r="E64" i="6"/>
  <c r="F61" i="6"/>
  <c r="F62" i="6" s="1"/>
  <c r="F63" i="6" s="1"/>
  <c r="F64" i="6"/>
  <c r="H61" i="6"/>
  <c r="H62" i="6" s="1"/>
  <c r="H63" i="6" s="1"/>
  <c r="H64" i="6"/>
  <c r="D39" i="6" l="1"/>
  <c r="D29" i="6"/>
  <c r="D28" i="6"/>
  <c r="D30" i="6" s="1"/>
  <c r="D31" i="6" s="1"/>
  <c r="D25" i="6"/>
  <c r="D21" i="6"/>
  <c r="D22" i="6" s="1"/>
  <c r="D20" i="6"/>
  <c r="D23" i="6" s="1"/>
  <c r="D24" i="6" l="1"/>
  <c r="D40" i="6" s="1"/>
  <c r="D26" i="6"/>
  <c r="D27" i="6" s="1"/>
  <c r="D41" i="6" l="1"/>
  <c r="D51" i="6"/>
  <c r="D32" i="6"/>
  <c r="D34" i="6" s="1"/>
  <c r="D35" i="6" s="1"/>
  <c r="D36" i="6" s="1"/>
  <c r="D33" i="6"/>
  <c r="D38" i="6" l="1"/>
  <c r="D37" i="6"/>
  <c r="D55" i="6"/>
  <c r="D54" i="6"/>
  <c r="D56" i="6" s="1"/>
  <c r="D57" i="6" s="1"/>
  <c r="D58" i="6" l="1"/>
  <c r="D59" i="6" l="1"/>
  <c r="D60" i="6" s="1"/>
  <c r="D61" i="6" l="1"/>
  <c r="D62" i="6" s="1"/>
  <c r="D63" i="6" s="1"/>
  <c r="D6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288BF3-0F61-4688-B75D-91B8E545639C}" keepAlive="1" name="Query - airlift_design_calculator" description="Connection to the 'airlift_design_calculator' query in the workbook." type="5" refreshedVersion="0" background="1">
    <dbPr connection="Provider=Microsoft.Mashup.OleDb.1;Data Source=$Workbook$;Location=airlift_design_calculator;Extended Properties=&quot;&quot;" command="SELECT * FROM [airlift_design_calculator]"/>
  </connection>
  <connection id="2" xr16:uid="{338C07DA-ED5A-49EB-9436-44B4AD5A07E3}" keepAlive="1" name="Query - airlift_design_calculator (2)" description="Connection to the 'airlift_design_calculator (2)' query in the workbook." type="5" refreshedVersion="0" background="1">
    <dbPr connection="Provider=Microsoft.Mashup.OleDb.1;Data Source=$Workbook$;Location=&quot;airlift_design_calculator (2)&quot;;Extended Properties=&quot;&quot;" command="SELECT * FROM [airlift_design_calculator (2)]"/>
  </connection>
  <connection id="3" xr16:uid="{2DF52F34-AC9E-4C87-A31F-9BE5A3EFC7E9}" keepAlive="1" name="Query - airlift_design_calculator (3)" description="Connection to the 'airlift_design_calculator (3)' query in the workbook." type="5" refreshedVersion="0" background="1">
    <dbPr connection="Provider=Microsoft.Mashup.OleDb.1;Data Source=$Workbook$;Location=&quot;airlift_design_calculator (3)&quot;;Extended Properties=&quot;&quot;" command="SELECT * FROM [airlift_design_calculator (3)]"/>
  </connection>
  <connection id="4" xr16:uid="{4631FE70-31A7-4E9A-A5A5-A06CF7D77A90}" keepAlive="1" name="Query - airlift_design_calculator (4)" description="Connection to the 'airlift_design_calculator (4)' query in the workbook." type="5" refreshedVersion="0" background="1">
    <dbPr connection="Provider=Microsoft.Mashup.OleDb.1;Data Source=$Workbook$;Location=&quot;airlift_design_calculator (4)&quot;;Extended Properties=&quot;&quot;" command="SELECT * FROM [airlift_design_calculator (4)]"/>
  </connection>
  <connection id="5" xr16:uid="{CEEFD255-0D5C-41FF-9C64-1E57DC6CB04A}" keepAlive="1" name="Query - airlift_design_calculator (5)" description="Connection to the 'airlift_design_calculator (5)' query in the workbook." type="5" refreshedVersion="8" background="1" saveData="1">
    <dbPr connection="Provider=Microsoft.Mashup.OleDb.1;Data Source=$Workbook$;Location=&quot;airlift_design_calculator (5)&quot;;Extended Properties=&quot;&quot;" command="SELECT * FROM [airlift_design_calculator (5)]"/>
  </connection>
  <connection id="6" xr16:uid="{BDD7D869-1CA6-4872-96C6-1CD6DACF4CB5}" keepAlive="1" name="Query - tambahan" description="Connection to the 'tambahan' query in the workbook." type="5" refreshedVersion="8" background="1" saveData="1">
    <dbPr connection="Provider=Microsoft.Mashup.OleDb.1;Data Source=$Workbook$;Location=tambahan;Extended Properties=&quot;&quot;" command="SELECT * FROM [tambahan]"/>
  </connection>
  <connection id="7" xr16:uid="{C33DE7FB-A615-40C8-A78B-495338DAD468}" keepAlive="1" name="Query - tambahan (2)" description="Connection to the 'tambahan (2)' query in the workbook." type="5" refreshedVersion="8" background="1" saveData="1">
    <dbPr connection="Provider=Microsoft.Mashup.OleDb.1;Data Source=$Workbook$;Location=&quot;tambahan (2)&quot;;Extended Properties=&quot;&quot;" command="SELECT * FROM [tambahan (2)]"/>
  </connection>
  <connection id="8" xr16:uid="{68AC9908-C2F9-4F0A-BCB2-B14E11B36E0A}" keepAlive="1" name="Query - tambahan (3)" description="Connection to the 'tambahan (3)' query in the workbook." type="5" refreshedVersion="8" background="1" saveData="1">
    <dbPr connection="Provider=Microsoft.Mashup.OleDb.1;Data Source=$Workbook$;Location=&quot;tambahan (3)&quot;;Extended Properties=&quot;&quot;" command="SELECT * FROM [tambahan (3)]"/>
  </connection>
  <connection id="9" xr16:uid="{D0FAB841-D25F-4259-A7C0-0BA6F053DF31}" keepAlive="1" name="Query - tambahan (4)" description="Connection to the 'tambahan (4)' query in the workbook." type="5" refreshedVersion="0" background="1">
    <dbPr connection="Provider=Microsoft.Mashup.OleDb.1;Data Source=$Workbook$;Location=&quot;tambahan (4)&quot;;Extended Properties=&quot;&quot;" command="SELECT * FROM [tambahan (4)]"/>
  </connection>
</connections>
</file>

<file path=xl/sharedStrings.xml><?xml version="1.0" encoding="utf-8"?>
<sst xmlns="http://schemas.openxmlformats.org/spreadsheetml/2006/main" count="523" uniqueCount="223">
  <si>
    <t>Item</t>
  </si>
  <si>
    <t>Symbol</t>
  </si>
  <si>
    <t>Value</t>
  </si>
  <si>
    <t>Unit</t>
  </si>
  <si>
    <t>Note</t>
  </si>
  <si>
    <t>INPUT</t>
  </si>
  <si>
    <t/>
  </si>
  <si>
    <t>Riser ID</t>
  </si>
  <si>
    <t>D_riser</t>
  </si>
  <si>
    <t>0.0224</t>
  </si>
  <si>
    <t>m</t>
  </si>
  <si>
    <t>ubah ke 0.0374 untuk riser besar</t>
  </si>
  <si>
    <t>Injection depth</t>
  </si>
  <si>
    <t>Hs</t>
  </si>
  <si>
    <t>0.6</t>
  </si>
  <si>
    <t>kedalaman diffuser</t>
  </si>
  <si>
    <t>Diffuser tube ID</t>
  </si>
  <si>
    <t>D_diff_ID</t>
  </si>
  <si>
    <t>0.018</t>
  </si>
  <si>
    <t>ID tabung diffuser</t>
  </si>
  <si>
    <t>Diffuser wall thickness</t>
  </si>
  <si>
    <t>t_wall</t>
  </si>
  <si>
    <t>0.002</t>
  </si>
  <si>
    <t>tebal dinding diffuser</t>
  </si>
  <si>
    <t>Bore diameter</t>
  </si>
  <si>
    <t>d_bore</t>
  </si>
  <si>
    <t>1 mm atau 2 mm</t>
  </si>
  <si>
    <t>Minimum ligament</t>
  </si>
  <si>
    <t>s_lig</t>
  </si>
  <si>
    <t>0.001</t>
  </si>
  <si>
    <t>jarak bersih antar lubang</t>
  </si>
  <si>
    <t>Number of bore rings</t>
  </si>
  <si>
    <t>n_ring</t>
  </si>
  <si>
    <t>1</t>
  </si>
  <si>
    <t>-</t>
  </si>
  <si>
    <t>jumlah baris melingkar</t>
  </si>
  <si>
    <t>Target Jg at injector</t>
  </si>
  <si>
    <t>Jg_target</t>
  </si>
  <si>
    <t>0.55</t>
  </si>
  <si>
    <t>m/s</t>
  </si>
  <si>
    <t>untuk slug stabil</t>
  </si>
  <si>
    <t>Target bore velocity</t>
  </si>
  <si>
    <t>U_bore_target</t>
  </si>
  <si>
    <t>30</t>
  </si>
  <si>
    <t>20-40 m/s praktis</t>
  </si>
  <si>
    <t>Water density</t>
  </si>
  <si>
    <t>rho_l</t>
  </si>
  <si>
    <t>1000</t>
  </si>
  <si>
    <t>kg/m3</t>
  </si>
  <si>
    <t>Gas density</t>
  </si>
  <si>
    <t>rho_g</t>
  </si>
  <si>
    <t>1.2</t>
  </si>
  <si>
    <t>Gravity</t>
  </si>
  <si>
    <t>g</t>
  </si>
  <si>
    <t>9.81</t>
  </si>
  <si>
    <t>m/s2</t>
  </si>
  <si>
    <t>Atmospheric pressure</t>
  </si>
  <si>
    <t>Patm</t>
  </si>
  <si>
    <t>101325</t>
  </si>
  <si>
    <t>Pa</t>
  </si>
  <si>
    <t>Orifice coefficient</t>
  </si>
  <si>
    <t>Cd</t>
  </si>
  <si>
    <t>0.7</t>
  </si>
  <si>
    <t>CALCULATION</t>
  </si>
  <si>
    <t>Riser area</t>
  </si>
  <si>
    <t>A_riser</t>
  </si>
  <si>
    <t>m2</t>
  </si>
  <si>
    <t>Hydrostatic pressure</t>
  </si>
  <si>
    <t>dP_h</t>
  </si>
  <si>
    <t>Injection absolute pressure</t>
  </si>
  <si>
    <t>P_inj</t>
  </si>
  <si>
    <t>Required air flow at injector</t>
  </si>
  <si>
    <t>Qg_inj</t>
  </si>
  <si>
    <t>m3/s</t>
  </si>
  <si>
    <t>Required standard air flow</t>
  </si>
  <si>
    <t>Qg_std_LPM</t>
  </si>
  <si>
    <t>LPM</t>
  </si>
  <si>
    <t>hasil desain blower per airlift</t>
  </si>
  <si>
    <t>Bore area</t>
  </si>
  <si>
    <t>A_bore</t>
  </si>
  <si>
    <t>Required total bore area</t>
  </si>
  <si>
    <t>Ao_req</t>
  </si>
  <si>
    <t>Hydraulic required bore count</t>
  </si>
  <si>
    <t>N_bore_req</t>
  </si>
  <si>
    <t>holes</t>
  </si>
  <si>
    <t>Pitch circle diameter</t>
  </si>
  <si>
    <t>D_pcd</t>
  </si>
  <si>
    <t>diameter tengah dinding diffuser</t>
  </si>
  <si>
    <t>Minimum pitch</t>
  </si>
  <si>
    <t>p_min</t>
  </si>
  <si>
    <t>bore diameter + ligament</t>
  </si>
  <si>
    <t>Max bore per ring</t>
  </si>
  <si>
    <t>N_per_ring_max</t>
  </si>
  <si>
    <t>Max bore total</t>
  </si>
  <si>
    <t>N_bore_geom_max</t>
  </si>
  <si>
    <t>Selected bore count</t>
  </si>
  <si>
    <t>N_bore_design</t>
  </si>
  <si>
    <t>Geometry status</t>
  </si>
  <si>
    <t>Status</t>
  </si>
  <si>
    <t>Actual total bore area</t>
  </si>
  <si>
    <t>Ao_actual</t>
  </si>
  <si>
    <t>Actual bore velocity</t>
  </si>
  <si>
    <t>U_bore_actual</t>
  </si>
  <si>
    <t>Diffuser pressure drop</t>
  </si>
  <si>
    <t>dP_diff</t>
  </si>
  <si>
    <t>estimasi awal</t>
  </si>
  <si>
    <t>dP_diff_bar</t>
  </si>
  <si>
    <t>bar</t>
  </si>
  <si>
    <t>Bore L/D</t>
  </si>
  <si>
    <t>L_over_D</t>
  </si>
  <si>
    <t>Outlet Jg</t>
  </si>
  <si>
    <t>Jg_out</t>
  </si>
  <si>
    <t>di sekitar tekanan atmosfer</t>
  </si>
  <si>
    <t>Regime estimate</t>
  </si>
  <si>
    <t>Regime</t>
  </si>
  <si>
    <t>No</t>
  </si>
  <si>
    <t>3/4"</t>
  </si>
  <si>
    <t>Value2</t>
  </si>
  <si>
    <t>1"</t>
  </si>
  <si>
    <t>Value22</t>
  </si>
  <si>
    <t>1 1/4"</t>
  </si>
  <si>
    <t>1 1/2"</t>
  </si>
  <si>
    <t>2"</t>
  </si>
  <si>
    <t>2 1/2"</t>
  </si>
  <si>
    <t>36</t>
  </si>
  <si>
    <t>Vertical active length</t>
  </si>
  <si>
    <t>L_vert</t>
  </si>
  <si>
    <t>panjang vertikal aktif</t>
  </si>
  <si>
    <t>Total pipe length</t>
  </si>
  <si>
    <t>L_total</t>
  </si>
  <si>
    <t>total riser + pipa outlet</t>
  </si>
  <si>
    <t>Friction factor</t>
  </si>
  <si>
    <t>f_pipe</t>
  </si>
  <si>
    <t>0.03</t>
  </si>
  <si>
    <t>Inlet loss coefficient</t>
  </si>
  <si>
    <t>K_inlet</t>
  </si>
  <si>
    <t>0.5</t>
  </si>
  <si>
    <t>estimasi</t>
  </si>
  <si>
    <t>Elbow loss coefficient</t>
  </si>
  <si>
    <t>K_elbow</t>
  </si>
  <si>
    <t>elbow 90</t>
  </si>
  <si>
    <t>Outlet loss coefficient</t>
  </si>
  <si>
    <t>K_outlet</t>
  </si>
  <si>
    <t>outlet loss</t>
  </si>
  <si>
    <t>Two-phase multiplier</t>
  </si>
  <si>
    <t>M_2ph</t>
  </si>
  <si>
    <t>kalibrasi rugi dua-fase</t>
  </si>
  <si>
    <t>Drift flux C0</t>
  </si>
  <si>
    <t>C0</t>
  </si>
  <si>
    <t>slug flow</t>
  </si>
  <si>
    <t>Drift velocity</t>
  </si>
  <si>
    <t>Vgj</t>
  </si>
  <si>
    <t>=0.35*SQRT(INDEX($A:$Z;MATCH("g";$C:$C;0);COLUMN())*INDEX($A:$Z;MATCH("D_riser";$C:$C;0);COLUMN()))</t>
  </si>
  <si>
    <t>Taylor bubble estimate</t>
  </si>
  <si>
    <t>Trial liquid superficial velocity</t>
  </si>
  <si>
    <t>Jl_trial</t>
  </si>
  <si>
    <t>ubah dengan Goal Seek</t>
  </si>
  <si>
    <t>Average gas superficial velocity</t>
  </si>
  <si>
    <t>Jg_avg</t>
  </si>
  <si>
    <t>=0.5*(INDEX($A:$Z;MATCH("Jg_target";$C:$C;0);COLUMN())+INDEX($A:$Z;MATCH("Jg_out";$C:$C;0);COLUMN()))</t>
  </si>
  <si>
    <t>Mixture superficial velocity</t>
  </si>
  <si>
    <t>Jm</t>
  </si>
  <si>
    <t>=INDEX($A:$Z;MATCH("Jg_avg";$C:$C;0);COLUMN())+INDEX($A:$Z;MATCH("Jl_trial";$C:$C;0);COLUMN())</t>
  </si>
  <si>
    <t>Void fraction</t>
  </si>
  <si>
    <t>alpha</t>
  </si>
  <si>
    <t>=INDEX($A:$Z;MATCH("Jg_avg";$C:$C;0);COLUMN())/(INDEX($A:$Z;MATCH("C0";$C:$C;0);COLUMN())*INDEX($A:$Z;MATCH("Jm";$C:$C;0);COLUMN())+INDEX($A:$Z;MATCH("Vgj";$C:$C;0);COLUMN()))</t>
  </si>
  <si>
    <t>Mixture density</t>
  </si>
  <si>
    <t>rho_m</t>
  </si>
  <si>
    <t>=INDEX($A:$Z;MATCH("alpha";$C:$C;0);COLUMN())*INDEX($A:$Z;MATCH("rho_g";$C:$C;0);COLUMN())+(1-INDEX($A:$Z;MATCH("alpha";$C:$C;0);COLUMN()))*INDEX($A:$Z;MATCH("rho_l";$C:$C;0);COLUMN())</t>
  </si>
  <si>
    <t>Total loss coefficient</t>
  </si>
  <si>
    <t>K_total</t>
  </si>
  <si>
    <t>=INDEX($A:$Z;MATCH("f_pipe";$C:$C;0);COLUMN())*INDEX($A:$Z;MATCH("L_total";$C:$C;0);COLUMN())/INDEX($A:$Z;MATCH("D_riser";$C:$C;0);COLUMN())+INDEX($A:$Z;MATCH("K_inlet";$C:$C;0);COLUMN())+INDEX($A:$Z;MATCH("K_elbow";$C:$C;0);COLUMN())+INDEX($A:$Z;MATCH("K_outlet";$C:$C;0);COLUMN())</t>
  </si>
  <si>
    <t>Driving pressure</t>
  </si>
  <si>
    <t>dP_drive</t>
  </si>
  <si>
    <t>=INDEX($A:$Z;MATCH("alpha";$C:$C;0);COLUMN())*(INDEX($A:$Z;MATCH("rho_l";$C:$C;0);COLUMN())-INDEX($A:$Z;MATCH("rho_g";$C:$C;0);COLUMN()))*INDEX($A:$Z;MATCH("g";$C:$C;0);COLUMN())*INDEX($A:$Z;MATCH("Hs";$C:$C;0);COLUMN())</t>
  </si>
  <si>
    <t>Loss pressure</t>
  </si>
  <si>
    <t>dP_loss</t>
  </si>
  <si>
    <t>=INDEX($A:$Z;MATCH("M_2ph";$C:$C;0);COLUMN())*0.5*INDEX($A:$Z;MATCH("rho_m";$C:$C;0);COLUMN())*INDEX($A:$Z;MATCH("K_total";$C:$C;0);COLUMN())*INDEX($A:$Z;MATCH("Jm";$C:$C;0);COLUMN())^2</t>
  </si>
  <si>
    <t>Pressure residual</t>
  </si>
  <si>
    <t>dP_residual</t>
  </si>
  <si>
    <t>=INDEX($A:$Z;MATCH("dP_drive";$C:$C;0);COLUMN())-INDEX($A:$Z;MATCH("dP_loss";$C:$C;0);COLUMN())</t>
  </si>
  <si>
    <t>target 0</t>
  </si>
  <si>
    <t>Water flow</t>
  </si>
  <si>
    <t>Ql_LPM</t>
  </si>
  <si>
    <t>=INDEX($A:$Z;MATCH("Jl_trial";$C:$C;0);COLUMN())*INDEX($A:$Z;MATCH("A_riser";$C:$C;0);COLUMN())*60000</t>
  </si>
  <si>
    <t>hasil debit air</t>
  </si>
  <si>
    <t>Ql_m3h</t>
  </si>
  <si>
    <t>=INDEX($A:$Z;MATCH("Ql_LPM";$C:$C;0);COLUMN())*0.06</t>
  </si>
  <si>
    <t>m3/h</t>
  </si>
  <si>
    <t>0.62</t>
  </si>
  <si>
    <t>0.66</t>
  </si>
  <si>
    <t>a_cubic</t>
  </si>
  <si>
    <t>b_cubic</t>
  </si>
  <si>
    <t>c_cubic</t>
  </si>
  <si>
    <t>A_norm</t>
  </si>
  <si>
    <t>p_cubic</t>
  </si>
  <si>
    <t>q_cubic</t>
  </si>
  <si>
    <t>Delta_cubic</t>
  </si>
  <si>
    <t>Jm_solution</t>
  </si>
  <si>
    <t>Jl_solution</t>
  </si>
  <si>
    <t>alpha_solution</t>
  </si>
  <si>
    <t>Cubic coefficient a</t>
  </si>
  <si>
    <t>internal</t>
  </si>
  <si>
    <t>Cubic coefficient b</t>
  </si>
  <si>
    <t>Cubic coefficient c</t>
  </si>
  <si>
    <t>Normalized coefficient A</t>
  </si>
  <si>
    <t>Cubic coefficient p</t>
  </si>
  <si>
    <t>Cubic coefficient q</t>
  </si>
  <si>
    <t>Cubic discriminant</t>
  </si>
  <si>
    <t>Mixture superficial velocity solution</t>
  </si>
  <si>
    <t>Liquid superficial velocity solution</t>
  </si>
  <si>
    <t>dP_diff-mmH2O</t>
  </si>
  <si>
    <t>mmH2O</t>
  </si>
  <si>
    <t>37</t>
  </si>
  <si>
    <t>Value32</t>
  </si>
  <si>
    <t>0.652</t>
  </si>
  <si>
    <t>Value242</t>
  </si>
  <si>
    <t>0.642</t>
  </si>
  <si>
    <t>Value222</t>
  </si>
  <si>
    <t>0.632</t>
  </si>
  <si>
    <t>Value232</t>
  </si>
  <si>
    <t>0.622</t>
  </si>
  <si>
    <t>1/2"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</si>
</sst>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3333FF"/>
      <name val="Calibri"/>
      <family val="2"/>
      <scheme val="minor"/>
    </font>
    <font>
      <sz val="10"/>
      <color theme="1"/>
      <name val="Arial Unicode MS"/>
    </font>
    <font>
      <b/>
      <sz val="10"/>
      <color rgb="FF3333FF"/>
      <name val="Arial Unicode MS"/>
    </font>
    <font>
      <b/>
      <i/>
      <sz val="11"/>
      <color rgb="FF3333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NumberFormat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NumberFormat="1" applyFont="1"/>
    <xf numFmtId="2" fontId="3" fillId="0" borderId="0" xfId="0" applyNumberFormat="1" applyFont="1" applyAlignment="1">
      <alignment horizontal="center"/>
    </xf>
    <xf numFmtId="0" fontId="3" fillId="0" borderId="0" xfId="0" applyFont="1"/>
    <xf numFmtId="0" fontId="0" fillId="3" borderId="2" xfId="0" applyNumberFormat="1" applyFont="1" applyFill="1" applyBorder="1"/>
    <xf numFmtId="0" fontId="0" fillId="3" borderId="3" xfId="0" applyNumberFormat="1" applyFont="1" applyFill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3" fillId="0" borderId="0" xfId="0" applyNumberFormat="1" applyFont="1" applyAlignment="1">
      <alignment horizontal="center"/>
    </xf>
    <xf numFmtId="0" fontId="3" fillId="0" borderId="2" xfId="0" applyNumberFormat="1" applyFont="1" applyBorder="1"/>
    <xf numFmtId="2" fontId="3" fillId="0" borderId="0" xfId="0" applyNumberFormat="1" applyFont="1"/>
    <xf numFmtId="0" fontId="4" fillId="0" borderId="0" xfId="0" applyFont="1" applyAlignment="1">
      <alignment vertical="center" wrapText="1"/>
    </xf>
    <xf numFmtId="0" fontId="4" fillId="0" borderId="0" xfId="0" applyNumberFormat="1" applyFont="1" applyAlignment="1">
      <alignment horizontal="center"/>
    </xf>
    <xf numFmtId="0" fontId="3" fillId="3" borderId="2" xfId="0" applyNumberFormat="1" applyFont="1" applyFill="1" applyBorder="1"/>
    <xf numFmtId="2" fontId="5" fillId="0" borderId="0" xfId="0" applyNumberFormat="1" applyFont="1" applyAlignment="1">
      <alignment horizontal="center"/>
    </xf>
    <xf numFmtId="0" fontId="6" fillId="0" borderId="0" xfId="0" applyNumberFormat="1" applyFont="1"/>
    <xf numFmtId="0" fontId="6" fillId="0" borderId="0" xfId="0" applyNumberFormat="1" applyFont="1" applyAlignment="1">
      <alignment horizontal="center"/>
    </xf>
    <xf numFmtId="0" fontId="6" fillId="0" borderId="0" xfId="0" applyFont="1"/>
    <xf numFmtId="0" fontId="0" fillId="3" borderId="3" xfId="0" applyNumberFormat="1" applyFont="1" applyFill="1" applyBorder="1" applyAlignment="1">
      <alignment horizontal="center"/>
    </xf>
    <xf numFmtId="0" fontId="0" fillId="0" borderId="3" xfId="0" applyNumberFormat="1" applyFont="1" applyBorder="1" applyAlignment="1">
      <alignment horizontal="center"/>
    </xf>
    <xf numFmtId="0" fontId="4" fillId="3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2" fontId="5" fillId="0" borderId="3" xfId="0" applyNumberFormat="1" applyFont="1" applyBorder="1" applyAlignment="1">
      <alignment horizontal="center"/>
    </xf>
    <xf numFmtId="2" fontId="5" fillId="3" borderId="3" xfId="0" applyNumberFormat="1" applyFont="1" applyFill="1" applyBorder="1" applyAlignment="1">
      <alignment horizontal="center"/>
    </xf>
    <xf numFmtId="0" fontId="4" fillId="0" borderId="3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8" fontId="4" fillId="0" borderId="0" xfId="0" applyNumberFormat="1" applyFont="1" applyAlignment="1">
      <alignment horizontal="center"/>
    </xf>
    <xf numFmtId="168" fontId="4" fillId="3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NumberFormat="1" applyFont="1" applyBorder="1" applyAlignment="1">
      <alignment horizontal="center"/>
    </xf>
    <xf numFmtId="0" fontId="0" fillId="3" borderId="1" xfId="0" applyNumberFormat="1" applyFont="1" applyFill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5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3A591B6C-84EE-4CA6-9C38-D379DC292B21}" autoFormatId="16" applyNumberFormats="0" applyBorderFormats="0" applyFontFormats="0" applyPatternFormats="0" applyAlignmentFormats="0" applyWidthHeightFormats="0">
  <queryTableRefresh nextId="7">
    <queryTableFields count="6">
      <queryTableField id="1" name="36" tableColumnId="1"/>
      <queryTableField id="2" name="Vertical active length" tableColumnId="2"/>
      <queryTableField id="3" name="L_vert" tableColumnId="3"/>
      <queryTableField id="4" name="0.6" tableColumnId="4"/>
      <queryTableField id="5" name="m" tableColumnId="5"/>
      <queryTableField id="6" name="panjang vertikal aktif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F11DEE5-78AE-479C-B589-FB0B7224775D}" autoFormatId="16" applyNumberFormats="0" applyBorderFormats="0" applyFontFormats="0" applyPatternFormats="0" applyAlignmentFormats="0" applyWidthHeightFormats="0">
  <queryTableRefresh nextId="12">
    <queryTableFields count="11">
      <queryTableField id="1" name="Item" tableColumnId="1"/>
      <queryTableField id="2" name="Symbol" tableColumnId="2"/>
      <queryTableField id="3" name="Value" tableColumnId="3"/>
      <queryTableField id="6" dataBound="0" tableColumnId="6"/>
      <queryTableField id="9" dataBound="0" tableColumnId="9"/>
      <queryTableField id="8" dataBound="0" tableColumnId="8"/>
      <queryTableField id="7" dataBound="0" tableColumnId="7"/>
      <queryTableField id="10" dataBound="0" tableColumnId="10"/>
      <queryTableField id="11" dataBound="0" tableColumnId="11"/>
      <queryTableField id="4" name="Unit" tableColumnId="4"/>
      <queryTableField id="5" name="No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2691A1CC-6A38-460E-A4F2-DCC4E19B75DA}" autoFormatId="16" applyNumberFormats="0" applyBorderFormats="0" applyFontFormats="0" applyPatternFormats="0" applyAlignmentFormats="0" applyWidthHeightFormats="0">
  <queryTableRefresh nextId="10" unboundColumnsRight="5">
    <queryTableFields count="9">
      <queryTableField id="1" name="36" tableColumnId="1"/>
      <queryTableField id="2" name="Vertical active length" tableColumnId="2"/>
      <queryTableField id="3" name="L_vert" tableColumnId="3"/>
      <queryTableField id="4" name="0.6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  <queryTableDeletedFields count="2">
      <deletedField name="m"/>
      <deletedField name="panjang vertikal aktif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81E0EA-476A-42E6-BA98-B8721F4AE42B}" name="tambahan__2" displayName="tambahan__2" ref="A1:F20" tableType="queryTable" totalsRowShown="0">
  <autoFilter ref="A1:F20" xr:uid="{1C81E0EA-476A-42E6-BA98-B8721F4AE42B}"/>
  <tableColumns count="6">
    <tableColumn id="1" xr3:uid="{B91131C4-A899-4247-840F-003FA4A06596}" uniqueName="1" name="36" queryTableFieldId="1"/>
    <tableColumn id="2" xr3:uid="{DB0E92F5-8BAC-41B9-A31A-C5BA76271D0F}" uniqueName="2" name="Vertical active length" queryTableFieldId="2" dataDxfId="21"/>
    <tableColumn id="3" xr3:uid="{876C3E1D-1C02-4E17-A9FF-D7293A08BBEC}" uniqueName="3" name="L_vert" queryTableFieldId="3" dataDxfId="20"/>
    <tableColumn id="4" xr3:uid="{7E9D2BAD-7CBA-4066-B5EC-F9DE11AF8348}" uniqueName="4" name="0.6" queryTableFieldId="4" dataDxfId="19"/>
    <tableColumn id="5" xr3:uid="{3BEEA555-159C-479A-83AD-8A5131B9AC77}" uniqueName="5" name="m" queryTableFieldId="5" dataDxfId="18"/>
    <tableColumn id="6" xr3:uid="{4F2A0025-C0C2-4032-9D35-2CA67E69B832}" uniqueName="6" name="panjang vertikal aktif" queryTableFieldId="6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3B0477-AE19-48F0-811A-36737A05FD1C}" name="airlift_design_calculator__5" displayName="airlift_design_calculator__5" ref="B2:L41" tableType="queryTable" totalsRowShown="0">
  <autoFilter ref="B2:L41" xr:uid="{7D3B0477-AE19-48F0-811A-36737A05FD1C}"/>
  <tableColumns count="11">
    <tableColumn id="1" xr3:uid="{F861CFA4-2DC0-4A5A-86DD-82A9BE41C514}" uniqueName="1" name="Item" queryTableFieldId="1" dataDxfId="24"/>
    <tableColumn id="2" xr3:uid="{D1266638-3E1A-4C18-9E5A-26E3CDBC172B}" uniqueName="2" name="Symbol" queryTableFieldId="2" dataDxfId="16"/>
    <tableColumn id="3" xr3:uid="{74C59E42-5817-4366-8AC7-2A6142C596DD}" uniqueName="3" name="Value" queryTableFieldId="3" dataDxfId="15"/>
    <tableColumn id="6" xr3:uid="{6D475A98-622F-4576-B011-F90840B68D25}" uniqueName="6" name="Value2" queryTableFieldId="6" dataDxfId="9"/>
    <tableColumn id="9" xr3:uid="{C4C8D810-F24A-4F6E-9A00-2C5D68E1C5A5}" uniqueName="9" name="Value22" queryTableFieldId="9" dataDxfId="10"/>
    <tableColumn id="8" xr3:uid="{885A4E1C-64FC-46C5-BDC5-6027F82221C4}" uniqueName="8" name="Value232" queryTableFieldId="8" dataDxfId="11"/>
    <tableColumn id="7" xr3:uid="{2FCA5EF9-A54D-403D-BF9E-F1EBB9AEF99F}" uniqueName="7" name="Value222" queryTableFieldId="7" dataDxfId="12"/>
    <tableColumn id="10" xr3:uid="{E2C83505-343F-4F4A-8EAC-632DB8F425A5}" uniqueName="10" name="Value242" queryTableFieldId="10" dataDxfId="13"/>
    <tableColumn id="11" xr3:uid="{A38C53CF-D69C-4F4E-83E5-0EE473BCD9CE}" uniqueName="11" name="Value32" queryTableFieldId="11" dataDxfId="14"/>
    <tableColumn id="4" xr3:uid="{B19A7439-3001-4027-BDDD-42787F101C23}" uniqueName="4" name="Unit" queryTableFieldId="4" dataDxfId="22"/>
    <tableColumn id="5" xr3:uid="{5F95104C-9723-4689-BB69-3C559CAB524F}" uniqueName="5" name="Note" queryTableFieldId="5" dataDxfId="2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CBFE0D1-D05F-4A75-9019-E05FA8B5C956}" name="tambahan__210" displayName="tambahan__210" ref="A42:I64" tableType="queryTable" totalsRowShown="0">
  <autoFilter ref="A42:I64" xr:uid="{ACBFE0D1-D05F-4A75-9019-E05FA8B5C956}"/>
  <tableColumns count="9">
    <tableColumn id="1" xr3:uid="{474EFCD1-E19D-4810-A768-3AA54DEC4553}" uniqueName="1" name="37" queryTableFieldId="1" dataDxfId="0"/>
    <tableColumn id="2" xr3:uid="{50FBB427-5B49-469C-8911-41F296B4C0C7}" uniqueName="2" name="Vertical active length" queryTableFieldId="2" dataDxfId="1"/>
    <tableColumn id="3" xr3:uid="{E1198681-116F-4A26-808E-4D4005776105}" uniqueName="3" name="L_vert" queryTableFieldId="3" dataDxfId="8"/>
    <tableColumn id="4" xr3:uid="{34B65562-0E31-4AB7-AD39-B83981985E0C}" uniqueName="4" name="0.6" queryTableFieldId="4" dataDxfId="7"/>
    <tableColumn id="5" xr3:uid="{40714A84-EF6B-44E6-9064-613EFE492F90}" uniqueName="5" name="0.62" queryTableFieldId="5" dataDxfId="6"/>
    <tableColumn id="6" xr3:uid="{DFDA8527-46BC-4991-9827-2E6963B34E52}" uniqueName="6" name="0.622" queryTableFieldId="6" dataDxfId="5"/>
    <tableColumn id="7" xr3:uid="{541A29C4-69C2-49D2-8245-57905ACB89B9}" uniqueName="7" name="0.632" queryTableFieldId="7" dataDxfId="4"/>
    <tableColumn id="8" xr3:uid="{952A2C6A-D9FC-448D-B631-7D558AA96412}" uniqueName="8" name="0.642" queryTableFieldId="8" dataDxfId="3"/>
    <tableColumn id="9" xr3:uid="{DC6B1552-E1CA-4E7A-87C8-6CE17B330150}" uniqueName="9" name="0.652" queryTableFieldId="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092D-03B8-48DC-B954-6DDEAF579D1A}">
  <dimension ref="A1:F20"/>
  <sheetViews>
    <sheetView workbookViewId="0">
      <selection sqref="A1:F20"/>
    </sheetView>
  </sheetViews>
  <sheetFormatPr defaultRowHeight="15"/>
  <cols>
    <col min="1" max="1" width="5.28515625" bestFit="1" customWidth="1"/>
    <col min="2" max="2" width="29.28515625" bestFit="1" customWidth="1"/>
    <col min="3" max="3" width="11.42578125" bestFit="1" customWidth="1"/>
    <col min="4" max="4" width="81.140625" bestFit="1" customWidth="1"/>
    <col min="5" max="5" width="6.5703125" bestFit="1" customWidth="1"/>
    <col min="6" max="6" width="22.140625" bestFit="1" customWidth="1"/>
  </cols>
  <sheetData>
    <row r="1" spans="1:6">
      <c r="A1" t="s">
        <v>124</v>
      </c>
      <c r="B1" t="s">
        <v>125</v>
      </c>
      <c r="C1" t="s">
        <v>126</v>
      </c>
      <c r="D1" t="s">
        <v>14</v>
      </c>
      <c r="E1" t="s">
        <v>10</v>
      </c>
      <c r="F1" t="s">
        <v>127</v>
      </c>
    </row>
    <row r="2" spans="1:6">
      <c r="A2">
        <v>37</v>
      </c>
      <c r="B2" s="1" t="s">
        <v>128</v>
      </c>
      <c r="C2" s="1" t="s">
        <v>129</v>
      </c>
      <c r="D2" s="1" t="s">
        <v>33</v>
      </c>
      <c r="E2" s="1" t="s">
        <v>10</v>
      </c>
      <c r="F2" s="1" t="s">
        <v>130</v>
      </c>
    </row>
    <row r="3" spans="1:6">
      <c r="A3">
        <v>38</v>
      </c>
      <c r="B3" s="1" t="s">
        <v>131</v>
      </c>
      <c r="C3" s="1" t="s">
        <v>132</v>
      </c>
      <c r="D3" s="1" t="s">
        <v>133</v>
      </c>
      <c r="E3" s="1" t="s">
        <v>34</v>
      </c>
      <c r="F3" s="1" t="s">
        <v>105</v>
      </c>
    </row>
    <row r="4" spans="1:6">
      <c r="A4">
        <v>39</v>
      </c>
      <c r="B4" s="1" t="s">
        <v>134</v>
      </c>
      <c r="C4" s="1" t="s">
        <v>135</v>
      </c>
      <c r="D4" s="1" t="s">
        <v>136</v>
      </c>
      <c r="E4" s="1" t="s">
        <v>34</v>
      </c>
      <c r="F4" s="1" t="s">
        <v>137</v>
      </c>
    </row>
    <row r="5" spans="1:6">
      <c r="A5">
        <v>40</v>
      </c>
      <c r="B5" s="1" t="s">
        <v>138</v>
      </c>
      <c r="C5" s="1" t="s">
        <v>139</v>
      </c>
      <c r="D5" s="1" t="s">
        <v>33</v>
      </c>
      <c r="E5" s="1" t="s">
        <v>34</v>
      </c>
      <c r="F5" s="1" t="s">
        <v>140</v>
      </c>
    </row>
    <row r="6" spans="1:6">
      <c r="A6">
        <v>41</v>
      </c>
      <c r="B6" s="1" t="s">
        <v>141</v>
      </c>
      <c r="C6" s="1" t="s">
        <v>142</v>
      </c>
      <c r="D6" s="1" t="s">
        <v>33</v>
      </c>
      <c r="E6" s="1" t="s">
        <v>34</v>
      </c>
      <c r="F6" s="1" t="s">
        <v>143</v>
      </c>
    </row>
    <row r="7" spans="1:6">
      <c r="A7">
        <v>42</v>
      </c>
      <c r="B7" s="1" t="s">
        <v>144</v>
      </c>
      <c r="C7" s="1" t="s">
        <v>145</v>
      </c>
      <c r="D7" s="1" t="s">
        <v>33</v>
      </c>
      <c r="E7" s="1" t="s">
        <v>34</v>
      </c>
      <c r="F7" s="1" t="s">
        <v>146</v>
      </c>
    </row>
    <row r="8" spans="1:6">
      <c r="A8">
        <v>43</v>
      </c>
      <c r="B8" s="1" t="s">
        <v>147</v>
      </c>
      <c r="C8" s="1" t="s">
        <v>148</v>
      </c>
      <c r="D8" s="1" t="s">
        <v>51</v>
      </c>
      <c r="E8" s="1" t="s">
        <v>34</v>
      </c>
      <c r="F8" s="1" t="s">
        <v>149</v>
      </c>
    </row>
    <row r="9" spans="1:6">
      <c r="A9">
        <v>44</v>
      </c>
      <c r="B9" s="1" t="s">
        <v>150</v>
      </c>
      <c r="C9" s="1" t="s">
        <v>151</v>
      </c>
      <c r="D9" s="1" t="s">
        <v>152</v>
      </c>
      <c r="E9" s="1" t="s">
        <v>39</v>
      </c>
      <c r="F9" s="1" t="s">
        <v>153</v>
      </c>
    </row>
    <row r="10" spans="1:6">
      <c r="A10">
        <v>45</v>
      </c>
      <c r="B10" s="1" t="s">
        <v>154</v>
      </c>
      <c r="C10" s="1" t="s">
        <v>155</v>
      </c>
      <c r="D10" s="1" t="s">
        <v>62</v>
      </c>
      <c r="E10" s="1" t="s">
        <v>39</v>
      </c>
      <c r="F10" s="1" t="s">
        <v>156</v>
      </c>
    </row>
    <row r="11" spans="1:6">
      <c r="A11">
        <v>46</v>
      </c>
      <c r="B11" s="1" t="s">
        <v>157</v>
      </c>
      <c r="C11" s="1" t="s">
        <v>158</v>
      </c>
      <c r="D11" s="1" t="s">
        <v>159</v>
      </c>
      <c r="E11" s="1" t="s">
        <v>39</v>
      </c>
      <c r="F11" s="1" t="s">
        <v>6</v>
      </c>
    </row>
    <row r="12" spans="1:6">
      <c r="A12">
        <v>47</v>
      </c>
      <c r="B12" s="1" t="s">
        <v>160</v>
      </c>
      <c r="C12" s="1" t="s">
        <v>161</v>
      </c>
      <c r="D12" s="1" t="s">
        <v>162</v>
      </c>
      <c r="E12" s="1" t="s">
        <v>39</v>
      </c>
      <c r="F12" s="1" t="s">
        <v>6</v>
      </c>
    </row>
    <row r="13" spans="1:6">
      <c r="A13">
        <v>48</v>
      </c>
      <c r="B13" s="1" t="s">
        <v>163</v>
      </c>
      <c r="C13" s="1" t="s">
        <v>164</v>
      </c>
      <c r="D13" s="1" t="s">
        <v>165</v>
      </c>
      <c r="E13" s="1" t="s">
        <v>34</v>
      </c>
      <c r="F13" s="1" t="s">
        <v>6</v>
      </c>
    </row>
    <row r="14" spans="1:6">
      <c r="A14">
        <v>49</v>
      </c>
      <c r="B14" s="1" t="s">
        <v>166</v>
      </c>
      <c r="C14" s="1" t="s">
        <v>167</v>
      </c>
      <c r="D14" s="1" t="s">
        <v>168</v>
      </c>
      <c r="E14" s="1" t="s">
        <v>48</v>
      </c>
      <c r="F14" s="1" t="s">
        <v>6</v>
      </c>
    </row>
    <row r="15" spans="1:6">
      <c r="A15">
        <v>50</v>
      </c>
      <c r="B15" s="1" t="s">
        <v>169</v>
      </c>
      <c r="C15" s="1" t="s">
        <v>170</v>
      </c>
      <c r="D15" s="1" t="s">
        <v>171</v>
      </c>
      <c r="E15" s="1" t="s">
        <v>34</v>
      </c>
      <c r="F15" s="1" t="s">
        <v>6</v>
      </c>
    </row>
    <row r="16" spans="1:6">
      <c r="A16">
        <v>51</v>
      </c>
      <c r="B16" s="1" t="s">
        <v>172</v>
      </c>
      <c r="C16" s="1" t="s">
        <v>173</v>
      </c>
      <c r="D16" s="1" t="s">
        <v>174</v>
      </c>
      <c r="E16" s="1" t="s">
        <v>59</v>
      </c>
      <c r="F16" s="1" t="s">
        <v>6</v>
      </c>
    </row>
    <row r="17" spans="1:6">
      <c r="A17">
        <v>52</v>
      </c>
      <c r="B17" s="1" t="s">
        <v>175</v>
      </c>
      <c r="C17" s="1" t="s">
        <v>176</v>
      </c>
      <c r="D17" s="1" t="s">
        <v>177</v>
      </c>
      <c r="E17" s="1" t="s">
        <v>59</v>
      </c>
      <c r="F17" s="1" t="s">
        <v>6</v>
      </c>
    </row>
    <row r="18" spans="1:6">
      <c r="A18">
        <v>53</v>
      </c>
      <c r="B18" s="1" t="s">
        <v>178</v>
      </c>
      <c r="C18" s="1" t="s">
        <v>179</v>
      </c>
      <c r="D18" s="1" t="s">
        <v>180</v>
      </c>
      <c r="E18" s="1" t="s">
        <v>59</v>
      </c>
      <c r="F18" s="1" t="s">
        <v>181</v>
      </c>
    </row>
    <row r="19" spans="1:6">
      <c r="A19">
        <v>54</v>
      </c>
      <c r="B19" s="1" t="s">
        <v>182</v>
      </c>
      <c r="C19" s="1" t="s">
        <v>183</v>
      </c>
      <c r="D19" s="1" t="s">
        <v>184</v>
      </c>
      <c r="E19" s="1" t="s">
        <v>76</v>
      </c>
      <c r="F19" s="1" t="s">
        <v>185</v>
      </c>
    </row>
    <row r="20" spans="1:6">
      <c r="A20">
        <v>55</v>
      </c>
      <c r="B20" s="1" t="s">
        <v>182</v>
      </c>
      <c r="C20" s="1" t="s">
        <v>186</v>
      </c>
      <c r="D20" s="1" t="s">
        <v>187</v>
      </c>
      <c r="E20" s="1" t="s">
        <v>188</v>
      </c>
      <c r="F20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E401-98E9-4154-B71D-20C8DDE91362}">
  <dimension ref="A2:L64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9" sqref="D9"/>
    </sheetView>
  </sheetViews>
  <sheetFormatPr defaultRowHeight="15"/>
  <cols>
    <col min="1" max="1" width="7.5703125" style="4" customWidth="1"/>
    <col min="2" max="2" width="28" bestFit="1" customWidth="1"/>
    <col min="3" max="3" width="18.5703125" bestFit="1" customWidth="1"/>
    <col min="4" max="10" width="17.85546875" style="4" customWidth="1"/>
    <col min="11" max="11" width="7.140625" bestFit="1" customWidth="1"/>
    <col min="12" max="12" width="31" bestFit="1" customWidth="1"/>
  </cols>
  <sheetData>
    <row r="2" spans="1:12">
      <c r="A2" s="34" t="s">
        <v>115</v>
      </c>
      <c r="B2" t="s">
        <v>0</v>
      </c>
      <c r="C2" t="s">
        <v>1</v>
      </c>
      <c r="D2" s="4" t="s">
        <v>2</v>
      </c>
      <c r="E2" s="4" t="s">
        <v>117</v>
      </c>
      <c r="F2" s="4" t="s">
        <v>119</v>
      </c>
      <c r="G2" s="4" t="s">
        <v>220</v>
      </c>
      <c r="H2" s="4" t="s">
        <v>218</v>
      </c>
      <c r="I2" s="4" t="s">
        <v>216</v>
      </c>
      <c r="J2" s="4" t="s">
        <v>214</v>
      </c>
      <c r="K2" t="s">
        <v>3</v>
      </c>
      <c r="L2" t="s">
        <v>4</v>
      </c>
    </row>
    <row r="3" spans="1:12">
      <c r="A3" s="34"/>
      <c r="B3" s="1" t="s">
        <v>5</v>
      </c>
      <c r="C3" s="1" t="s">
        <v>6</v>
      </c>
      <c r="D3" s="5" t="s">
        <v>222</v>
      </c>
      <c r="E3" s="5" t="s">
        <v>116</v>
      </c>
      <c r="F3" s="5" t="s">
        <v>118</v>
      </c>
      <c r="G3" s="5" t="s">
        <v>120</v>
      </c>
      <c r="H3" s="5" t="s">
        <v>121</v>
      </c>
      <c r="I3" s="5" t="s">
        <v>122</v>
      </c>
      <c r="J3" s="5" t="s">
        <v>123</v>
      </c>
      <c r="K3" s="1" t="s">
        <v>6</v>
      </c>
      <c r="L3" s="1" t="s">
        <v>6</v>
      </c>
    </row>
    <row r="4" spans="1:12">
      <c r="A4" s="35">
        <v>1</v>
      </c>
      <c r="B4" s="1" t="s">
        <v>7</v>
      </c>
      <c r="C4" s="1" t="s">
        <v>8</v>
      </c>
      <c r="D4" s="5">
        <v>1.9E-2</v>
      </c>
      <c r="E4" s="5" t="s">
        <v>9</v>
      </c>
      <c r="F4" s="5">
        <v>2.8000000000000001E-2</v>
      </c>
      <c r="G4" s="5">
        <v>3.7400000000000003E-2</v>
      </c>
      <c r="H4" s="5">
        <v>4.3400000000000001E-2</v>
      </c>
      <c r="I4" s="5">
        <v>5.5399999999999998E-2</v>
      </c>
      <c r="J4" s="5">
        <v>7.0800000000000002E-2</v>
      </c>
      <c r="K4" s="1" t="s">
        <v>10</v>
      </c>
      <c r="L4" s="1" t="s">
        <v>11</v>
      </c>
    </row>
    <row r="5" spans="1:12">
      <c r="A5" s="36">
        <v>2</v>
      </c>
      <c r="B5" s="1" t="s">
        <v>12</v>
      </c>
      <c r="C5" s="1" t="s">
        <v>13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1" t="s">
        <v>10</v>
      </c>
      <c r="L5" s="1" t="s">
        <v>15</v>
      </c>
    </row>
    <row r="6" spans="1:12">
      <c r="A6" s="35">
        <v>3</v>
      </c>
      <c r="B6" s="1" t="s">
        <v>16</v>
      </c>
      <c r="C6" s="1" t="s">
        <v>17</v>
      </c>
      <c r="D6" s="5" t="s">
        <v>18</v>
      </c>
      <c r="E6" s="5" t="s">
        <v>18</v>
      </c>
      <c r="F6" s="5" t="s">
        <v>18</v>
      </c>
      <c r="G6" s="5" t="s">
        <v>18</v>
      </c>
      <c r="H6" s="5" t="s">
        <v>18</v>
      </c>
      <c r="I6" s="5" t="s">
        <v>18</v>
      </c>
      <c r="J6" s="5" t="s">
        <v>18</v>
      </c>
      <c r="K6" s="1" t="s">
        <v>10</v>
      </c>
      <c r="L6" s="1" t="s">
        <v>19</v>
      </c>
    </row>
    <row r="7" spans="1:12">
      <c r="A7" s="36">
        <v>4</v>
      </c>
      <c r="B7" s="1" t="s">
        <v>20</v>
      </c>
      <c r="C7" s="1" t="s">
        <v>21</v>
      </c>
      <c r="D7" s="5">
        <v>1.5E-3</v>
      </c>
      <c r="E7" s="5" t="s">
        <v>22</v>
      </c>
      <c r="F7" s="5" t="s">
        <v>22</v>
      </c>
      <c r="G7" s="5" t="s">
        <v>22</v>
      </c>
      <c r="H7" s="5" t="s">
        <v>22</v>
      </c>
      <c r="I7" s="5">
        <v>2.3E-3</v>
      </c>
      <c r="J7" s="5">
        <v>3.0999999999999999E-3</v>
      </c>
      <c r="K7" s="1" t="s">
        <v>10</v>
      </c>
      <c r="L7" s="1" t="s">
        <v>23</v>
      </c>
    </row>
    <row r="8" spans="1:12">
      <c r="A8" s="35">
        <v>5</v>
      </c>
      <c r="B8" s="1" t="s">
        <v>24</v>
      </c>
      <c r="C8" s="1" t="s">
        <v>25</v>
      </c>
      <c r="D8" s="5" t="s">
        <v>22</v>
      </c>
      <c r="E8" s="5" t="s">
        <v>22</v>
      </c>
      <c r="F8" s="5" t="s">
        <v>22</v>
      </c>
      <c r="G8" s="5" t="s">
        <v>22</v>
      </c>
      <c r="H8" s="5" t="s">
        <v>22</v>
      </c>
      <c r="I8" s="5" t="s">
        <v>22</v>
      </c>
      <c r="J8" s="5" t="s">
        <v>22</v>
      </c>
      <c r="K8" s="1" t="s">
        <v>10</v>
      </c>
      <c r="L8" s="1" t="s">
        <v>26</v>
      </c>
    </row>
    <row r="9" spans="1:12">
      <c r="A9" s="36">
        <v>6</v>
      </c>
      <c r="B9" s="1" t="s">
        <v>27</v>
      </c>
      <c r="C9" s="1" t="s">
        <v>28</v>
      </c>
      <c r="D9" s="5" t="s">
        <v>29</v>
      </c>
      <c r="E9" s="5" t="s">
        <v>29</v>
      </c>
      <c r="F9" s="5" t="s">
        <v>29</v>
      </c>
      <c r="G9" s="5" t="s">
        <v>29</v>
      </c>
      <c r="H9" s="5" t="s">
        <v>29</v>
      </c>
      <c r="I9" s="5" t="s">
        <v>29</v>
      </c>
      <c r="J9" s="5" t="s">
        <v>29</v>
      </c>
      <c r="K9" s="1" t="s">
        <v>10</v>
      </c>
      <c r="L9" s="1" t="s">
        <v>30</v>
      </c>
    </row>
    <row r="10" spans="1:12">
      <c r="A10" s="35">
        <v>7</v>
      </c>
      <c r="B10" s="1" t="s">
        <v>31</v>
      </c>
      <c r="C10" s="1" t="s">
        <v>32</v>
      </c>
      <c r="D10" s="5" t="s">
        <v>33</v>
      </c>
      <c r="E10" s="5" t="s">
        <v>33</v>
      </c>
      <c r="F10" s="5" t="s">
        <v>33</v>
      </c>
      <c r="G10" s="5" t="s">
        <v>33</v>
      </c>
      <c r="H10" s="5" t="s">
        <v>33</v>
      </c>
      <c r="I10" s="5" t="s">
        <v>33</v>
      </c>
      <c r="J10" s="5" t="s">
        <v>33</v>
      </c>
      <c r="K10" s="1" t="s">
        <v>34</v>
      </c>
      <c r="L10" s="1" t="s">
        <v>35</v>
      </c>
    </row>
    <row r="11" spans="1:12">
      <c r="A11" s="36">
        <v>8</v>
      </c>
      <c r="B11" s="1" t="s">
        <v>36</v>
      </c>
      <c r="C11" s="1" t="s">
        <v>37</v>
      </c>
      <c r="D11" s="5" t="s">
        <v>38</v>
      </c>
      <c r="E11" s="5" t="s">
        <v>38</v>
      </c>
      <c r="F11" s="5" t="s">
        <v>38</v>
      </c>
      <c r="G11" s="5" t="s">
        <v>38</v>
      </c>
      <c r="H11" s="5" t="s">
        <v>38</v>
      </c>
      <c r="I11" s="5" t="s">
        <v>38</v>
      </c>
      <c r="J11" s="5" t="s">
        <v>38</v>
      </c>
      <c r="K11" s="1" t="s">
        <v>39</v>
      </c>
      <c r="L11" s="1" t="s">
        <v>40</v>
      </c>
    </row>
    <row r="12" spans="1:12">
      <c r="A12" s="35">
        <v>9</v>
      </c>
      <c r="B12" s="1" t="s">
        <v>41</v>
      </c>
      <c r="C12" s="1" t="s">
        <v>42</v>
      </c>
      <c r="D12" s="5" t="s">
        <v>43</v>
      </c>
      <c r="E12" s="5" t="s">
        <v>43</v>
      </c>
      <c r="F12" s="5" t="s">
        <v>43</v>
      </c>
      <c r="G12" s="5" t="s">
        <v>43</v>
      </c>
      <c r="H12" s="5" t="s">
        <v>43</v>
      </c>
      <c r="I12" s="5" t="s">
        <v>43</v>
      </c>
      <c r="J12" s="5" t="s">
        <v>43</v>
      </c>
      <c r="K12" s="1" t="s">
        <v>39</v>
      </c>
      <c r="L12" s="1" t="s">
        <v>44</v>
      </c>
    </row>
    <row r="13" spans="1:12">
      <c r="A13" s="36">
        <v>10</v>
      </c>
      <c r="B13" s="1" t="s">
        <v>45</v>
      </c>
      <c r="C13" s="1" t="s">
        <v>46</v>
      </c>
      <c r="D13" s="5" t="s">
        <v>47</v>
      </c>
      <c r="E13" s="5" t="s">
        <v>47</v>
      </c>
      <c r="F13" s="5" t="s">
        <v>47</v>
      </c>
      <c r="G13" s="5" t="s">
        <v>47</v>
      </c>
      <c r="H13" s="5" t="s">
        <v>47</v>
      </c>
      <c r="I13" s="5" t="s">
        <v>47</v>
      </c>
      <c r="J13" s="5" t="s">
        <v>47</v>
      </c>
      <c r="K13" s="1" t="s">
        <v>48</v>
      </c>
      <c r="L13" s="1" t="s">
        <v>6</v>
      </c>
    </row>
    <row r="14" spans="1:12">
      <c r="A14" s="35">
        <v>11</v>
      </c>
      <c r="B14" s="1" t="s">
        <v>49</v>
      </c>
      <c r="C14" s="1" t="s">
        <v>50</v>
      </c>
      <c r="D14" s="5" t="s">
        <v>51</v>
      </c>
      <c r="E14" s="5" t="s">
        <v>51</v>
      </c>
      <c r="F14" s="5" t="s">
        <v>51</v>
      </c>
      <c r="G14" s="5" t="s">
        <v>51</v>
      </c>
      <c r="H14" s="5" t="s">
        <v>51</v>
      </c>
      <c r="I14" s="5" t="s">
        <v>51</v>
      </c>
      <c r="J14" s="5" t="s">
        <v>51</v>
      </c>
      <c r="K14" s="1" t="s">
        <v>48</v>
      </c>
      <c r="L14" s="1" t="s">
        <v>6</v>
      </c>
    </row>
    <row r="15" spans="1:12">
      <c r="A15" s="36">
        <v>12</v>
      </c>
      <c r="B15" s="1" t="s">
        <v>52</v>
      </c>
      <c r="C15" s="1" t="s">
        <v>53</v>
      </c>
      <c r="D15" s="5" t="s">
        <v>54</v>
      </c>
      <c r="E15" s="5" t="s">
        <v>54</v>
      </c>
      <c r="F15" s="5" t="s">
        <v>54</v>
      </c>
      <c r="G15" s="5" t="s">
        <v>54</v>
      </c>
      <c r="H15" s="5" t="s">
        <v>54</v>
      </c>
      <c r="I15" s="5" t="s">
        <v>54</v>
      </c>
      <c r="J15" s="5" t="s">
        <v>54</v>
      </c>
      <c r="K15" s="1" t="s">
        <v>55</v>
      </c>
      <c r="L15" s="1" t="s">
        <v>6</v>
      </c>
    </row>
    <row r="16" spans="1:12">
      <c r="A16" s="35">
        <v>13</v>
      </c>
      <c r="B16" s="1" t="s">
        <v>56</v>
      </c>
      <c r="C16" s="1" t="s">
        <v>57</v>
      </c>
      <c r="D16" s="5" t="s">
        <v>58</v>
      </c>
      <c r="E16" s="5" t="s">
        <v>58</v>
      </c>
      <c r="F16" s="5" t="s">
        <v>58</v>
      </c>
      <c r="G16" s="5" t="s">
        <v>58</v>
      </c>
      <c r="H16" s="5" t="s">
        <v>58</v>
      </c>
      <c r="I16" s="5" t="s">
        <v>58</v>
      </c>
      <c r="J16" s="5" t="s">
        <v>58</v>
      </c>
      <c r="K16" s="1" t="s">
        <v>59</v>
      </c>
      <c r="L16" s="1" t="s">
        <v>6</v>
      </c>
    </row>
    <row r="17" spans="1:12">
      <c r="A17" s="36">
        <v>14</v>
      </c>
      <c r="B17" s="1" t="s">
        <v>60</v>
      </c>
      <c r="C17" s="1" t="s">
        <v>61</v>
      </c>
      <c r="D17" s="5" t="s">
        <v>62</v>
      </c>
      <c r="E17" s="5" t="s">
        <v>62</v>
      </c>
      <c r="F17" s="5" t="s">
        <v>62</v>
      </c>
      <c r="G17" s="5" t="s">
        <v>62</v>
      </c>
      <c r="H17" s="5" t="s">
        <v>62</v>
      </c>
      <c r="I17" s="5" t="s">
        <v>62</v>
      </c>
      <c r="J17" s="5" t="s">
        <v>62</v>
      </c>
      <c r="K17" s="1" t="s">
        <v>34</v>
      </c>
      <c r="L17" s="1" t="s">
        <v>6</v>
      </c>
    </row>
    <row r="18" spans="1:12">
      <c r="A18" s="35"/>
      <c r="B18" s="1" t="s">
        <v>6</v>
      </c>
      <c r="C18" s="1" t="s">
        <v>6</v>
      </c>
      <c r="D18" s="5" t="s">
        <v>6</v>
      </c>
      <c r="E18" s="5" t="s">
        <v>6</v>
      </c>
      <c r="F18" s="5" t="s">
        <v>6</v>
      </c>
      <c r="G18" s="5" t="s">
        <v>6</v>
      </c>
      <c r="H18" s="5" t="s">
        <v>6</v>
      </c>
      <c r="I18" s="5" t="s">
        <v>6</v>
      </c>
      <c r="J18" s="5" t="s">
        <v>6</v>
      </c>
      <c r="K18" s="1" t="s">
        <v>6</v>
      </c>
      <c r="L18" s="1" t="s">
        <v>6</v>
      </c>
    </row>
    <row r="19" spans="1:12">
      <c r="A19" s="36"/>
      <c r="B19" s="1" t="s">
        <v>63</v>
      </c>
      <c r="C19" s="1" t="s">
        <v>6</v>
      </c>
      <c r="D19" s="5" t="s">
        <v>6</v>
      </c>
      <c r="E19" s="5" t="s">
        <v>6</v>
      </c>
      <c r="F19" s="5" t="s">
        <v>6</v>
      </c>
      <c r="G19" s="5" t="s">
        <v>6</v>
      </c>
      <c r="H19" s="5" t="s">
        <v>6</v>
      </c>
      <c r="I19" s="5" t="s">
        <v>6</v>
      </c>
      <c r="J19" s="5" t="s">
        <v>6</v>
      </c>
      <c r="K19" s="1" t="s">
        <v>6</v>
      </c>
      <c r="L19" s="1" t="s">
        <v>6</v>
      </c>
    </row>
    <row r="20" spans="1:12">
      <c r="A20" s="35">
        <v>15</v>
      </c>
      <c r="B20" s="1" t="s">
        <v>64</v>
      </c>
      <c r="C20" s="1" t="s">
        <v>65</v>
      </c>
      <c r="D20" s="5">
        <f>PI()*D4^2/4</f>
        <v>2.835287369864788E-4</v>
      </c>
      <c r="E20" s="5">
        <f>PI()*E4^2/4</f>
        <v>3.9408138246630365E-4</v>
      </c>
      <c r="F20" s="5">
        <f>PI()*F4^2/4</f>
        <v>6.1575216010359955E-4</v>
      </c>
      <c r="G20" s="5">
        <f>PI()*G4^2/4</f>
        <v>1.098583535033815E-3</v>
      </c>
      <c r="H20" s="5">
        <f>PI()*H4^2/4</f>
        <v>1.4793445646488978E-3</v>
      </c>
      <c r="I20" s="5">
        <f>PI()*I4^2/4</f>
        <v>2.4105126271729122E-3</v>
      </c>
      <c r="J20" s="5">
        <f>PI()*J4^2/4</f>
        <v>3.9369182497725856E-3</v>
      </c>
      <c r="K20" s="1" t="s">
        <v>66</v>
      </c>
      <c r="L20" s="1" t="s">
        <v>6</v>
      </c>
    </row>
    <row r="21" spans="1:12">
      <c r="A21" s="36">
        <v>16</v>
      </c>
      <c r="B21" s="1" t="s">
        <v>67</v>
      </c>
      <c r="C21" s="1" t="s">
        <v>68</v>
      </c>
      <c r="D21" s="5">
        <f>D13*D15*D5</f>
        <v>5886</v>
      </c>
      <c r="E21" s="5">
        <f>E13*E15*E5</f>
        <v>5886</v>
      </c>
      <c r="F21" s="5">
        <f>F13*F15*F5</f>
        <v>5886</v>
      </c>
      <c r="G21" s="5">
        <f>G13*G15*G5</f>
        <v>5886</v>
      </c>
      <c r="H21" s="5">
        <f>H13*H15*H5</f>
        <v>5886</v>
      </c>
      <c r="I21" s="5">
        <f>I13*I15*I5</f>
        <v>5886</v>
      </c>
      <c r="J21" s="5">
        <f>J13*J15*J5</f>
        <v>5886</v>
      </c>
      <c r="K21" s="1" t="s">
        <v>59</v>
      </c>
      <c r="L21" s="1" t="s">
        <v>6</v>
      </c>
    </row>
    <row r="22" spans="1:12">
      <c r="A22" s="35">
        <v>17</v>
      </c>
      <c r="B22" s="1" t="s">
        <v>69</v>
      </c>
      <c r="C22" s="1" t="s">
        <v>70</v>
      </c>
      <c r="D22" s="5">
        <f>D16+D21</f>
        <v>107211</v>
      </c>
      <c r="E22" s="5">
        <f>E16+E21</f>
        <v>107211</v>
      </c>
      <c r="F22" s="5">
        <f>F16+F21</f>
        <v>107211</v>
      </c>
      <c r="G22" s="5">
        <f>G16+G21</f>
        <v>107211</v>
      </c>
      <c r="H22" s="5">
        <f>H16+H21</f>
        <v>107211</v>
      </c>
      <c r="I22" s="5">
        <f>I16+I21</f>
        <v>107211</v>
      </c>
      <c r="J22" s="5">
        <f>J16+J21</f>
        <v>107211</v>
      </c>
      <c r="K22" s="1" t="s">
        <v>59</v>
      </c>
      <c r="L22" s="1" t="s">
        <v>6</v>
      </c>
    </row>
    <row r="23" spans="1:12">
      <c r="A23" s="36">
        <v>18</v>
      </c>
      <c r="B23" s="1" t="s">
        <v>71</v>
      </c>
      <c r="C23" s="1" t="s">
        <v>72</v>
      </c>
      <c r="D23" s="5">
        <f>D11*D20</f>
        <v>1.5594080534256336E-4</v>
      </c>
      <c r="E23" s="5">
        <f>E11*E20</f>
        <v>2.1674476035646702E-4</v>
      </c>
      <c r="F23" s="5">
        <f>F11*F20</f>
        <v>3.3866368805697978E-4</v>
      </c>
      <c r="G23" s="5">
        <f>G11*G20</f>
        <v>6.0422094426859825E-4</v>
      </c>
      <c r="H23" s="5">
        <f>H11*H20</f>
        <v>8.1363951055689386E-4</v>
      </c>
      <c r="I23" s="5">
        <f>I11*I20</f>
        <v>1.3257819449451018E-3</v>
      </c>
      <c r="J23" s="5">
        <f>J11*J20</f>
        <v>2.1653050373749223E-3</v>
      </c>
      <c r="K23" s="1" t="s">
        <v>73</v>
      </c>
      <c r="L23" s="1" t="s">
        <v>6</v>
      </c>
    </row>
    <row r="24" spans="1:12" s="9" customFormat="1">
      <c r="A24" s="37">
        <v>19</v>
      </c>
      <c r="B24" s="7" t="s">
        <v>74</v>
      </c>
      <c r="C24" s="7" t="s">
        <v>75</v>
      </c>
      <c r="D24" s="8">
        <f>D23*D22/D16*60000</f>
        <v>9.899967242979459</v>
      </c>
      <c r="E24" s="8">
        <f>E23*E22/E16*60000</f>
        <v>13.760131755782197</v>
      </c>
      <c r="F24" s="8">
        <f>F23*F22/F16*60000</f>
        <v>21.50020586840969</v>
      </c>
      <c r="G24" s="8">
        <f>G23*G22/G16*60000</f>
        <v>38.359219337368287</v>
      </c>
      <c r="H24" s="8">
        <f>H23*H22/H16*60000</f>
        <v>51.654244598854277</v>
      </c>
      <c r="I24" s="8">
        <f>I23*I22/I16*60000</f>
        <v>84.16782122842892</v>
      </c>
      <c r="J24" s="8">
        <f>J23*J22/J16*60000</f>
        <v>137.46529584722595</v>
      </c>
      <c r="K24" s="7" t="s">
        <v>76</v>
      </c>
      <c r="L24" s="7" t="s">
        <v>77</v>
      </c>
    </row>
    <row r="25" spans="1:12">
      <c r="A25" s="36">
        <v>20</v>
      </c>
      <c r="B25" s="1" t="s">
        <v>78</v>
      </c>
      <c r="C25" s="1" t="s">
        <v>79</v>
      </c>
      <c r="D25" s="5">
        <f>PI()*D8^2/4</f>
        <v>3.1415926535897929E-6</v>
      </c>
      <c r="E25" s="5">
        <f>PI()*E8^2/4</f>
        <v>3.1415926535897929E-6</v>
      </c>
      <c r="F25" s="5">
        <f>PI()*F8^2/4</f>
        <v>3.1415926535897929E-6</v>
      </c>
      <c r="G25" s="5">
        <f>PI()*G8^2/4</f>
        <v>3.1415926535897929E-6</v>
      </c>
      <c r="H25" s="5">
        <f>PI()*H8^2/4</f>
        <v>3.1415926535897929E-6</v>
      </c>
      <c r="I25" s="5">
        <f>PI()*I8^2/4</f>
        <v>3.1415926535897929E-6</v>
      </c>
      <c r="J25" s="5">
        <f>PI()*J8^2/4</f>
        <v>3.1415926535897929E-6</v>
      </c>
      <c r="K25" s="1" t="s">
        <v>66</v>
      </c>
      <c r="L25" s="1" t="s">
        <v>6</v>
      </c>
    </row>
    <row r="26" spans="1:12">
      <c r="A26" s="35">
        <v>21</v>
      </c>
      <c r="B26" s="1" t="s">
        <v>80</v>
      </c>
      <c r="C26" s="1" t="s">
        <v>81</v>
      </c>
      <c r="D26" s="5">
        <f>D23/D12</f>
        <v>5.1980268447521123E-6</v>
      </c>
      <c r="E26" s="5">
        <f>E23/E12</f>
        <v>7.2248253452155671E-6</v>
      </c>
      <c r="F26" s="5">
        <f>F23/F12</f>
        <v>1.1288789601899326E-5</v>
      </c>
      <c r="G26" s="5">
        <f>G23/G12</f>
        <v>2.0140698142286607E-5</v>
      </c>
      <c r="H26" s="5">
        <f>H23/H12</f>
        <v>2.7121317018563127E-5</v>
      </c>
      <c r="I26" s="5">
        <f>I23/I12</f>
        <v>4.4192731498170061E-5</v>
      </c>
      <c r="J26" s="5">
        <f>J23/J12</f>
        <v>7.2176834579164073E-5</v>
      </c>
      <c r="K26" s="1" t="s">
        <v>66</v>
      </c>
      <c r="L26" s="1" t="s">
        <v>6</v>
      </c>
    </row>
    <row r="27" spans="1:12">
      <c r="A27" s="36">
        <v>22</v>
      </c>
      <c r="B27" s="1" t="s">
        <v>82</v>
      </c>
      <c r="C27" s="1" t="s">
        <v>83</v>
      </c>
      <c r="D27" s="5">
        <f>ROUNDUP(D26/D25,0)</f>
        <v>2</v>
      </c>
      <c r="E27" s="5">
        <f>ROUNDUP(E26/E25,0)</f>
        <v>3</v>
      </c>
      <c r="F27" s="5">
        <f>ROUNDUP(F26/F25,0)</f>
        <v>4</v>
      </c>
      <c r="G27" s="5">
        <f>ROUNDUP(G26/G25,0)</f>
        <v>7</v>
      </c>
      <c r="H27" s="5">
        <f>ROUNDUP(H26/H25,0)</f>
        <v>9</v>
      </c>
      <c r="I27" s="5">
        <f>ROUNDUP(I26/I25,0)</f>
        <v>15</v>
      </c>
      <c r="J27" s="5">
        <f>ROUNDUP(J26/J25,0)</f>
        <v>23</v>
      </c>
      <c r="K27" s="1" t="s">
        <v>84</v>
      </c>
      <c r="L27" s="1" t="s">
        <v>6</v>
      </c>
    </row>
    <row r="28" spans="1:12">
      <c r="A28" s="35">
        <v>23</v>
      </c>
      <c r="B28" s="1" t="s">
        <v>85</v>
      </c>
      <c r="C28" s="1" t="s">
        <v>86</v>
      </c>
      <c r="D28" s="5">
        <f>D6+D7</f>
        <v>1.95E-2</v>
      </c>
      <c r="E28" s="5">
        <f>E6+E7</f>
        <v>1.9999999999999997E-2</v>
      </c>
      <c r="F28" s="5">
        <f>F6+F7</f>
        <v>1.9999999999999997E-2</v>
      </c>
      <c r="G28" s="5">
        <f>G6+G7</f>
        <v>1.9999999999999997E-2</v>
      </c>
      <c r="H28" s="5">
        <f>H6+H7</f>
        <v>1.9999999999999997E-2</v>
      </c>
      <c r="I28" s="5">
        <f>I6+I7</f>
        <v>2.0299999999999999E-2</v>
      </c>
      <c r="J28" s="5">
        <f>J6+J7</f>
        <v>2.1099999999999997E-2</v>
      </c>
      <c r="K28" s="1" t="s">
        <v>10</v>
      </c>
      <c r="L28" s="1" t="s">
        <v>87</v>
      </c>
    </row>
    <row r="29" spans="1:12">
      <c r="A29" s="36">
        <v>24</v>
      </c>
      <c r="B29" s="1" t="s">
        <v>88</v>
      </c>
      <c r="C29" s="1" t="s">
        <v>89</v>
      </c>
      <c r="D29" s="5">
        <f>D8+D9</f>
        <v>3.0000000000000001E-3</v>
      </c>
      <c r="E29" s="5">
        <f>E8+E9</f>
        <v>3.0000000000000001E-3</v>
      </c>
      <c r="F29" s="5">
        <f>F8+F9</f>
        <v>3.0000000000000001E-3</v>
      </c>
      <c r="G29" s="5">
        <f>G8+G9</f>
        <v>3.0000000000000001E-3</v>
      </c>
      <c r="H29" s="5">
        <f>H8+H9</f>
        <v>3.0000000000000001E-3</v>
      </c>
      <c r="I29" s="5">
        <f>I8+I9</f>
        <v>3.0000000000000001E-3</v>
      </c>
      <c r="J29" s="5">
        <f>J8+J9</f>
        <v>3.0000000000000001E-3</v>
      </c>
      <c r="K29" s="1" t="s">
        <v>10</v>
      </c>
      <c r="L29" s="1" t="s">
        <v>90</v>
      </c>
    </row>
    <row r="30" spans="1:12">
      <c r="A30" s="35">
        <v>25</v>
      </c>
      <c r="B30" s="1" t="s">
        <v>91</v>
      </c>
      <c r="C30" s="1" t="s">
        <v>92</v>
      </c>
      <c r="D30" s="5">
        <f>INT(PI()*D28/D29)</f>
        <v>20</v>
      </c>
      <c r="E30" s="5">
        <f>INT(PI()*E28/E29)</f>
        <v>20</v>
      </c>
      <c r="F30" s="5">
        <f>INT(PI()*F28/F29)</f>
        <v>20</v>
      </c>
      <c r="G30" s="5">
        <f>INT(PI()*G28/G29)</f>
        <v>20</v>
      </c>
      <c r="H30" s="5">
        <f>INT(PI()*H28/H29)</f>
        <v>20</v>
      </c>
      <c r="I30" s="5">
        <f>INT(PI()*I28/I29)</f>
        <v>21</v>
      </c>
      <c r="J30" s="5">
        <f>INT(PI()*J28/J29)</f>
        <v>22</v>
      </c>
      <c r="K30" s="1" t="s">
        <v>84</v>
      </c>
      <c r="L30" s="1" t="s">
        <v>6</v>
      </c>
    </row>
    <row r="31" spans="1:12">
      <c r="A31" s="36">
        <v>26</v>
      </c>
      <c r="B31" s="1" t="s">
        <v>93</v>
      </c>
      <c r="C31" s="1" t="s">
        <v>94</v>
      </c>
      <c r="D31" s="5">
        <f>D30*D10</f>
        <v>20</v>
      </c>
      <c r="E31" s="5">
        <f>E30*E10</f>
        <v>20</v>
      </c>
      <c r="F31" s="5">
        <f>F30*F10</f>
        <v>20</v>
      </c>
      <c r="G31" s="5">
        <f>G30*G10</f>
        <v>20</v>
      </c>
      <c r="H31" s="5">
        <f>H30*H10</f>
        <v>20</v>
      </c>
      <c r="I31" s="5">
        <f>I30*I10</f>
        <v>21</v>
      </c>
      <c r="J31" s="5">
        <f>J30*J10</f>
        <v>22</v>
      </c>
      <c r="K31" s="1" t="s">
        <v>84</v>
      </c>
      <c r="L31" s="1" t="s">
        <v>6</v>
      </c>
    </row>
    <row r="32" spans="1:12" s="23" customFormat="1">
      <c r="A32" s="38">
        <v>27</v>
      </c>
      <c r="B32" s="21" t="s">
        <v>95</v>
      </c>
      <c r="C32" s="21" t="s">
        <v>96</v>
      </c>
      <c r="D32" s="22">
        <f>IF(D27&lt;=D31,D27,D31)</f>
        <v>2</v>
      </c>
      <c r="E32" s="22">
        <f>IF(E27&lt;=E31,E27,E31)</f>
        <v>3</v>
      </c>
      <c r="F32" s="22">
        <f>IF(F27&lt;=F31,F27,F31)</f>
        <v>4</v>
      </c>
      <c r="G32" s="22">
        <f>IF(G27&lt;=G31,G27,G31)</f>
        <v>7</v>
      </c>
      <c r="H32" s="22">
        <f>IF(H27&lt;=H31,H27,H31)</f>
        <v>9</v>
      </c>
      <c r="I32" s="22">
        <f>IF(I27&lt;=I31,I27,I31)</f>
        <v>15</v>
      </c>
      <c r="J32" s="22">
        <f>IF(J27&lt;=J31,J27,J31)</f>
        <v>22</v>
      </c>
      <c r="K32" s="21"/>
      <c r="L32" s="21"/>
    </row>
    <row r="33" spans="1:12">
      <c r="A33" s="36">
        <v>28</v>
      </c>
      <c r="B33" s="1" t="s">
        <v>97</v>
      </c>
      <c r="C33" s="1" t="s">
        <v>98</v>
      </c>
      <c r="D33" s="5" t="str">
        <f>IF(D27&lt;=D31,"OK","NOT OK")</f>
        <v>OK</v>
      </c>
      <c r="E33" s="5" t="str">
        <f>IF(E27&lt;=E31,"OK","NOT OK")</f>
        <v>OK</v>
      </c>
      <c r="F33" s="5" t="str">
        <f>IF(F27&lt;=F31,"OK","NOT OK")</f>
        <v>OK</v>
      </c>
      <c r="G33" s="5" t="str">
        <f>IF(G27&lt;=G31,"OK","NOT OK")</f>
        <v>OK</v>
      </c>
      <c r="H33" s="5" t="str">
        <f>IF(H27&lt;=H31,"OK","NOT OK")</f>
        <v>OK</v>
      </c>
      <c r="I33" s="5" t="str">
        <f>IF(I27&lt;=I31,"OK","NOT OK")</f>
        <v>OK</v>
      </c>
      <c r="J33" s="5" t="str">
        <f>IF(J27&lt;=J31,"OK","NOT OK")</f>
        <v>NOT OK</v>
      </c>
      <c r="K33" s="1"/>
      <c r="L33" s="1"/>
    </row>
    <row r="34" spans="1:12">
      <c r="A34" s="35">
        <v>29</v>
      </c>
      <c r="B34" s="1" t="s">
        <v>99</v>
      </c>
      <c r="C34" s="1" t="s">
        <v>100</v>
      </c>
      <c r="D34" s="5">
        <f>D32*D25</f>
        <v>6.2831853071795858E-6</v>
      </c>
      <c r="E34" s="5">
        <f>E32*E25</f>
        <v>9.4247779607693791E-6</v>
      </c>
      <c r="F34" s="5">
        <f>F32*F25</f>
        <v>1.2566370614359172E-5</v>
      </c>
      <c r="G34" s="5">
        <f>G32*G25</f>
        <v>2.1991148575128549E-5</v>
      </c>
      <c r="H34" s="5">
        <f>H32*H25</f>
        <v>2.8274333882308137E-5</v>
      </c>
      <c r="I34" s="5">
        <f>I32*I25</f>
        <v>4.7123889803846892E-5</v>
      </c>
      <c r="J34" s="5">
        <f>J32*J25</f>
        <v>6.9115038378975445E-5</v>
      </c>
      <c r="K34" s="1" t="s">
        <v>66</v>
      </c>
      <c r="L34" s="1" t="s">
        <v>6</v>
      </c>
    </row>
    <row r="35" spans="1:12">
      <c r="A35" s="36">
        <v>30</v>
      </c>
      <c r="B35" s="1" t="s">
        <v>101</v>
      </c>
      <c r="C35" s="1" t="s">
        <v>102</v>
      </c>
      <c r="D35" s="5">
        <f>D23/D34</f>
        <v>24.818750000000001</v>
      </c>
      <c r="E35" s="5">
        <f>E23/E34</f>
        <v>22.997333333333337</v>
      </c>
      <c r="F35" s="5">
        <f>F23/F34</f>
        <v>26.95000000000001</v>
      </c>
      <c r="G35" s="5">
        <f>G23/G34</f>
        <v>27.475642857142866</v>
      </c>
      <c r="H35" s="5">
        <f>H23/H34</f>
        <v>28.776611111111116</v>
      </c>
      <c r="I35" s="5">
        <f>I23/I34</f>
        <v>28.133966666666669</v>
      </c>
      <c r="J35" s="5">
        <f>J23/J34</f>
        <v>31.329000000000008</v>
      </c>
      <c r="K35" s="1" t="s">
        <v>39</v>
      </c>
      <c r="L35" s="1" t="s">
        <v>6</v>
      </c>
    </row>
    <row r="36" spans="1:12">
      <c r="A36" s="35">
        <v>31</v>
      </c>
      <c r="B36" s="1" t="s">
        <v>103</v>
      </c>
      <c r="C36" s="1" t="s">
        <v>104</v>
      </c>
      <c r="D36" s="5">
        <f>0.5*D14*(D35/D17)^2</f>
        <v>754.24941007653081</v>
      </c>
      <c r="E36" s="5">
        <f>0.5*E14*(E35/E17)^2</f>
        <v>647.60490666666681</v>
      </c>
      <c r="F36" s="5">
        <f>0.5*F14*(F35/F17)^2</f>
        <v>889.3500000000007</v>
      </c>
      <c r="G36" s="5">
        <f>0.5*G14*(G35/G17)^2</f>
        <v>924.38075560808068</v>
      </c>
      <c r="H36" s="5">
        <f>0.5*H14*(H35/H17)^2</f>
        <v>1013.9918535185191</v>
      </c>
      <c r="I36" s="5">
        <f>0.5*I14*(I35/I17)^2</f>
        <v>969.20826171564659</v>
      </c>
      <c r="J36" s="5">
        <f>0.5*J14*(J35/J17)^2</f>
        <v>1201.8443767346944</v>
      </c>
      <c r="K36" s="1" t="s">
        <v>59</v>
      </c>
      <c r="L36" s="1" t="s">
        <v>105</v>
      </c>
    </row>
    <row r="37" spans="1:12">
      <c r="A37" s="36">
        <v>32</v>
      </c>
      <c r="B37" s="1" t="s">
        <v>103</v>
      </c>
      <c r="C37" s="1" t="s">
        <v>211</v>
      </c>
      <c r="D37" s="6">
        <f>D36/9.80665</f>
        <v>76.912035208407644</v>
      </c>
      <c r="E37" s="6">
        <f>E36/9.80665</f>
        <v>66.037322293205818</v>
      </c>
      <c r="F37" s="6">
        <f t="shared" ref="E37:J37" si="0">F36/9.80665</f>
        <v>90.688461401192129</v>
      </c>
      <c r="G37" s="6">
        <f t="shared" si="0"/>
        <v>94.260604345834793</v>
      </c>
      <c r="H37" s="6">
        <f t="shared" si="0"/>
        <v>103.39839328603745</v>
      </c>
      <c r="I37" s="6">
        <f t="shared" si="0"/>
        <v>98.831737822359997</v>
      </c>
      <c r="J37" s="6">
        <f t="shared" si="0"/>
        <v>122.55401964327211</v>
      </c>
      <c r="K37" s="1" t="s">
        <v>212</v>
      </c>
      <c r="L37" s="1"/>
    </row>
    <row r="38" spans="1:12">
      <c r="A38" s="35">
        <v>33</v>
      </c>
      <c r="B38" s="1" t="s">
        <v>103</v>
      </c>
      <c r="C38" s="1" t="s">
        <v>106</v>
      </c>
      <c r="D38" s="5">
        <f>D36/100000</f>
        <v>7.5424941007653078E-3</v>
      </c>
      <c r="E38" s="5">
        <f>E36/100000</f>
        <v>6.4760490666666681E-3</v>
      </c>
      <c r="F38" s="5">
        <f>F36/100000</f>
        <v>8.8935000000000073E-3</v>
      </c>
      <c r="G38" s="5">
        <f>G36/100000</f>
        <v>9.2438075560808061E-3</v>
      </c>
      <c r="H38" s="5">
        <f>H36/100000</f>
        <v>1.0139918535185191E-2</v>
      </c>
      <c r="I38" s="5">
        <f>I36/100000</f>
        <v>9.692082617156466E-3</v>
      </c>
      <c r="J38" s="5">
        <f>J36/100000</f>
        <v>1.2018443767346943E-2</v>
      </c>
      <c r="K38" s="1" t="s">
        <v>107</v>
      </c>
      <c r="L38" s="1" t="s">
        <v>6</v>
      </c>
    </row>
    <row r="39" spans="1:12">
      <c r="A39" s="36">
        <v>34</v>
      </c>
      <c r="B39" s="1" t="s">
        <v>108</v>
      </c>
      <c r="C39" s="1" t="s">
        <v>109</v>
      </c>
      <c r="D39" s="5">
        <f>D7/D8</f>
        <v>0.75</v>
      </c>
      <c r="E39" s="5">
        <f>E7/E8</f>
        <v>1</v>
      </c>
      <c r="F39" s="5">
        <f>F7/F8</f>
        <v>1</v>
      </c>
      <c r="G39" s="5">
        <f>G7/G8</f>
        <v>1</v>
      </c>
      <c r="H39" s="5">
        <f>H7/H8</f>
        <v>1</v>
      </c>
      <c r="I39" s="5">
        <f>I7/I8</f>
        <v>1.1499999999999999</v>
      </c>
      <c r="J39" s="5">
        <f>J7/J8</f>
        <v>1.5499999999999998</v>
      </c>
      <c r="K39" s="1" t="s">
        <v>34</v>
      </c>
      <c r="L39" s="1" t="s">
        <v>6</v>
      </c>
    </row>
    <row r="40" spans="1:12">
      <c r="A40" s="35">
        <v>35</v>
      </c>
      <c r="B40" s="1" t="s">
        <v>110</v>
      </c>
      <c r="C40" s="1" t="s">
        <v>111</v>
      </c>
      <c r="D40" s="5">
        <f>(D24/60000)/D20</f>
        <v>0.58194966691339756</v>
      </c>
      <c r="E40" s="5">
        <f>(E24/60000)/E20</f>
        <v>0.58194966691339745</v>
      </c>
      <c r="F40" s="5">
        <f>(F24/60000)/F20</f>
        <v>0.58194966691339756</v>
      </c>
      <c r="G40" s="5">
        <f>(G24/60000)/G20</f>
        <v>0.58194966691339756</v>
      </c>
      <c r="H40" s="5">
        <f>(H24/60000)/H20</f>
        <v>0.58194966691339767</v>
      </c>
      <c r="I40" s="5">
        <f>(I24/60000)/I20</f>
        <v>0.58194966691339756</v>
      </c>
      <c r="J40" s="5">
        <f>(J24/60000)/J20</f>
        <v>0.58194966691339756</v>
      </c>
      <c r="K40" s="1" t="s">
        <v>39</v>
      </c>
      <c r="L40" s="1" t="s">
        <v>112</v>
      </c>
    </row>
    <row r="41" spans="1:12">
      <c r="A41" s="36">
        <v>36</v>
      </c>
      <c r="B41" s="1" t="s">
        <v>113</v>
      </c>
      <c r="C41" s="1" t="s">
        <v>114</v>
      </c>
      <c r="D41" s="5" t="str">
        <f>IF(D40&lt;0.3,"bubble / transition",IF(D40&lt;1,"slug / Taylor bubble",IF(D40&lt;2,"slug-churn risk","churn / annular risk")))</f>
        <v>slug / Taylor bubble</v>
      </c>
      <c r="E41" s="5" t="str">
        <f>IF(E40&lt;0.3,"bubble / transition",IF(E40&lt;1,"slug / Taylor bubble",IF(E40&lt;2,"slug-churn risk","churn / annular risk")))</f>
        <v>slug / Taylor bubble</v>
      </c>
      <c r="F41" s="5" t="str">
        <f>IF(F40&lt;0.3,"bubble / transition",IF(F40&lt;1,"slug / Taylor bubble",IF(F40&lt;2,"slug-churn risk","churn / annular risk")))</f>
        <v>slug / Taylor bubble</v>
      </c>
      <c r="G41" s="5" t="str">
        <f>IF(G40&lt;0.3,"bubble / transition",IF(G40&lt;1,"slug / Taylor bubble",IF(G40&lt;2,"slug-churn risk","churn / annular risk")))</f>
        <v>slug / Taylor bubble</v>
      </c>
      <c r="H41" s="5" t="str">
        <f>IF(H40&lt;0.3,"bubble / transition",IF(H40&lt;1,"slug / Taylor bubble",IF(H40&lt;2,"slug-churn risk","churn / annular risk")))</f>
        <v>slug / Taylor bubble</v>
      </c>
      <c r="I41" s="5" t="str">
        <f>IF(I40&lt;0.3,"bubble / transition",IF(I40&lt;1,"slug / Taylor bubble",IF(I40&lt;2,"slug-churn risk","churn / annular risk")))</f>
        <v>slug / Taylor bubble</v>
      </c>
      <c r="J41" s="5" t="str">
        <f>IF(J40&lt;0.3,"bubble / transition",IF(J40&lt;1,"slug / Taylor bubble",IF(J40&lt;2,"slug-churn risk","churn / annular risk")))</f>
        <v>slug / Taylor bubble</v>
      </c>
      <c r="K41" s="1" t="s">
        <v>6</v>
      </c>
      <c r="L41" s="1" t="s">
        <v>6</v>
      </c>
    </row>
    <row r="42" spans="1:12">
      <c r="A42" s="4" t="s">
        <v>213</v>
      </c>
      <c r="B42" t="s">
        <v>125</v>
      </c>
      <c r="C42" t="s">
        <v>126</v>
      </c>
      <c r="D42" s="4" t="s">
        <v>14</v>
      </c>
      <c r="E42" s="4" t="s">
        <v>189</v>
      </c>
      <c r="F42" s="4" t="s">
        <v>221</v>
      </c>
      <c r="G42" s="4" t="s">
        <v>219</v>
      </c>
      <c r="H42" s="4" t="s">
        <v>217</v>
      </c>
      <c r="I42" s="4" t="s">
        <v>215</v>
      </c>
      <c r="J42" s="31" t="s">
        <v>190</v>
      </c>
      <c r="K42" s="2" t="s">
        <v>10</v>
      </c>
      <c r="L42" s="3" t="s">
        <v>127</v>
      </c>
    </row>
    <row r="43" spans="1:12">
      <c r="A43" s="4">
        <v>38</v>
      </c>
      <c r="B43" s="1" t="s">
        <v>128</v>
      </c>
      <c r="C43" s="1" t="s">
        <v>129</v>
      </c>
      <c r="D43" s="5" t="s">
        <v>33</v>
      </c>
      <c r="E43" s="5" t="s">
        <v>33</v>
      </c>
      <c r="F43" s="5" t="s">
        <v>33</v>
      </c>
      <c r="G43" s="5" t="s">
        <v>33</v>
      </c>
      <c r="H43" s="5" t="s">
        <v>33</v>
      </c>
      <c r="I43" s="5" t="s">
        <v>33</v>
      </c>
      <c r="J43" s="24" t="s">
        <v>33</v>
      </c>
      <c r="K43" s="10" t="s">
        <v>10</v>
      </c>
      <c r="L43" s="11" t="s">
        <v>130</v>
      </c>
    </row>
    <row r="44" spans="1:12">
      <c r="A44" s="4">
        <v>39</v>
      </c>
      <c r="B44" s="1" t="s">
        <v>131</v>
      </c>
      <c r="C44" s="1" t="s">
        <v>132</v>
      </c>
      <c r="D44" s="5" t="s">
        <v>133</v>
      </c>
      <c r="E44" s="5" t="s">
        <v>133</v>
      </c>
      <c r="F44" s="5" t="s">
        <v>133</v>
      </c>
      <c r="G44" s="5" t="s">
        <v>133</v>
      </c>
      <c r="H44" s="5" t="s">
        <v>133</v>
      </c>
      <c r="I44" s="5" t="s">
        <v>133</v>
      </c>
      <c r="J44" s="25" t="s">
        <v>133</v>
      </c>
      <c r="K44" s="12" t="s">
        <v>34</v>
      </c>
      <c r="L44" s="13" t="s">
        <v>105</v>
      </c>
    </row>
    <row r="45" spans="1:12">
      <c r="A45" s="4">
        <v>40</v>
      </c>
      <c r="B45" s="1" t="s">
        <v>134</v>
      </c>
      <c r="C45" s="1" t="s">
        <v>135</v>
      </c>
      <c r="D45" s="5" t="s">
        <v>136</v>
      </c>
      <c r="E45" s="5" t="s">
        <v>136</v>
      </c>
      <c r="F45" s="5" t="s">
        <v>136</v>
      </c>
      <c r="G45" s="5" t="s">
        <v>136</v>
      </c>
      <c r="H45" s="5" t="s">
        <v>136</v>
      </c>
      <c r="I45" s="5" t="s">
        <v>136</v>
      </c>
      <c r="J45" s="24" t="s">
        <v>136</v>
      </c>
      <c r="K45" s="10" t="s">
        <v>34</v>
      </c>
      <c r="L45" s="11" t="s">
        <v>137</v>
      </c>
    </row>
    <row r="46" spans="1:12">
      <c r="A46" s="4">
        <v>41</v>
      </c>
      <c r="B46" s="1" t="s">
        <v>138</v>
      </c>
      <c r="C46" s="1" t="s">
        <v>139</v>
      </c>
      <c r="D46" s="5" t="s">
        <v>33</v>
      </c>
      <c r="E46" s="5" t="s">
        <v>33</v>
      </c>
      <c r="F46" s="5" t="s">
        <v>33</v>
      </c>
      <c r="G46" s="5" t="s">
        <v>33</v>
      </c>
      <c r="H46" s="5" t="s">
        <v>33</v>
      </c>
      <c r="I46" s="5" t="s">
        <v>33</v>
      </c>
      <c r="J46" s="25" t="s">
        <v>33</v>
      </c>
      <c r="K46" s="12" t="s">
        <v>34</v>
      </c>
      <c r="L46" s="13" t="s">
        <v>140</v>
      </c>
    </row>
    <row r="47" spans="1:12">
      <c r="A47" s="4">
        <v>42</v>
      </c>
      <c r="B47" s="1" t="s">
        <v>141</v>
      </c>
      <c r="C47" s="1" t="s">
        <v>142</v>
      </c>
      <c r="D47" s="5" t="s">
        <v>33</v>
      </c>
      <c r="E47" s="5" t="s">
        <v>33</v>
      </c>
      <c r="F47" s="5" t="s">
        <v>33</v>
      </c>
      <c r="G47" s="5" t="s">
        <v>33</v>
      </c>
      <c r="H47" s="5" t="s">
        <v>33</v>
      </c>
      <c r="I47" s="5" t="s">
        <v>33</v>
      </c>
      <c r="J47" s="24" t="s">
        <v>33</v>
      </c>
      <c r="K47" s="10" t="s">
        <v>34</v>
      </c>
      <c r="L47" s="11" t="s">
        <v>143</v>
      </c>
    </row>
    <row r="48" spans="1:12">
      <c r="A48" s="4">
        <v>43</v>
      </c>
      <c r="B48" s="1" t="s">
        <v>144</v>
      </c>
      <c r="C48" s="1" t="s">
        <v>145</v>
      </c>
      <c r="D48" s="5" t="s">
        <v>33</v>
      </c>
      <c r="E48" s="5" t="s">
        <v>33</v>
      </c>
      <c r="F48" s="5" t="s">
        <v>33</v>
      </c>
      <c r="G48" s="5" t="s">
        <v>33</v>
      </c>
      <c r="H48" s="5" t="s">
        <v>33</v>
      </c>
      <c r="I48" s="5" t="s">
        <v>33</v>
      </c>
      <c r="J48" s="25" t="s">
        <v>33</v>
      </c>
      <c r="K48" s="12" t="s">
        <v>34</v>
      </c>
      <c r="L48" s="13" t="s">
        <v>146</v>
      </c>
    </row>
    <row r="49" spans="1:12">
      <c r="A49" s="4">
        <v>44</v>
      </c>
      <c r="B49" s="1" t="s">
        <v>147</v>
      </c>
      <c r="C49" s="1" t="s">
        <v>148</v>
      </c>
      <c r="D49" s="5" t="s">
        <v>51</v>
      </c>
      <c r="E49" s="5" t="s">
        <v>51</v>
      </c>
      <c r="F49" s="5" t="s">
        <v>51</v>
      </c>
      <c r="G49" s="5" t="s">
        <v>51</v>
      </c>
      <c r="H49" s="5" t="s">
        <v>51</v>
      </c>
      <c r="I49" s="5" t="s">
        <v>51</v>
      </c>
      <c r="J49" s="24" t="s">
        <v>51</v>
      </c>
      <c r="K49" s="10" t="s">
        <v>34</v>
      </c>
      <c r="L49" s="11" t="s">
        <v>149</v>
      </c>
    </row>
    <row r="50" spans="1:12">
      <c r="A50" s="4">
        <v>45</v>
      </c>
      <c r="B50" s="1" t="s">
        <v>150</v>
      </c>
      <c r="C50" s="1" t="s">
        <v>151</v>
      </c>
      <c r="D50" s="5">
        <f>0.35*SQRT(INDEX($A:$AA,MATCH("g",$C:$C,0),COLUMN())*INDEX($A:$AA,MATCH("D_riser",$C:$C,0),COLUMN()))</f>
        <v>0.15110517860086728</v>
      </c>
      <c r="E50" s="5">
        <f>0.35*SQRT(INDEX($A:$AA,MATCH("g",$C:$C,0),COLUMN())*INDEX($A:$AA,MATCH("D_riser",$C:$C,0),COLUMN()))</f>
        <v>0.16406900987084672</v>
      </c>
      <c r="F50" s="5">
        <f>0.35*SQRT(INDEX($A:$AA,MATCH("g",$C:$C,0),COLUMN())*INDEX($A:$AA,MATCH("D_riser",$C:$C,0),COLUMN()))</f>
        <v>0.18343472953614864</v>
      </c>
      <c r="G50" s="5">
        <f>0.35*SQRT(INDEX($A:$AA,MATCH("g",$C:$C,0),COLUMN())*INDEX($A:$AA,MATCH("D_riser",$C:$C,0),COLUMN()))</f>
        <v>0.21200121461916202</v>
      </c>
      <c r="H50" s="5">
        <f>0.35*SQRT(INDEX($A:$AA,MATCH("g",$C:$C,0),COLUMN())*INDEX($A:$AA,MATCH("D_riser",$C:$C,0),COLUMN()))</f>
        <v>0.22837439655092684</v>
      </c>
      <c r="I50" s="5">
        <f>0.35*SQRT(INDEX($A:$AA,MATCH("g",$C:$C,0),COLUMN())*INDEX($A:$AA,MATCH("D_riser",$C:$C,0),COLUMN()))</f>
        <v>0.25802241181726826</v>
      </c>
      <c r="J50" s="25">
        <f>0.35*SQRT(INDEX($A:$AA,MATCH("g",$C:$C,0),COLUMN())*INDEX($A:$AA,MATCH("D_riser",$C:$C,0),COLUMN()))</f>
        <v>0.29168841252267802</v>
      </c>
      <c r="K50" s="12" t="s">
        <v>39</v>
      </c>
      <c r="L50" s="12" t="s">
        <v>153</v>
      </c>
    </row>
    <row r="51" spans="1:12">
      <c r="A51" s="4">
        <v>46</v>
      </c>
      <c r="B51" s="1" t="s">
        <v>157</v>
      </c>
      <c r="C51" s="1" t="s">
        <v>158</v>
      </c>
      <c r="D51" s="17">
        <f>0.5*(INDEX(D:D,MATCH("Jg_target",$C:$C,0))+INDEX(D:D,MATCH("Jg_out",$C:$C,0)))</f>
        <v>0.56597483345669874</v>
      </c>
      <c r="E51" s="17">
        <f>0.5*(INDEX(E:E,MATCH("Jg_target",$C:$C,0))+INDEX(E:E,MATCH("Jg_out",$C:$C,0)))</f>
        <v>0.56597483345669874</v>
      </c>
      <c r="F51" s="17">
        <f>0.5*(INDEX(F:F,MATCH("Jg_target",$C:$C,0))+INDEX(F:F,MATCH("Jg_out",$C:$C,0)))</f>
        <v>0.56597483345669874</v>
      </c>
      <c r="G51" s="17">
        <f>0.5*(INDEX(G:G,MATCH("Jg_target",$C:$C,0))+INDEX(G:G,MATCH("Jg_out",$C:$C,0)))</f>
        <v>0.56597483345669874</v>
      </c>
      <c r="H51" s="17">
        <f>0.5*(INDEX(H:H,MATCH("Jg_target",$C:$C,0))+INDEX(H:H,MATCH("Jg_out",$C:$C,0)))</f>
        <v>0.56597483345669886</v>
      </c>
      <c r="I51" s="17">
        <f>0.5*(INDEX(I:I,MATCH("Jg_target",$C:$C,0))+INDEX(I:I,MATCH("Jg_out",$C:$C,0)))</f>
        <v>0.56597483345669874</v>
      </c>
      <c r="J51" s="26">
        <f>0.5*(INDEX(J:J,MATCH("Jg_target",$C:$C,0))+INDEX(J:J,MATCH("Jg_out",$C:$C,0)))</f>
        <v>0.56597483345669874</v>
      </c>
      <c r="K51" s="10" t="s">
        <v>39</v>
      </c>
      <c r="L51" s="10" t="s">
        <v>6</v>
      </c>
    </row>
    <row r="52" spans="1:12">
      <c r="A52" s="4">
        <v>47</v>
      </c>
      <c r="B52" s="1" t="s">
        <v>169</v>
      </c>
      <c r="C52" s="1" t="s">
        <v>170</v>
      </c>
      <c r="D52" s="17">
        <f>INDEX(D:D,MATCH("f_pipe",$C:$C,0))*INDEX(D:D,MATCH("L_total",$C:$C,0))/INDEX(D:D,MATCH("D_riser",$C:$C,0))+INDEX(D:D,MATCH("K_inlet",$C:$C,0))+INDEX(D:D,MATCH("K_elbow",$C:$C,0))+INDEX(D:D,MATCH("K_outlet",$C:$C,0))</f>
        <v>4.0789473684210531</v>
      </c>
      <c r="E52" s="17">
        <f>INDEX(E:E,MATCH("f_pipe",$C:$C,0))*INDEX(E:E,MATCH("L_total",$C:$C,0))/INDEX(E:E,MATCH("D_riser",$C:$C,0))+INDEX(E:E,MATCH("K_inlet",$C:$C,0))+INDEX(E:E,MATCH("K_elbow",$C:$C,0))+INDEX(E:E,MATCH("K_outlet",$C:$C,0))</f>
        <v>3.8392857142857144</v>
      </c>
      <c r="F52" s="17">
        <f>INDEX(F:F,MATCH("f_pipe",$C:$C,0))*INDEX(F:F,MATCH("L_total",$C:$C,0))/INDEX(F:F,MATCH("D_riser",$C:$C,0))+INDEX(F:F,MATCH("K_inlet",$C:$C,0))+INDEX(F:F,MATCH("K_elbow",$C:$C,0))+INDEX(F:F,MATCH("K_outlet",$C:$C,0))</f>
        <v>3.5714285714285712</v>
      </c>
      <c r="G52" s="17">
        <f>INDEX(G:G,MATCH("f_pipe",$C:$C,0))*INDEX(G:G,MATCH("L_total",$C:$C,0))/INDEX(G:G,MATCH("D_riser",$C:$C,0))+INDEX(G:G,MATCH("K_inlet",$C:$C,0))+INDEX(G:G,MATCH("K_elbow",$C:$C,0))+INDEX(G:G,MATCH("K_outlet",$C:$C,0))</f>
        <v>3.3021390374331547</v>
      </c>
      <c r="H52" s="17">
        <f>INDEX(H:H,MATCH("f_pipe",$C:$C,0))*INDEX(H:H,MATCH("L_total",$C:$C,0))/INDEX(H:H,MATCH("D_riser",$C:$C,0))+INDEX(H:H,MATCH("K_inlet",$C:$C,0))+INDEX(H:H,MATCH("K_elbow",$C:$C,0))+INDEX(H:H,MATCH("K_outlet",$C:$C,0))</f>
        <v>3.1912442396313363</v>
      </c>
      <c r="I52" s="17">
        <f>INDEX(I:I,MATCH("f_pipe",$C:$C,0))*INDEX(I:I,MATCH("L_total",$C:$C,0))/INDEX(I:I,MATCH("D_riser",$C:$C,0))+INDEX(I:I,MATCH("K_inlet",$C:$C,0))+INDEX(I:I,MATCH("K_elbow",$C:$C,0))+INDEX(I:I,MATCH("K_outlet",$C:$C,0))</f>
        <v>3.0415162454873648</v>
      </c>
      <c r="J52" s="27">
        <f>INDEX(J:J,MATCH("f_pipe",$C:$C,0))*INDEX(J:J,MATCH("L_total",$C:$C,0))/INDEX(J:J,MATCH("D_riser",$C:$C,0))+INDEX(J:J,MATCH("K_inlet",$C:$C,0))+INDEX(J:J,MATCH("K_elbow",$C:$C,0))+INDEX(J:J,MATCH("K_outlet",$C:$C,0))</f>
        <v>2.9237288135593218</v>
      </c>
      <c r="K52" s="12" t="s">
        <v>34</v>
      </c>
      <c r="L52" s="12" t="s">
        <v>6</v>
      </c>
    </row>
    <row r="53" spans="1:12">
      <c r="A53" s="4">
        <v>48</v>
      </c>
      <c r="B53" s="1" t="s">
        <v>201</v>
      </c>
      <c r="C53" s="1" t="s">
        <v>191</v>
      </c>
      <c r="D53" s="17">
        <f>0.5*INDEX(D:D,MATCH("M_2ph",$C:$C,0))*INDEX(D:D,MATCH("K_total",$C:$C,0))*INDEX(D:D,MATCH("rho_l",$C:$C,0))*INDEX(D:D,MATCH("C0",$C:$C,0))</f>
        <v>2447.3684210526317</v>
      </c>
      <c r="E53" s="17">
        <f>0.5*INDEX(E:E,MATCH("M_2ph",$C:$C,0))*INDEX(E:E,MATCH("K_total",$C:$C,0))*INDEX(E:E,MATCH("rho_l",$C:$C,0))*INDEX(E:E,MATCH("C0",$C:$C,0))</f>
        <v>2303.5714285714284</v>
      </c>
      <c r="F53" s="17">
        <f>0.5*INDEX(F:F,MATCH("M_2ph",$C:$C,0))*INDEX(F:F,MATCH("K_total",$C:$C,0))*INDEX(F:F,MATCH("rho_l",$C:$C,0))*INDEX(F:F,MATCH("C0",$C:$C,0))</f>
        <v>2142.8571428571427</v>
      </c>
      <c r="G53" s="17">
        <f>0.5*INDEX(G:G,MATCH("M_2ph",$C:$C,0))*INDEX(G:G,MATCH("K_total",$C:$C,0))*INDEX(G:G,MATCH("rho_l",$C:$C,0))*INDEX(G:G,MATCH("C0",$C:$C,0))</f>
        <v>1981.2834224598928</v>
      </c>
      <c r="H53" s="17">
        <f>0.5*INDEX(H:H,MATCH("M_2ph",$C:$C,0))*INDEX(H:H,MATCH("K_total",$C:$C,0))*INDEX(H:H,MATCH("rho_l",$C:$C,0))*INDEX(H:H,MATCH("C0",$C:$C,0))</f>
        <v>1914.7465437788017</v>
      </c>
      <c r="I53" s="17">
        <f>0.5*INDEX(I:I,MATCH("M_2ph",$C:$C,0))*INDEX(I:I,MATCH("K_total",$C:$C,0))*INDEX(I:I,MATCH("rho_l",$C:$C,0))*INDEX(I:I,MATCH("C0",$C:$C,0))</f>
        <v>1824.9097472924188</v>
      </c>
      <c r="J53" s="26">
        <f>0.5*INDEX(J:J,MATCH("M_2ph",$C:$C,0))*INDEX(J:J,MATCH("K_total",$C:$C,0))*INDEX(J:J,MATCH("rho_l",$C:$C,0))*INDEX(J:J,MATCH("C0",$C:$C,0))</f>
        <v>1754.237288135593</v>
      </c>
      <c r="K53" s="10" t="s">
        <v>202</v>
      </c>
      <c r="L53" s="10" t="s">
        <v>6</v>
      </c>
    </row>
    <row r="54" spans="1:12">
      <c r="A54" s="4">
        <v>49</v>
      </c>
      <c r="B54" s="1" t="s">
        <v>203</v>
      </c>
      <c r="C54" s="1" t="s">
        <v>192</v>
      </c>
      <c r="D54" s="17">
        <f>0.5*INDEX(D:D,MATCH("M_2ph",$C:$C,0))*INDEX(D:D,MATCH("K_total",$C:$C,0))*(INDEX(D:D,MATCH("rho_l",$C:$C,0))*INDEX(D:D,MATCH("Vgj",$C:$C,0))-(INDEX(D:D,MATCH("rho_l",$C:$C,0))-INDEX(D:D,MATCH("rho_g",$C:$C,0)))*INDEX(D:D,MATCH("Jg_avg",$C:$C,0)))</f>
        <v>-844.73059452145969</v>
      </c>
      <c r="E54" s="17">
        <f>0.5*INDEX(E:E,MATCH("M_2ph",$C:$C,0))*INDEX(E:E,MATCH("K_total",$C:$C,0))*(INDEX(E:E,MATCH("rho_l",$C:$C,0))*INDEX(E:E,MATCH("Vgj",$C:$C,0))-(INDEX(E:E,MATCH("rho_l",$C:$C,0))-INDEX(E:E,MATCH("rho_g",$C:$C,0)))*INDEX(E:E,MATCH("Jg_avg",$C:$C,0)))</f>
        <v>-770.21188003505677</v>
      </c>
      <c r="F54" s="17">
        <f>0.5*INDEX(F:F,MATCH("M_2ph",$C:$C,0))*INDEX(F:F,MATCH("K_total",$C:$C,0))*(INDEX(F:F,MATCH("rho_l",$C:$C,0))*INDEX(F:F,MATCH("Vgj",$C:$C,0))-(INDEX(F:F,MATCH("rho_l",$C:$C,0))-INDEX(F:F,MATCH("rho_g",$C:$C,0)))*INDEX(F:F,MATCH("Jg_avg",$C:$C,0)))</f>
        <v>-681.89452521500357</v>
      </c>
      <c r="G54" s="17">
        <f>0.5*INDEX(G:G,MATCH("M_2ph",$C:$C,0))*INDEX(G:G,MATCH("K_total",$C:$C,0))*(INDEX(G:G,MATCH("rho_l",$C:$C,0))*INDEX(G:G,MATCH("Vgj",$C:$C,0))-(INDEX(G:G,MATCH("rho_l",$C:$C,0))-INDEX(G:G,MATCH("rho_g",$C:$C,0)))*INDEX(G:G,MATCH("Jg_avg",$C:$C,0)))</f>
        <v>-583.31369593739964</v>
      </c>
      <c r="H54" s="17">
        <f>0.5*INDEX(H:H,MATCH("M_2ph",$C:$C,0))*INDEX(H:H,MATCH("K_total",$C:$C,0))*(INDEX(H:H,MATCH("rho_l",$C:$C,0))*INDEX(H:H,MATCH("Vgj",$C:$C,0))-(INDEX(H:H,MATCH("rho_l",$C:$C,0))-INDEX(H:H,MATCH("rho_g",$C:$C,0)))*INDEX(H:H,MATCH("Jg_avg",$C:$C,0)))</f>
        <v>-537.59902643005671</v>
      </c>
      <c r="I54" s="17">
        <f>0.5*INDEX(I:I,MATCH("M_2ph",$C:$C,0))*INDEX(I:I,MATCH("K_total",$C:$C,0))*(INDEX(I:I,MATCH("rho_l",$C:$C,0))*INDEX(I:I,MATCH("Vgj",$C:$C,0))-(INDEX(I:I,MATCH("rho_l",$C:$C,0))-INDEX(I:I,MATCH("rho_g",$C:$C,0)))*INDEX(I:I,MATCH("Jg_avg",$C:$C,0)))</f>
        <v>-467.28829363645389</v>
      </c>
      <c r="J54" s="27">
        <f>0.5*INDEX(J:J,MATCH("M_2ph",$C:$C,0))*INDEX(J:J,MATCH("K_total",$C:$C,0))*(INDEX(J:J,MATCH("rho_l",$C:$C,0))*INDEX(J:J,MATCH("Vgj",$C:$C,0))-(INDEX(J:J,MATCH("rho_l",$C:$C,0))-INDEX(J:J,MATCH("rho_g",$C:$C,0)))*INDEX(J:J,MATCH("Jg_avg",$C:$C,0)))</f>
        <v>-399.97670186943253</v>
      </c>
      <c r="K54" s="12" t="s">
        <v>202</v>
      </c>
      <c r="L54" s="12" t="s">
        <v>6</v>
      </c>
    </row>
    <row r="55" spans="1:12">
      <c r="A55" s="4">
        <v>50</v>
      </c>
      <c r="B55" s="1" t="s">
        <v>204</v>
      </c>
      <c r="C55" s="1" t="s">
        <v>193</v>
      </c>
      <c r="D55" s="17">
        <f>-(INDEX(D:D,MATCH("rho_l",$C:$C,0))-INDEX(D:D,MATCH("rho_g",$C:$C,0)))*INDEX(D:D,MATCH("g",$C:$C,0))*INDEX(D:D,MATCH("Hs",$C:$C,0))*INDEX(D:D,MATCH("Jg_avg",$C:$C,0))</f>
        <v>-3327.3302762824574</v>
      </c>
      <c r="E55" s="17">
        <f>-(INDEX(E:E,MATCH("rho_l",$C:$C,0))-INDEX(E:E,MATCH("rho_g",$C:$C,0)))*INDEX(E:E,MATCH("g",$C:$C,0))*INDEX(E:E,MATCH("Hs",$C:$C,0))*INDEX(E:E,MATCH("Jg_avg",$C:$C,0))</f>
        <v>-3327.3302762824574</v>
      </c>
      <c r="F55" s="17">
        <f>-(INDEX(F:F,MATCH("rho_l",$C:$C,0))-INDEX(F:F,MATCH("rho_g",$C:$C,0)))*INDEX(F:F,MATCH("g",$C:$C,0))*INDEX(F:F,MATCH("Hs",$C:$C,0))*INDEX(F:F,MATCH("Jg_avg",$C:$C,0))</f>
        <v>-3327.3302762824574</v>
      </c>
      <c r="G55" s="17">
        <f>-(INDEX(G:G,MATCH("rho_l",$C:$C,0))-INDEX(G:G,MATCH("rho_g",$C:$C,0)))*INDEX(G:G,MATCH("g",$C:$C,0))*INDEX(G:G,MATCH("Hs",$C:$C,0))*INDEX(G:G,MATCH("Jg_avg",$C:$C,0))</f>
        <v>-3327.3302762824574</v>
      </c>
      <c r="H55" s="17">
        <f>-(INDEX(H:H,MATCH("rho_l",$C:$C,0))-INDEX(H:H,MATCH("rho_g",$C:$C,0)))*INDEX(H:H,MATCH("g",$C:$C,0))*INDEX(H:H,MATCH("Hs",$C:$C,0))*INDEX(H:H,MATCH("Jg_avg",$C:$C,0))</f>
        <v>-3327.3302762824578</v>
      </c>
      <c r="I55" s="17">
        <f>-(INDEX(I:I,MATCH("rho_l",$C:$C,0))-INDEX(I:I,MATCH("rho_g",$C:$C,0)))*INDEX(I:I,MATCH("g",$C:$C,0))*INDEX(I:I,MATCH("Hs",$C:$C,0))*INDEX(I:I,MATCH("Jg_avg",$C:$C,0))</f>
        <v>-3327.3302762824574</v>
      </c>
      <c r="J55" s="26">
        <f>-(INDEX(J:J,MATCH("rho_l",$C:$C,0))-INDEX(J:J,MATCH("rho_g",$C:$C,0)))*INDEX(J:J,MATCH("g",$C:$C,0))*INDEX(J:J,MATCH("Hs",$C:$C,0))*INDEX(J:J,MATCH("Jg_avg",$C:$C,0))</f>
        <v>-3327.3302762824574</v>
      </c>
      <c r="K55" s="10" t="s">
        <v>202</v>
      </c>
      <c r="L55" s="10" t="s">
        <v>6</v>
      </c>
    </row>
    <row r="56" spans="1:12">
      <c r="A56" s="4">
        <v>51</v>
      </c>
      <c r="B56" s="1" t="s">
        <v>205</v>
      </c>
      <c r="C56" s="1" t="s">
        <v>194</v>
      </c>
      <c r="D56" s="17">
        <f>INDEX(D:D,MATCH("b_cubic",$C:$C,0))/INDEX(D:D,MATCH("a_cubic",$C:$C,0))</f>
        <v>-0.34515873754640286</v>
      </c>
      <c r="E56" s="17">
        <f>INDEX(E:E,MATCH("b_cubic",$C:$C,0))/INDEX(E:E,MATCH("a_cubic",$C:$C,0))</f>
        <v>-0.33435554482141999</v>
      </c>
      <c r="F56" s="17">
        <f>INDEX(F:F,MATCH("b_cubic",$C:$C,0))/INDEX(F:F,MATCH("a_cubic",$C:$C,0))</f>
        <v>-0.31821744510033501</v>
      </c>
      <c r="G56" s="17">
        <f>INDEX(G:G,MATCH("b_cubic",$C:$C,0))/INDEX(G:G,MATCH("a_cubic",$C:$C,0))</f>
        <v>-0.29441204086449052</v>
      </c>
      <c r="H56" s="17">
        <f>INDEX(H:H,MATCH("b_cubic",$C:$C,0))/INDEX(H:H,MATCH("a_cubic",$C:$C,0))</f>
        <v>-0.28076772258802002</v>
      </c>
      <c r="I56" s="17">
        <f>INDEX(I:I,MATCH("b_cubic",$C:$C,0))/INDEX(I:I,MATCH("a_cubic",$C:$C,0))</f>
        <v>-0.25606104319940204</v>
      </c>
      <c r="J56" s="27">
        <f>INDEX(J:J,MATCH("b_cubic",$C:$C,0))/INDEX(J:J,MATCH("a_cubic",$C:$C,0))</f>
        <v>-0.2280060426115606</v>
      </c>
      <c r="K56" s="12" t="s">
        <v>202</v>
      </c>
      <c r="L56" s="12" t="s">
        <v>6</v>
      </c>
    </row>
    <row r="57" spans="1:12">
      <c r="A57" s="4">
        <v>52</v>
      </c>
      <c r="B57" s="1" t="s">
        <v>206</v>
      </c>
      <c r="C57" s="1" t="s">
        <v>195</v>
      </c>
      <c r="D57" s="17">
        <f>-(INDEX(D:D,MATCH("A_norm",$C:$C,0))^2)/3</f>
        <v>-3.9711518034875541E-2</v>
      </c>
      <c r="E57" s="17">
        <f>-(INDEX(E:E,MATCH("A_norm",$C:$C,0))^2)/3</f>
        <v>-3.7264543450942864E-2</v>
      </c>
      <c r="F57" s="17">
        <f>-(INDEX(F:F,MATCH("A_norm",$C:$C,0))^2)/3</f>
        <v>-3.3754114122061578E-2</v>
      </c>
      <c r="G57" s="17">
        <f>-(INDEX(G:G,MATCH("A_norm",$C:$C,0))^2)/3</f>
        <v>-2.8892816601998147E-2</v>
      </c>
      <c r="H57" s="17">
        <f>-(INDEX(H:H,MATCH("A_norm",$C:$C,0))^2)/3</f>
        <v>-2.6276838015754454E-2</v>
      </c>
      <c r="I57" s="17">
        <f>-(INDEX(I:I,MATCH("A_norm",$C:$C,0))^2)/3</f>
        <v>-2.1855752614788681E-2</v>
      </c>
      <c r="J57" s="26">
        <f>-(INDEX(J:J,MATCH("A_norm",$C:$C,0))^2)/3</f>
        <v>-1.7328918489128261E-2</v>
      </c>
      <c r="K57" s="10" t="s">
        <v>202</v>
      </c>
      <c r="L57" s="10" t="s">
        <v>6</v>
      </c>
    </row>
    <row r="58" spans="1:12">
      <c r="A58" s="4">
        <v>53</v>
      </c>
      <c r="B58" s="1" t="s">
        <v>207</v>
      </c>
      <c r="C58" s="1" t="s">
        <v>196</v>
      </c>
      <c r="D58" s="17">
        <f>2*INDEX(D:D,MATCH("A_norm",$C:$C,0))^3/27+INDEX(D:D,MATCH("c_cubic",$C:$C,0))/INDEX(D:D,MATCH("a_cubic",$C:$C,0))</f>
        <v>-1.3626002569782087</v>
      </c>
      <c r="E58" s="17">
        <f>2*INDEX(E:E,MATCH("A_norm",$C:$C,0))^3/27+INDEX(E:E,MATCH("c_cubic",$C:$C,0))/INDEX(E:E,MATCH("a_cubic",$C:$C,0))</f>
        <v>-1.447191247013091</v>
      </c>
      <c r="F58" s="17">
        <f>2*INDEX(F:F,MATCH("A_norm",$C:$C,0))^3/27+INDEX(F:F,MATCH("c_cubic",$C:$C,0))/INDEX(F:F,MATCH("a_cubic",$C:$C,0))</f>
        <v>-1.5551410507001575</v>
      </c>
      <c r="G58" s="17">
        <f>2*INDEX(G:G,MATCH("A_norm",$C:$C,0))^3/27+INDEX(G:G,MATCH("c_cubic",$C:$C,0))/INDEX(G:G,MATCH("a_cubic",$C:$C,0))</f>
        <v>-1.6812715826276941</v>
      </c>
      <c r="H58" s="17">
        <f>2*INDEX(H:H,MATCH("A_norm",$C:$C,0))^3/27+INDEX(H:H,MATCH("c_cubic",$C:$C,0))/INDEX(H:H,MATCH("a_cubic",$C:$C,0))</f>
        <v>-1.7393787640807061</v>
      </c>
      <c r="I58" s="17">
        <f>2*INDEX(I:I,MATCH("A_norm",$C:$C,0))^3/27+INDEX(I:I,MATCH("c_cubic",$C:$C,0))/INDEX(I:I,MATCH("a_cubic",$C:$C,0))</f>
        <v>-1.8245284857812014</v>
      </c>
      <c r="J58" s="27">
        <f>2*INDEX(J:J,MATCH("A_norm",$C:$C,0))^3/27+INDEX(J:J,MATCH("c_cubic",$C:$C,0))/INDEX(J:J,MATCH("a_cubic",$C:$C,0))</f>
        <v>-1.897617019880157</v>
      </c>
      <c r="K58" s="12" t="s">
        <v>202</v>
      </c>
      <c r="L58" s="12" t="s">
        <v>6</v>
      </c>
    </row>
    <row r="59" spans="1:12">
      <c r="A59" s="4">
        <v>54</v>
      </c>
      <c r="B59" s="1" t="s">
        <v>208</v>
      </c>
      <c r="C59" s="1" t="s">
        <v>197</v>
      </c>
      <c r="D59" s="17">
        <f>(INDEX(D:D,MATCH("q_cubic",$C:$C,0))/2)^2+(INDEX(D:D,MATCH("p_cubic",$C:$C,0))/3)^3</f>
        <v>0.46416754562559676</v>
      </c>
      <c r="E59" s="17">
        <f>(INDEX(E:E,MATCH("q_cubic",$C:$C,0))/2)^2+(INDEX(E:E,MATCH("p_cubic",$C:$C,0))/3)^3</f>
        <v>0.52358870979239658</v>
      </c>
      <c r="F59" s="17">
        <f>(INDEX(F:F,MATCH("q_cubic",$C:$C,0))/2)^2+(INDEX(F:F,MATCH("p_cubic",$C:$C,0))/3)^3</f>
        <v>0.6046144975443154</v>
      </c>
      <c r="G59" s="17">
        <f>(INDEX(G:G,MATCH("q_cubic",$C:$C,0))/2)^2+(INDEX(G:G,MATCH("p_cubic",$C:$C,0))/3)^3</f>
        <v>0.7066676403202824</v>
      </c>
      <c r="H59" s="17">
        <f>(INDEX(H:H,MATCH("q_cubic",$C:$C,0))/2)^2+(INDEX(H:H,MATCH("p_cubic",$C:$C,0))/3)^3</f>
        <v>0.75635894925496916</v>
      </c>
      <c r="I59" s="17">
        <f>(INDEX(I:I,MATCH("q_cubic",$C:$C,0))/2)^2+(INDEX(I:I,MATCH("p_cubic",$C:$C,0))/3)^3</f>
        <v>0.83222566219294314</v>
      </c>
      <c r="J59" s="26">
        <f>(INDEX(J:J,MATCH("q_cubic",$C:$C,0))/2)^2+(INDEX(J:J,MATCH("p_cubic",$C:$C,0))/3)^3</f>
        <v>0.90023739580413908</v>
      </c>
      <c r="K59" s="10" t="s">
        <v>202</v>
      </c>
      <c r="L59" s="10" t="s">
        <v>6</v>
      </c>
    </row>
    <row r="60" spans="1:12" s="16" customFormat="1">
      <c r="A60" s="4">
        <v>55</v>
      </c>
      <c r="B60" s="1" t="s">
        <v>209</v>
      </c>
      <c r="C60" s="1" t="s">
        <v>198</v>
      </c>
      <c r="D60" s="17">
        <f>SIGN(-INDEX(D:D,MATCH("q_cubic",$C:$C,0))/2+SQRT(INDEX(D:D,MATCH("Delta_cubic",$C:$C,0))))*ABS(-INDEX(D:D,MATCH("q_cubic",$C:$C,0))/2+SQRT(INDEX(D:D,MATCH("Delta_cubic",$C:$C,0))))^(1/3)+SIGN(-INDEX(D:D,MATCH("q_cubic",$C:$C,0))/2-SQRT(INDEX(D:D,MATCH("Delta_cubic",$C:$C,0))))*ABS(-INDEX(D:D,MATCH("q_cubic",$C:$C,0))/2-SQRT(INDEX(D:D,MATCH("Delta_cubic",$C:$C,0))))^(1/3)-INDEX(D:D,MATCH("A_norm",$C:$C,0))/3</f>
        <v>1.2356298013080818</v>
      </c>
      <c r="E60" s="17">
        <f>SIGN(-INDEX(E:E,MATCH("q_cubic",$C:$C,0))/2+SQRT(INDEX(E:E,MATCH("Delta_cubic",$C:$C,0))))*ABS(-INDEX(E:E,MATCH("q_cubic",$C:$C,0))/2+SQRT(INDEX(E:E,MATCH("Delta_cubic",$C:$C,0))))^(1/3)+SIGN(-INDEX(E:E,MATCH("q_cubic",$C:$C,0))/2-SQRT(INDEX(E:E,MATCH("Delta_cubic",$C:$C,0))))*ABS(-INDEX(E:E,MATCH("q_cubic",$C:$C,0))/2-SQRT(INDEX(E:E,MATCH("Delta_cubic",$C:$C,0))))^(1/3)-INDEX(E:E,MATCH("A_norm",$C:$C,0))/3</f>
        <v>1.2535530120313263</v>
      </c>
      <c r="F60" s="17">
        <f>SIGN(-INDEX(F:F,MATCH("q_cubic",$C:$C,0))/2+SQRT(INDEX(F:F,MATCH("Delta_cubic",$C:$C,0))))*ABS(-INDEX(F:F,MATCH("q_cubic",$C:$C,0))/2+SQRT(INDEX(F:F,MATCH("Delta_cubic",$C:$C,0))))^(1/3)+SIGN(-INDEX(F:F,MATCH("q_cubic",$C:$C,0))/2-SQRT(INDEX(F:F,MATCH("Delta_cubic",$C:$C,0))))*ABS(-INDEX(F:F,MATCH("q_cubic",$C:$C,0))/2-SQRT(INDEX(F:F,MATCH("Delta_cubic",$C:$C,0))))^(1/3)-INDEX(F:F,MATCH("A_norm",$C:$C,0))/3</f>
        <v>1.2743562868358662</v>
      </c>
      <c r="G60" s="17">
        <f>SIGN(-INDEX(G:G,MATCH("q_cubic",$C:$C,0))/2+SQRT(INDEX(G:G,MATCH("Delta_cubic",$C:$C,0))))*ABS(-INDEX(G:G,MATCH("q_cubic",$C:$C,0))/2+SQRT(INDEX(G:G,MATCH("Delta_cubic",$C:$C,0))))^(1/3)+SIGN(-INDEX(G:G,MATCH("q_cubic",$C:$C,0))/2-SQRT(INDEX(G:G,MATCH("Delta_cubic",$C:$C,0))))*ABS(-INDEX(G:G,MATCH("q_cubic",$C:$C,0))/2-SQRT(INDEX(G:G,MATCH("Delta_cubic",$C:$C,0))))^(1/3)-INDEX(G:G,MATCH("A_norm",$C:$C,0))/3</f>
        <v>1.2953209243759705</v>
      </c>
      <c r="H60" s="17">
        <f>SIGN(-INDEX(H:H,MATCH("q_cubic",$C:$C,0))/2+SQRT(INDEX(H:H,MATCH("Delta_cubic",$C:$C,0))))*ABS(-INDEX(H:H,MATCH("q_cubic",$C:$C,0))/2+SQRT(INDEX(H:H,MATCH("Delta_cubic",$C:$C,0))))^(1/3)+SIGN(-INDEX(H:H,MATCH("q_cubic",$C:$C,0))/2-SQRT(INDEX(H:H,MATCH("Delta_cubic",$C:$C,0))))*ABS(-INDEX(H:H,MATCH("q_cubic",$C:$C,0))/2-SQRT(INDEX(H:H,MATCH("Delta_cubic",$C:$C,0))))^(1/3)-INDEX(H:H,MATCH("A_norm",$C:$C,0))/3</f>
        <v>1.3035005353132758</v>
      </c>
      <c r="I60" s="17">
        <f>SIGN(-INDEX(I:I,MATCH("q_cubic",$C:$C,0))/2+SQRT(INDEX(I:I,MATCH("Delta_cubic",$C:$C,0))))*ABS(-INDEX(I:I,MATCH("q_cubic",$C:$C,0))/2+SQRT(INDEX(I:I,MATCH("Delta_cubic",$C:$C,0))))^(1/3)+SIGN(-INDEX(I:I,MATCH("q_cubic",$C:$C,0))/2-SQRT(INDEX(I:I,MATCH("Delta_cubic",$C:$C,0))))*ABS(-INDEX(I:I,MATCH("q_cubic",$C:$C,0))/2-SQRT(INDEX(I:I,MATCH("Delta_cubic",$C:$C,0))))^(1/3)-INDEX(I:I,MATCH("A_norm",$C:$C,0))/3</f>
        <v>1.3132566070157146</v>
      </c>
      <c r="J60" s="27">
        <f>SIGN(-INDEX(J:J,MATCH("q_cubic",$C:$C,0))/2+SQRT(INDEX(J:J,MATCH("Delta_cubic",$C:$C,0))))*ABS(-INDEX(J:J,MATCH("q_cubic",$C:$C,0))/2+SQRT(INDEX(J:J,MATCH("Delta_cubic",$C:$C,0))))^(1/3)+SIGN(-INDEX(J:J,MATCH("q_cubic",$C:$C,0))/2-SQRT(INDEX(J:J,MATCH("Delta_cubic",$C:$C,0))))*ABS(-INDEX(J:J,MATCH("q_cubic",$C:$C,0))/2-SQRT(INDEX(J:J,MATCH("Delta_cubic",$C:$C,0))))^(1/3)-INDEX(J:J,MATCH("A_norm",$C:$C,0))/3</f>
        <v>1.3187119735206605</v>
      </c>
      <c r="K60" s="12" t="s">
        <v>39</v>
      </c>
      <c r="L60" s="12" t="s">
        <v>6</v>
      </c>
    </row>
    <row r="61" spans="1:12">
      <c r="A61" s="4">
        <v>56</v>
      </c>
      <c r="B61" s="1" t="s">
        <v>210</v>
      </c>
      <c r="C61" s="1" t="s">
        <v>199</v>
      </c>
      <c r="D61" s="32">
        <f>MAX(0,INDEX(D:D,MATCH("Jm_solution",$C:$C,0))-INDEX(D:D,MATCH("Jg_avg",$C:$C,0)))</f>
        <v>0.66965496785138301</v>
      </c>
      <c r="E61" s="32">
        <f>MAX(0,INDEX(E:E,MATCH("Jm_solution",$C:$C,0))-INDEX(E:E,MATCH("Jg_avg",$C:$C,0)))</f>
        <v>0.68757817857462755</v>
      </c>
      <c r="F61" s="32">
        <f>MAX(0,INDEX(F:F,MATCH("Jm_solution",$C:$C,0))-INDEX(F:F,MATCH("Jg_avg",$C:$C,0)))</f>
        <v>0.70838145337916747</v>
      </c>
      <c r="G61" s="32">
        <f>MAX(0,INDEX(G:G,MATCH("Jm_solution",$C:$C,0))-INDEX(G:G,MATCH("Jg_avg",$C:$C,0)))</f>
        <v>0.72934609091927172</v>
      </c>
      <c r="H61" s="32">
        <f>MAX(0,INDEX(H:H,MATCH("Jm_solution",$C:$C,0))-INDEX(H:H,MATCH("Jg_avg",$C:$C,0)))</f>
        <v>0.73752570185657695</v>
      </c>
      <c r="I61" s="32">
        <f>MAX(0,INDEX(I:I,MATCH("Jm_solution",$C:$C,0))-INDEX(I:I,MATCH("Jg_avg",$C:$C,0)))</f>
        <v>0.74728177355901582</v>
      </c>
      <c r="J61" s="33">
        <f>MAX(0,INDEX(J:J,MATCH("Jm_solution",$C:$C,0))-INDEX(J:J,MATCH("Jg_avg",$C:$C,0)))</f>
        <v>0.75273714006396175</v>
      </c>
      <c r="K61" s="10" t="s">
        <v>39</v>
      </c>
      <c r="L61" s="10" t="s">
        <v>6</v>
      </c>
    </row>
    <row r="62" spans="1:12" s="9" customFormat="1">
      <c r="A62" s="14">
        <v>57</v>
      </c>
      <c r="B62" s="7" t="s">
        <v>182</v>
      </c>
      <c r="C62" s="7" t="s">
        <v>183</v>
      </c>
      <c r="D62" s="20">
        <f>INDEX(D:D,MATCH("Jl_solution",$C:$C,0))*INDEX(D:D,MATCH("A_riser",$C:$C,0))*60000</f>
        <v>11.391985635097422</v>
      </c>
      <c r="E62" s="20">
        <f>INDEX(E:E,MATCH("Jl_solution",$C:$C,0))*INDEX(E:E,MATCH("A_riser",$C:$C,0))*60000</f>
        <v>16.257705549981136</v>
      </c>
      <c r="F62" s="20">
        <f>INDEX(F:F,MATCH("Jl_solution",$C:$C,0))*INDEX(F:F,MATCH("A_riser",$C:$C,0))*60000</f>
        <v>26.17124460573298</v>
      </c>
      <c r="G62" s="20">
        <f>INDEX(G:G,MATCH("Jl_solution",$C:$C,0))*INDEX(G:G,MATCH("A_riser",$C:$C,0))*60000</f>
        <v>48.074856409511263</v>
      </c>
      <c r="H62" s="20">
        <f>INDEX(H:H,MATCH("Jl_solution",$C:$C,0))*INDEX(H:H,MATCH("A_riser",$C:$C,0))*60000</f>
        <v>65.463278299823443</v>
      </c>
      <c r="I62" s="20">
        <f>INDEX(I:I,MATCH("Jl_solution",$C:$C,0))*INDEX(I:I,MATCH("A_riser",$C:$C,0))*60000</f>
        <v>108.07992907321059</v>
      </c>
      <c r="J62" s="28">
        <f>INDEX(J:J,MATCH("Jl_solution",$C:$C,0))*INDEX(J:J,MATCH("A_riser",$C:$C,0))*60000</f>
        <v>177.80787503996604</v>
      </c>
      <c r="K62" s="15" t="s">
        <v>76</v>
      </c>
      <c r="L62" s="15" t="s">
        <v>185</v>
      </c>
    </row>
    <row r="63" spans="1:12">
      <c r="A63" s="14">
        <v>58</v>
      </c>
      <c r="B63" s="7" t="s">
        <v>182</v>
      </c>
      <c r="C63" s="7" t="s">
        <v>186</v>
      </c>
      <c r="D63" s="20">
        <f>INDEX(D:D,MATCH("Ql_LPM",$C:$C,0))*0.06</f>
        <v>0.6835191381058453</v>
      </c>
      <c r="E63" s="20">
        <f>INDEX(E:E,MATCH("Ql_LPM",$C:$C,0))*0.06</f>
        <v>0.97546233299886809</v>
      </c>
      <c r="F63" s="20">
        <f>INDEX(F:F,MATCH("Ql_LPM",$C:$C,0))*0.06</f>
        <v>1.5702746763439788</v>
      </c>
      <c r="G63" s="20">
        <f>INDEX(G:G,MATCH("Ql_LPM",$C:$C,0))*0.06</f>
        <v>2.8844913845706754</v>
      </c>
      <c r="H63" s="20">
        <f>INDEX(H:H,MATCH("Ql_LPM",$C:$C,0))*0.06</f>
        <v>3.9277966979894066</v>
      </c>
      <c r="I63" s="20">
        <f>INDEX(I:I,MATCH("Ql_LPM",$C:$C,0))*0.06</f>
        <v>6.4847957443926356</v>
      </c>
      <c r="J63" s="29">
        <f>INDEX(J:J,MATCH("Ql_LPM",$C:$C,0))*0.06</f>
        <v>10.668472502397961</v>
      </c>
      <c r="K63" s="19" t="s">
        <v>188</v>
      </c>
      <c r="L63" s="15" t="s">
        <v>185</v>
      </c>
    </row>
    <row r="64" spans="1:12">
      <c r="A64" s="4">
        <v>59</v>
      </c>
      <c r="B64" s="1" t="s">
        <v>163</v>
      </c>
      <c r="C64" s="1" t="s">
        <v>200</v>
      </c>
      <c r="D64" s="18">
        <f>INDEX(D:D,MATCH("Jg_avg",$C:$C,0))/(INDEX(D:D,MATCH("C0",$C:$C,0))*INDEX(D:D,MATCH("Jm_solution",$C:$C,0))+INDEX(D:D,MATCH("Vgj",$C:$C,0)))</f>
        <v>0.34640330736936176</v>
      </c>
      <c r="E64" s="18">
        <f>INDEX(E:E,MATCH("Jg_avg",$C:$C,0))/(INDEX(E:E,MATCH("C0",$C:$C,0))*INDEX(E:E,MATCH("Jm_solution",$C:$C,0))+INDEX(E:E,MATCH("Vgj",$C:$C,0)))</f>
        <v>0.33924579859565368</v>
      </c>
      <c r="F64" s="18">
        <f>INDEX(F:F,MATCH("Jg_avg",$C:$C,0))/(INDEX(F:F,MATCH("C0",$C:$C,0))*INDEX(F:F,MATCH("Jm_solution",$C:$C,0))+INDEX(F:F,MATCH("Vgj",$C:$C,0)))</f>
        <v>0.33046493878856115</v>
      </c>
      <c r="G64" s="18">
        <f>INDEX(G:G,MATCH("Jg_avg",$C:$C,0))/(INDEX(G:G,MATCH("C0",$C:$C,0))*INDEX(G:G,MATCH("Jm_solution",$C:$C,0))+INDEX(G:G,MATCH("Vgj",$C:$C,0)))</f>
        <v>0.32041395803868777</v>
      </c>
      <c r="H64" s="18">
        <f>INDEX(H:H,MATCH("Jg_avg",$C:$C,0))/(INDEX(H:H,MATCH("C0",$C:$C,0))*INDEX(H:H,MATCH("Jm_solution",$C:$C,0))+INDEX(H:H,MATCH("Vgj",$C:$C,0)))</f>
        <v>0.31573285422713748</v>
      </c>
      <c r="I64" s="18">
        <f>INDEX(I:I,MATCH("Jg_avg",$C:$C,0))/(INDEX(I:I,MATCH("C0",$C:$C,0))*INDEX(I:I,MATCH("Jm_solution",$C:$C,0))+INDEX(I:I,MATCH("Vgj",$C:$C,0)))</f>
        <v>0.3086130487288995</v>
      </c>
      <c r="J64" s="30">
        <f>INDEX(J:J,MATCH("Jg_avg",$C:$C,0))/(INDEX(J:J,MATCH("C0",$C:$C,0))*INDEX(J:J,MATCH("Jm_solution",$C:$C,0))+INDEX(J:J,MATCH("Vgj",$C:$C,0)))</f>
        <v>0.30199130998491436</v>
      </c>
      <c r="K64" s="12" t="s">
        <v>34</v>
      </c>
      <c r="L64" s="12" t="s">
        <v>6</v>
      </c>
    </row>
  </sheetData>
  <mergeCells count="1">
    <mergeCell ref="A2:A3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00F9-2470-4BF8-B4BF-EAE9C8B794CD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FA04B2-3C54-4F44-9F99-E965C0BD63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tambahan (2)</vt:lpstr>
      <vt:lpstr>airlift_design_calculator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 Oxo Nusantara</dc:creator>
  <cp:lastModifiedBy>Petro Oxo Nusantara</cp:lastModifiedBy>
  <dcterms:created xsi:type="dcterms:W3CDTF">2026-06-27T07:40:08Z</dcterms:created>
  <dcterms:modified xsi:type="dcterms:W3CDTF">2026-06-27T10:13:05Z</dcterms:modified>
</cp:coreProperties>
</file>