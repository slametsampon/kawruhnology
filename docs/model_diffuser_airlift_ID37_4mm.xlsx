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294\Documents\Projects\kawruhnology\docs\"/>
    </mc:Choice>
  </mc:AlternateContent>
  <xr:revisionPtr revIDLastSave="0" documentId="13_ncr:1_{2AE23AD1-4A53-43D5-8589-70D7C9C6AB0E}" xr6:coauthVersionLast="47" xr6:coauthVersionMax="47" xr10:uidLastSave="{00000000-0000-0000-0000-000000000000}"/>
  <bookViews>
    <workbookView xWindow="1035" yWindow="0" windowWidth="19710" windowHeight="15585" xr2:uid="{00000000-000D-0000-FFFF-FFFF00000000}"/>
  </bookViews>
  <sheets>
    <sheet name="Design_Calculator" sheetId="1" r:id="rId1"/>
    <sheet name="Alpha_Regime_Table" sheetId="2" r:id="rId2"/>
    <sheet name="Model_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0" i="1" l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D31" i="1"/>
  <c r="D30" i="1"/>
  <c r="D29" i="1"/>
  <c r="D28" i="1"/>
  <c r="D27" i="1"/>
  <c r="D23" i="1"/>
  <c r="D21" i="1"/>
  <c r="D22" i="1" s="1"/>
  <c r="D20" i="1"/>
  <c r="C31" i="1"/>
  <c r="C30" i="1"/>
  <c r="C29" i="1"/>
  <c r="C28" i="1"/>
  <c r="C27" i="1"/>
  <c r="C23" i="1"/>
  <c r="C21" i="1"/>
  <c r="C22" i="1" s="1"/>
  <c r="C24" i="1" s="1"/>
  <c r="C25" i="1" s="1"/>
  <c r="C20" i="1"/>
  <c r="D24" i="1" l="1"/>
  <c r="D25" i="1" s="1"/>
  <c r="D26" i="1" s="1"/>
  <c r="C26" i="1"/>
</calcChain>
</file>

<file path=xl/sharedStrings.xml><?xml version="1.0" encoding="utf-8"?>
<sst xmlns="http://schemas.openxmlformats.org/spreadsheetml/2006/main" count="182" uniqueCount="74">
  <si>
    <t>INPUT DESIGN DIFFUSER</t>
  </si>
  <si>
    <t>HASIL DESAIN TERPILIH</t>
  </si>
  <si>
    <t>Parameter</t>
  </si>
  <si>
    <t>Satuan</t>
  </si>
  <si>
    <t>Hasil</t>
  </si>
  <si>
    <t>ID riser, D</t>
  </si>
  <si>
    <t>m</t>
  </si>
  <si>
    <t>Luas riser, Ar</t>
  </si>
  <si>
    <t>Kedalaman injeksi, Hs</t>
  </si>
  <si>
    <t>ΔP capillary</t>
  </si>
  <si>
    <t>Panjang jalur campuran, L</t>
  </si>
  <si>
    <t>ΔP aliran bore</t>
  </si>
  <si>
    <t>Diameter bore, dh</t>
  </si>
  <si>
    <t>Luas satu bore, Ah</t>
  </si>
  <si>
    <t>Tebal PVC, t</t>
  </si>
  <si>
    <t>Flow tiap bore (lokal)</t>
  </si>
  <si>
    <t>Koefisien discharge, Cd</t>
  </si>
  <si>
    <t>-</t>
  </si>
  <si>
    <t>Flow udara total (lokal)</t>
  </si>
  <si>
    <t>Surface tension, σ</t>
  </si>
  <si>
    <t>N/m</t>
  </si>
  <si>
    <t>Jg (diagnostik, bukan dasar regime)</t>
  </si>
  <si>
    <t>cos θ (basis ideal)</t>
  </si>
  <si>
    <t>Jl hasil model</t>
  </si>
  <si>
    <t>Densitas udara lokal, ρg</t>
  </si>
  <si>
    <t>kg/m³</t>
  </si>
  <si>
    <t>Qw hasil model</t>
  </si>
  <si>
    <t>Densitas air, ρl</t>
  </si>
  <si>
    <t>Slip ratio, s</t>
  </si>
  <si>
    <t>Viskositas air, μl</t>
  </si>
  <si>
    <t>Pa·s</t>
  </si>
  <si>
    <t>Void fraction, α</t>
  </si>
  <si>
    <t>ΔP diffuser</t>
  </si>
  <si>
    <t>mmH₂O</t>
  </si>
  <si>
    <t>Rezim berdasarkan α</t>
  </si>
  <si>
    <t>Jumlah bore, N</t>
  </si>
  <si>
    <t>bore</t>
  </si>
  <si>
    <t>TABEL MODEL α vs REZIM ALIRAN — RIser ID 37.4 mm / Bore 1 mm / t 2 mm / ΔP diffuser 60 mmH₂O</t>
  </si>
  <si>
    <t>N bore</t>
  </si>
  <si>
    <t>Qg lokal
(L/min)</t>
  </si>
  <si>
    <t>Jg
(m/s)</t>
  </si>
  <si>
    <t>Jl hasil model
(m/s)</t>
  </si>
  <si>
    <t>Qw hasil model
(L/min)</t>
  </si>
  <si>
    <t>Slip ratio
s</t>
  </si>
  <si>
    <t>Void fraction
α</t>
  </si>
  <si>
    <t>No physical root</t>
  </si>
  <si>
    <t>Slug / intermittent</t>
  </si>
  <si>
    <t>Churn</t>
  </si>
  <si>
    <t>CATATAN MODEL &amp; RUJUKAN</t>
  </si>
  <si>
    <t>Item</t>
  </si>
  <si>
    <t>Isi</t>
  </si>
  <si>
    <t>Status</t>
  </si>
  <si>
    <t>Sumber / Catatan</t>
  </si>
  <si>
    <t>Scope</t>
  </si>
  <si>
    <t>Model hanya sampai diffuser → Qg → α → regime. Tidak memasukkan kurva blower, hose, check valve, atau loss outlet.</t>
  </si>
  <si>
    <t>Batas model</t>
  </si>
  <si>
    <t>Young–Laplace ideal: 4σcosθ/d. Nilai aktual dipengaruhi wettability, burr, fouling, dan kondisi air.</t>
  </si>
  <si>
    <t>Asumsi desain</t>
  </si>
  <si>
    <t>https://doi.org/10.1016/S0920-5268(00)00069-0</t>
  </si>
  <si>
    <t>Flow bore</t>
  </si>
  <si>
    <t>Short-tube/orifice: q = Cd A sqrt(2ΔPflow/ρg), dengan Cd = 0.75 dan t/d = 2 sebagai input editable.</t>
  </si>
  <si>
    <t>https://ntrs.nasa.gov/api/citations/19690028630/downloads/19690028630.pdf</t>
  </si>
  <si>
    <t>Model α</t>
  </si>
  <si>
    <t>Penyelesaian numerik persamaan airlift Bukhari/Kassab dengan slip Griffith–Wallis; friction factor smooth turbulent pipe (Blasius).</t>
  </si>
  <si>
    <t>Model prediktif</t>
  </si>
  <si>
    <t>https://atrium.lib.uoguelph.ca/server/api/core/bitstreams/1f0381c2-4fa6-4d2d-a888-4b142126010f/content</t>
  </si>
  <si>
    <t>Regime</t>
  </si>
  <si>
    <t>Slug–churn dipakai pada α = 0.52; interval α lain adalah klasifikasi desain kerja untuk tabulasi.</t>
  </si>
  <si>
    <t>Kriteria utama</t>
  </si>
  <si>
    <t>Penggunaan</t>
  </si>
  <si>
    <t>Ubah jumlah bore N pada Design_Calculator!B17. Hasil α dan regime ditarik dari tabel numerik N=1 sampai 100.</t>
  </si>
  <si>
    <t>Petunjuk</t>
  </si>
  <si>
    <t>MODEL DIFFUSER &amp; VOID FRACTION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</si>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</sst>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color rgb="FF0000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7" xfId="0" applyBorder="1" applyAlignment="1">
      <alignment wrapText="1"/>
    </xf>
    <xf numFmtId="164" fontId="0" fillId="0" borderId="0" xfId="0" applyNumberFormat="1" applyAlignment="1">
      <alignment wrapText="1"/>
    </xf>
    <xf numFmtId="164" fontId="0" fillId="0" borderId="7" xfId="0" applyNumberFormat="1" applyBorder="1" applyAlignment="1">
      <alignment wrapText="1"/>
    </xf>
    <xf numFmtId="165" fontId="0" fillId="0" borderId="5" xfId="0" applyNumberFormat="1" applyBorder="1" applyAlignment="1">
      <alignment wrapText="1"/>
    </xf>
    <xf numFmtId="2" fontId="0" fillId="0" borderId="5" xfId="0" applyNumberFormat="1" applyBorder="1" applyAlignment="1">
      <alignment wrapText="1"/>
    </xf>
    <xf numFmtId="166" fontId="0" fillId="0" borderId="5" xfId="0" applyNumberFormat="1" applyBorder="1" applyAlignment="1">
      <alignment wrapText="1"/>
    </xf>
    <xf numFmtId="166" fontId="0" fillId="0" borderId="0" xfId="0" applyNumberFormat="1"/>
    <xf numFmtId="166" fontId="0" fillId="0" borderId="7" xfId="0" applyNumberFormat="1" applyBorder="1"/>
    <xf numFmtId="1" fontId="0" fillId="0" borderId="4" xfId="0" applyNumberFormat="1" applyBorder="1"/>
    <xf numFmtId="1" fontId="0" fillId="0" borderId="6" xfId="0" applyNumberFormat="1" applyBorder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164" fontId="4" fillId="0" borderId="0" xfId="0" applyNumberFormat="1" applyFont="1" applyAlignment="1">
      <alignment wrapText="1"/>
    </xf>
    <xf numFmtId="0" fontId="0" fillId="0" borderId="0" xfId="0" applyAlignment="1">
      <alignment horizontal="center"/>
    </xf>
    <xf numFmtId="0" fontId="2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Void Fraction </a:t>
            </a:r>
            <a:r>
              <a:rPr lang="el-GR"/>
              <a:t>α </a:t>
            </a:r>
            <a:r>
              <a:rPr lang="en-ID"/>
              <a:t>vs Jumlah Bore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906-40DC-9F76-85ACBB91EF72}"/>
            </c:ext>
          </c:extLst>
        </c:ser>
        <c:ser>
          <c:idx val="1"/>
          <c:order val="1"/>
          <c:tx>
            <c:v>α</c:v>
          </c:tx>
          <c:cat>
            <c:numRef>
              <c:f>Alpha_Regime_Table!$A$4:$A$103</c:f>
              <c:numCache>
                <c:formatCode>0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Alpha_Regime_Table!$G$4:$G$103</c:f>
              <c:numCache>
                <c:formatCode>0.000</c:formatCode>
                <c:ptCount val="100"/>
                <c:pt idx="14">
                  <c:v>0.40103380029814306</c:v>
                </c:pt>
                <c:pt idx="15">
                  <c:v>0.40200155160365464</c:v>
                </c:pt>
                <c:pt idx="16">
                  <c:v>0.40304775526537023</c:v>
                </c:pt>
                <c:pt idx="17">
                  <c:v>0.40418027423130604</c:v>
                </c:pt>
                <c:pt idx="18">
                  <c:v>0.40539746236407304</c:v>
                </c:pt>
                <c:pt idx="19">
                  <c:v>0.40669510180657487</c:v>
                </c:pt>
                <c:pt idx="20">
                  <c:v>0.40806814912120382</c:v>
                </c:pt>
                <c:pt idx="21">
                  <c:v>0.4095113451049785</c:v>
                </c:pt>
                <c:pt idx="22">
                  <c:v>0.41101946887165691</c:v>
                </c:pt>
                <c:pt idx="23">
                  <c:v>0.41258745520686602</c:v>
                </c:pt>
                <c:pt idx="24">
                  <c:v>0.41421045143506058</c:v>
                </c:pt>
                <c:pt idx="25">
                  <c:v>0.41588384452994931</c:v>
                </c:pt>
                <c:pt idx="26">
                  <c:v>0.41760327230705041</c:v>
                </c:pt>
                <c:pt idx="27">
                  <c:v>0.41936462552130366</c:v>
                </c:pt>
                <c:pt idx="28">
                  <c:v>0.42116404450909456</c:v>
                </c:pt>
                <c:pt idx="29">
                  <c:v>0.42299791245749774</c:v>
                </c:pt>
                <c:pt idx="30">
                  <c:v>0.42486284656993867</c:v>
                </c:pt>
                <c:pt idx="31">
                  <c:v>0.42675568794465563</c:v>
                </c:pt>
                <c:pt idx="32">
                  <c:v>0.4286734907147452</c:v>
                </c:pt>
                <c:pt idx="33">
                  <c:v>0.4306135108304644</c:v>
                </c:pt>
                <c:pt idx="34">
                  <c:v>0.43257319475560291</c:v>
                </c:pt>
                <c:pt idx="35">
                  <c:v>0.43455016826971787</c:v>
                </c:pt>
                <c:pt idx="36">
                  <c:v>0.43654222551754246</c:v>
                </c:pt>
                <c:pt idx="37">
                  <c:v>0.43854731840277217</c:v>
                </c:pt>
                <c:pt idx="38">
                  <c:v>0.44056354639465861</c:v>
                </c:pt>
                <c:pt idx="39">
                  <c:v>0.44258914679200334</c:v>
                </c:pt>
                <c:pt idx="40">
                  <c:v>0.44462248547132283</c:v>
                </c:pt>
                <c:pt idx="41">
                  <c:v>0.44666204813220178</c:v>
                </c:pt>
                <c:pt idx="42">
                  <c:v>0.44870643204256427</c:v>
                </c:pt>
                <c:pt idx="43">
                  <c:v>0.45075433827797673</c:v>
                </c:pt>
                <c:pt idx="44">
                  <c:v>0.45280456444458739</c:v>
                </c:pt>
                <c:pt idx="45">
                  <c:v>0.45485599786928654</c:v>
                </c:pt>
                <c:pt idx="46">
                  <c:v>0.45690760923905804</c:v>
                </c:pt>
                <c:pt idx="47">
                  <c:v>0.4589584466687992</c:v>
                </c:pt>
                <c:pt idx="48">
                  <c:v>0.46100763017588758</c:v>
                </c:pt>
                <c:pt idx="49">
                  <c:v>0.46305434653916383</c:v>
                </c:pt>
                <c:pt idx="50">
                  <c:v>0.46509784451988623</c:v>
                </c:pt>
                <c:pt idx="51">
                  <c:v>0.46713743042253708</c:v>
                </c:pt>
                <c:pt idx="52">
                  <c:v>0.46917246397364282</c:v>
                </c:pt>
                <c:pt idx="53">
                  <c:v>0.47120235449795811</c:v>
                </c:pt>
                <c:pt idx="54">
                  <c:v>0.47322655737177677</c:v>
                </c:pt>
                <c:pt idx="55">
                  <c:v>0.47524457073397031</c:v>
                </c:pt>
                <c:pt idx="56">
                  <c:v>0.47725593243730813</c:v>
                </c:pt>
                <c:pt idx="57">
                  <c:v>0.4792602172222063</c:v>
                </c:pt>
                <c:pt idx="58">
                  <c:v>0.48125703409733006</c:v>
                </c:pt>
                <c:pt idx="59">
                  <c:v>0.48324602391127891</c:v>
                </c:pt>
                <c:pt idx="60">
                  <c:v>0.48522685710321667</c:v>
                </c:pt>
                <c:pt idx="61">
                  <c:v>0.48719923161554873</c:v>
                </c:pt>
                <c:pt idx="62">
                  <c:v>0.48916287096079564</c:v>
                </c:pt>
                <c:pt idx="63">
                  <c:v>0.4911175224284226</c:v>
                </c:pt>
                <c:pt idx="64">
                  <c:v>0.49306295542112438</c:v>
                </c:pt>
                <c:pt idx="65">
                  <c:v>0.49499895991349591</c:v>
                </c:pt>
                <c:pt idx="66">
                  <c:v>0.49692534502009639</c:v>
                </c:pt>
                <c:pt idx="67">
                  <c:v>0.49884193766761353</c:v>
                </c:pt>
                <c:pt idx="68">
                  <c:v>0.50074858136194145</c:v>
                </c:pt>
                <c:pt idx="69">
                  <c:v>0.50264513504352337</c:v>
                </c:pt>
                <c:pt idx="70">
                  <c:v>0.504531472024352</c:v>
                </c:pt>
                <c:pt idx="71">
                  <c:v>0.50640747899950955</c:v>
                </c:pt>
                <c:pt idx="72">
                  <c:v>0.50827305513013665</c:v>
                </c:pt>
                <c:pt idx="73">
                  <c:v>0.5101281111890853</c:v>
                </c:pt>
                <c:pt idx="74">
                  <c:v>0.5119725687678901</c:v>
                </c:pt>
                <c:pt idx="75">
                  <c:v>0.51380635953777665</c:v>
                </c:pt>
                <c:pt idx="76">
                  <c:v>0.51562942456309213</c:v>
                </c:pt>
                <c:pt idx="77">
                  <c:v>0.51744171366172964</c:v>
                </c:pt>
                <c:pt idx="78">
                  <c:v>0.51924318480893938</c:v>
                </c:pt>
                <c:pt idx="79">
                  <c:v>0.52103380358327889</c:v>
                </c:pt>
                <c:pt idx="80">
                  <c:v>0.52281354264880342</c:v>
                </c:pt>
                <c:pt idx="81">
                  <c:v>0.52458238127409129</c:v>
                </c:pt>
                <c:pt idx="82">
                  <c:v>0.52634030488236616</c:v>
                </c:pt>
                <c:pt idx="83">
                  <c:v>0.5280873046319966</c:v>
                </c:pt>
                <c:pt idx="84">
                  <c:v>0.52982337702642013</c:v>
                </c:pt>
                <c:pt idx="85">
                  <c:v>0.53154852354803717</c:v>
                </c:pt>
                <c:pt idx="86">
                  <c:v>0.53326275031841885</c:v>
                </c:pt>
                <c:pt idx="87">
                  <c:v>0.53496606777939348</c:v>
                </c:pt>
                <c:pt idx="88">
                  <c:v>0.53665849039573532</c:v>
                </c:pt>
                <c:pt idx="89">
                  <c:v>0.53834003637771011</c:v>
                </c:pt>
                <c:pt idx="90">
                  <c:v>0.54001072742090539</c:v>
                </c:pt>
                <c:pt idx="91">
                  <c:v>0.5416705884637486</c:v>
                </c:pt>
                <c:pt idx="92">
                  <c:v>0.54331964745987349</c:v>
                </c:pt>
                <c:pt idx="93">
                  <c:v>0.54495793516600055</c:v>
                </c:pt>
                <c:pt idx="94">
                  <c:v>0.54658548494296322</c:v>
                </c:pt>
                <c:pt idx="95">
                  <c:v>0.54820233256934314</c:v>
                </c:pt>
                <c:pt idx="96">
                  <c:v>0.54980851606737569</c:v>
                </c:pt>
                <c:pt idx="97">
                  <c:v>0.55140407553970749</c:v>
                </c:pt>
                <c:pt idx="98">
                  <c:v>0.55298905301625967</c:v>
                </c:pt>
                <c:pt idx="99">
                  <c:v>0.55456349231115842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6-40DC-9F76-85ACBB91E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2" workbookViewId="0">
      <selection activeCell="G16" sqref="G16"/>
    </sheetView>
  </sheetViews>
  <sheetFormatPr defaultRowHeight="14.25"/>
  <cols>
    <col min="1" max="1" width="9" style="26"/>
    <col min="2" max="2" width="28" customWidth="1"/>
    <col min="3" max="4" width="14" customWidth="1"/>
    <col min="5" max="5" width="13" customWidth="1"/>
    <col min="6" max="6" width="3" customWidth="1"/>
    <col min="7" max="7" width="34" customWidth="1"/>
    <col min="8" max="8" width="22" customWidth="1"/>
  </cols>
  <sheetData>
    <row r="1" spans="1:8" ht="26.1" customHeight="1">
      <c r="B1" s="20" t="s">
        <v>72</v>
      </c>
      <c r="C1" s="20"/>
      <c r="D1" s="20"/>
      <c r="E1" s="20"/>
      <c r="F1" s="20"/>
      <c r="G1" s="20"/>
      <c r="H1" s="20"/>
    </row>
    <row r="2" spans="1:8">
      <c r="B2" s="4"/>
      <c r="C2" s="4"/>
      <c r="D2" s="4"/>
      <c r="E2" s="4"/>
      <c r="F2" s="4"/>
      <c r="G2" s="4"/>
      <c r="H2" s="4"/>
    </row>
    <row r="3" spans="1:8" ht="15">
      <c r="A3" s="27" t="s">
        <v>0</v>
      </c>
      <c r="B3" s="27"/>
      <c r="C3" s="27"/>
      <c r="D3" s="27"/>
      <c r="E3" s="27"/>
      <c r="F3" s="4"/>
    </row>
    <row r="4" spans="1:8" ht="15">
      <c r="A4" s="1" t="s">
        <v>73</v>
      </c>
      <c r="B4" s="1" t="s">
        <v>2</v>
      </c>
      <c r="C4" s="2"/>
      <c r="D4" s="23"/>
      <c r="E4" s="3" t="s">
        <v>3</v>
      </c>
      <c r="F4" s="4"/>
    </row>
    <row r="5" spans="1:8" ht="15">
      <c r="A5" s="26">
        <v>1</v>
      </c>
      <c r="B5" s="24" t="s">
        <v>5</v>
      </c>
      <c r="C5" s="25">
        <v>3.7400000000000003E-2</v>
      </c>
      <c r="D5" s="25">
        <v>5.5399999999999998E-2</v>
      </c>
      <c r="E5" s="7" t="s">
        <v>6</v>
      </c>
      <c r="F5" s="4"/>
    </row>
    <row r="6" spans="1:8">
      <c r="A6" s="26">
        <v>2</v>
      </c>
      <c r="B6" s="6" t="s">
        <v>8</v>
      </c>
      <c r="C6" s="11">
        <v>0.6</v>
      </c>
      <c r="D6" s="11">
        <v>0.6</v>
      </c>
      <c r="E6" s="7" t="s">
        <v>6</v>
      </c>
      <c r="F6" s="4"/>
    </row>
    <row r="7" spans="1:8">
      <c r="A7" s="26">
        <v>3</v>
      </c>
      <c r="B7" s="6" t="s">
        <v>10</v>
      </c>
      <c r="C7" s="11">
        <v>1</v>
      </c>
      <c r="D7" s="11">
        <v>1</v>
      </c>
      <c r="E7" s="7" t="s">
        <v>6</v>
      </c>
      <c r="F7" s="4"/>
    </row>
    <row r="8" spans="1:8">
      <c r="A8" s="26">
        <v>4</v>
      </c>
      <c r="B8" s="6" t="s">
        <v>12</v>
      </c>
      <c r="C8" s="11">
        <v>1E-3</v>
      </c>
      <c r="D8" s="11">
        <v>1E-3</v>
      </c>
      <c r="E8" s="7" t="s">
        <v>6</v>
      </c>
      <c r="F8" s="4"/>
    </row>
    <row r="9" spans="1:8">
      <c r="A9" s="26">
        <v>5</v>
      </c>
      <c r="B9" s="6" t="s">
        <v>14</v>
      </c>
      <c r="C9" s="11">
        <v>2E-3</v>
      </c>
      <c r="D9" s="11">
        <v>2E-3</v>
      </c>
      <c r="E9" s="7" t="s">
        <v>6</v>
      </c>
      <c r="F9" s="4"/>
    </row>
    <row r="10" spans="1:8">
      <c r="A10" s="26">
        <v>6</v>
      </c>
      <c r="B10" s="6" t="s">
        <v>16</v>
      </c>
      <c r="C10" s="11">
        <v>0.75</v>
      </c>
      <c r="D10" s="11">
        <v>0.75</v>
      </c>
      <c r="E10" s="7" t="s">
        <v>17</v>
      </c>
      <c r="F10" s="4"/>
    </row>
    <row r="11" spans="1:8">
      <c r="A11" s="26">
        <v>7</v>
      </c>
      <c r="B11" s="6" t="s">
        <v>19</v>
      </c>
      <c r="C11" s="11">
        <v>7.1999999999999995E-2</v>
      </c>
      <c r="D11" s="11">
        <v>7.1999999999999995E-2</v>
      </c>
      <c r="E11" s="7" t="s">
        <v>20</v>
      </c>
      <c r="F11" s="4"/>
    </row>
    <row r="12" spans="1:8">
      <c r="A12" s="26">
        <v>8</v>
      </c>
      <c r="B12" s="6" t="s">
        <v>22</v>
      </c>
      <c r="C12" s="11">
        <v>1</v>
      </c>
      <c r="D12" s="11">
        <v>1</v>
      </c>
      <c r="E12" s="7" t="s">
        <v>17</v>
      </c>
      <c r="F12" s="4"/>
    </row>
    <row r="13" spans="1:8">
      <c r="A13" s="26">
        <v>9</v>
      </c>
      <c r="B13" s="6" t="s">
        <v>24</v>
      </c>
      <c r="C13" s="11">
        <v>1.27</v>
      </c>
      <c r="D13" s="11">
        <v>1.27</v>
      </c>
      <c r="E13" s="7" t="s">
        <v>25</v>
      </c>
      <c r="F13" s="4"/>
    </row>
    <row r="14" spans="1:8">
      <c r="A14" s="26">
        <v>10</v>
      </c>
      <c r="B14" s="6" t="s">
        <v>27</v>
      </c>
      <c r="C14" s="11">
        <v>997</v>
      </c>
      <c r="D14" s="11">
        <v>997</v>
      </c>
      <c r="E14" s="7" t="s">
        <v>25</v>
      </c>
      <c r="F14" s="4"/>
    </row>
    <row r="15" spans="1:8">
      <c r="A15" s="26">
        <v>11</v>
      </c>
      <c r="B15" s="6" t="s">
        <v>29</v>
      </c>
      <c r="C15" s="11">
        <v>8.8999999999999995E-4</v>
      </c>
      <c r="D15" s="11">
        <v>8.8999999999999995E-4</v>
      </c>
      <c r="E15" s="7" t="s">
        <v>30</v>
      </c>
      <c r="F15" s="4"/>
    </row>
    <row r="16" spans="1:8">
      <c r="A16" s="26">
        <v>12</v>
      </c>
      <c r="B16" s="6" t="s">
        <v>32</v>
      </c>
      <c r="C16" s="11">
        <v>60</v>
      </c>
      <c r="D16" s="11">
        <v>60</v>
      </c>
      <c r="E16" s="7" t="s">
        <v>33</v>
      </c>
      <c r="F16" s="4"/>
    </row>
    <row r="17" spans="1:8">
      <c r="A17" s="26">
        <v>13</v>
      </c>
      <c r="B17" s="8" t="s">
        <v>35</v>
      </c>
      <c r="C17" s="12">
        <v>40</v>
      </c>
      <c r="D17" s="12">
        <v>40</v>
      </c>
      <c r="E17" s="9" t="s">
        <v>36</v>
      </c>
      <c r="F17" s="4"/>
      <c r="G17" s="4"/>
      <c r="H17" s="4"/>
    </row>
    <row r="18" spans="1:8" ht="15">
      <c r="B18" s="21" t="s">
        <v>1</v>
      </c>
      <c r="C18" s="21"/>
      <c r="D18" s="5"/>
    </row>
    <row r="19" spans="1:8" ht="15">
      <c r="A19" s="1"/>
      <c r="B19" s="1" t="s">
        <v>2</v>
      </c>
      <c r="C19" s="3" t="s">
        <v>4</v>
      </c>
      <c r="D19" s="23"/>
    </row>
    <row r="20" spans="1:8">
      <c r="A20" s="26">
        <f>A17+1</f>
        <v>14</v>
      </c>
      <c r="B20" s="6" t="s">
        <v>7</v>
      </c>
      <c r="C20" s="13">
        <f>PI()*C5^2/4</f>
        <v>1.098583535033815E-3</v>
      </c>
      <c r="D20" s="13">
        <f>PI()*D5^2/4</f>
        <v>2.4105126271729122E-3</v>
      </c>
    </row>
    <row r="21" spans="1:8">
      <c r="A21" s="26">
        <f>A20+1</f>
        <v>15</v>
      </c>
      <c r="B21" s="6" t="s">
        <v>9</v>
      </c>
      <c r="C21" s="14">
        <f>4*C11*C12/C8/9.80665</f>
        <v>29.367826933764334</v>
      </c>
      <c r="D21" s="14">
        <f>4*D11*D12/D8/9.80665</f>
        <v>29.367826933764334</v>
      </c>
    </row>
    <row r="22" spans="1:8">
      <c r="A22" s="26">
        <f t="shared" ref="A22:A31" si="0">A21+1</f>
        <v>16</v>
      </c>
      <c r="B22" s="6" t="s">
        <v>11</v>
      </c>
      <c r="C22" s="14">
        <f>C16-C21</f>
        <v>30.632173066235666</v>
      </c>
      <c r="D22" s="14">
        <f>D16-D21</f>
        <v>30.632173066235666</v>
      </c>
    </row>
    <row r="23" spans="1:8">
      <c r="A23" s="26">
        <f t="shared" si="0"/>
        <v>17</v>
      </c>
      <c r="B23" s="6" t="s">
        <v>13</v>
      </c>
      <c r="C23" s="13">
        <f>PI()*C8^2/4</f>
        <v>7.8539816339744823E-7</v>
      </c>
      <c r="D23" s="13">
        <f>PI()*D8^2/4</f>
        <v>7.8539816339744823E-7</v>
      </c>
    </row>
    <row r="24" spans="1:8">
      <c r="A24" s="26">
        <f t="shared" si="0"/>
        <v>18</v>
      </c>
      <c r="B24" s="6" t="s">
        <v>15</v>
      </c>
      <c r="C24" s="15">
        <f>C10*C23*SQRT(2*C22*9.80665/C13)*60000</f>
        <v>0.76871397023805221</v>
      </c>
      <c r="D24" s="15">
        <f>D10*D23*SQRT(2*D22*9.80665/D13)*60000</f>
        <v>0.76871397023805221</v>
      </c>
    </row>
    <row r="25" spans="1:8">
      <c r="A25" s="26">
        <f t="shared" si="0"/>
        <v>19</v>
      </c>
      <c r="B25" s="6" t="s">
        <v>18</v>
      </c>
      <c r="C25" s="15">
        <f>C17*C24</f>
        <v>30.748558809522088</v>
      </c>
      <c r="D25" s="15">
        <f>D17*D24</f>
        <v>30.748558809522088</v>
      </c>
    </row>
    <row r="26" spans="1:8" ht="28.5">
      <c r="A26" s="26">
        <f t="shared" si="0"/>
        <v>20</v>
      </c>
      <c r="B26" s="6" t="s">
        <v>21</v>
      </c>
      <c r="C26" s="15">
        <f>C25/60000/C20</f>
        <v>0.46648794908702795</v>
      </c>
      <c r="D26" s="15">
        <f>D25/60000/D20</f>
        <v>0.21260041303319846</v>
      </c>
    </row>
    <row r="27" spans="1:8">
      <c r="A27" s="26">
        <f t="shared" si="0"/>
        <v>21</v>
      </c>
      <c r="B27" s="6" t="s">
        <v>23</v>
      </c>
      <c r="C27" s="15">
        <f>INDEX(Alpha_Regime_Table!$D$2:$D$101,MATCH(C17,Alpha_Regime_Table!$A$2:$A$101,0))</f>
        <v>0.23520596818254896</v>
      </c>
      <c r="D27" s="15">
        <f>INDEX(Alpha_Regime_Table!$D$2:$D$101,MATCH(D17,Alpha_Regime_Table!$A$2:$A$101,0))</f>
        <v>0.23520596818254896</v>
      </c>
    </row>
    <row r="28" spans="1:8">
      <c r="A28" s="26">
        <f t="shared" si="0"/>
        <v>22</v>
      </c>
      <c r="B28" s="6" t="s">
        <v>26</v>
      </c>
      <c r="C28" s="15">
        <f>INDEX(Alpha_Regime_Table!$E$2:$E$101,MATCH(C17,Alpha_Regime_Table!$A$2:$A$101,0))</f>
        <v>15.50360423922214</v>
      </c>
      <c r="D28" s="15">
        <f>INDEX(Alpha_Regime_Table!$E$2:$E$101,MATCH(D17,Alpha_Regime_Table!$A$2:$A$101,0))</f>
        <v>15.50360423922214</v>
      </c>
    </row>
    <row r="29" spans="1:8">
      <c r="A29" s="26">
        <f t="shared" si="0"/>
        <v>23</v>
      </c>
      <c r="B29" s="6" t="s">
        <v>28</v>
      </c>
      <c r="C29" s="15">
        <f>INDEX(Alpha_Regime_Table!$F$2:$F$101,MATCH(C17,Alpha_Regime_Table!$A$2:$A$101,0))</f>
        <v>2.4978522855510348</v>
      </c>
      <c r="D29" s="15">
        <f>INDEX(Alpha_Regime_Table!$F$2:$F$101,MATCH(D17,Alpha_Regime_Table!$A$2:$A$101,0))</f>
        <v>2.4978522855510348</v>
      </c>
    </row>
    <row r="30" spans="1:8">
      <c r="A30" s="26">
        <f t="shared" si="0"/>
        <v>24</v>
      </c>
      <c r="B30" s="6" t="s">
        <v>31</v>
      </c>
      <c r="C30" s="15">
        <f>INDEX(Alpha_Regime_Table!$G$2:$G$101,MATCH(C17,Alpha_Regime_Table!$A$2:$A$101,0))</f>
        <v>0.44258914679200334</v>
      </c>
      <c r="D30" s="15">
        <f>INDEX(Alpha_Regime_Table!$G$2:$G$101,MATCH(D17,Alpha_Regime_Table!$A$2:$A$101,0))</f>
        <v>0.44258914679200334</v>
      </c>
    </row>
    <row r="31" spans="1:8" ht="28.5">
      <c r="A31" s="26">
        <f t="shared" si="0"/>
        <v>25</v>
      </c>
      <c r="B31" s="8" t="s">
        <v>34</v>
      </c>
      <c r="C31" s="9" t="str">
        <f>INDEX(Alpha_Regime_Table!$H$2:$H$101,MATCH(C17,Alpha_Regime_Table!$A$2:$A$101,0))</f>
        <v>Slug / intermittent</v>
      </c>
      <c r="D31" s="9" t="str">
        <f>INDEX(Alpha_Regime_Table!$H$2:$H$101,MATCH(D17,Alpha_Regime_Table!$A$2:$A$101,0))</f>
        <v>Slug / intermittent</v>
      </c>
    </row>
  </sheetData>
  <mergeCells count="3">
    <mergeCell ref="B1:H1"/>
    <mergeCell ref="B18:C18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3"/>
  <sheetViews>
    <sheetView topLeftCell="A43" workbookViewId="0">
      <selection sqref="A1:H1"/>
    </sheetView>
  </sheetViews>
  <sheetFormatPr defaultRowHeight="14.25"/>
  <cols>
    <col min="1" max="1" width="11" customWidth="1"/>
    <col min="2" max="2" width="14" customWidth="1"/>
    <col min="3" max="3" width="12" customWidth="1"/>
    <col min="4" max="5" width="17" customWidth="1"/>
    <col min="6" max="6" width="13" customWidth="1"/>
    <col min="7" max="7" width="14" customWidth="1"/>
    <col min="8" max="8" width="31" customWidth="1"/>
  </cols>
  <sheetData>
    <row r="1" spans="1:8" ht="26.1" customHeight="1">
      <c r="A1" s="22" t="s">
        <v>37</v>
      </c>
      <c r="B1" s="22"/>
      <c r="C1" s="22"/>
      <c r="D1" s="22"/>
      <c r="E1" s="22"/>
      <c r="F1" s="22"/>
      <c r="G1" s="22"/>
      <c r="H1" s="22"/>
    </row>
    <row r="3" spans="1:8" ht="30">
      <c r="A3" s="1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3" t="s">
        <v>34</v>
      </c>
    </row>
    <row r="4" spans="1:8">
      <c r="A4" s="18">
        <v>1</v>
      </c>
      <c r="B4" s="16">
        <v>0.76871397023805221</v>
      </c>
      <c r="C4" s="16">
        <v>1.1662198727175698E-2</v>
      </c>
      <c r="D4" s="16"/>
      <c r="E4" s="16"/>
      <c r="F4" s="16"/>
      <c r="G4" s="16"/>
      <c r="H4" s="7" t="s">
        <v>45</v>
      </c>
    </row>
    <row r="5" spans="1:8">
      <c r="A5" s="18">
        <v>2</v>
      </c>
      <c r="B5" s="16">
        <v>1.5374279404761044</v>
      </c>
      <c r="C5" s="16">
        <v>2.3324397454351397E-2</v>
      </c>
      <c r="D5" s="16"/>
      <c r="E5" s="16"/>
      <c r="F5" s="16"/>
      <c r="G5" s="16"/>
      <c r="H5" s="7" t="s">
        <v>45</v>
      </c>
    </row>
    <row r="6" spans="1:8">
      <c r="A6" s="18">
        <v>3</v>
      </c>
      <c r="B6" s="16">
        <v>2.3061419107141568</v>
      </c>
      <c r="C6" s="16">
        <v>3.4986596181527094E-2</v>
      </c>
      <c r="D6" s="16"/>
      <c r="E6" s="16"/>
      <c r="F6" s="16"/>
      <c r="G6" s="16"/>
      <c r="H6" s="7" t="s">
        <v>45</v>
      </c>
    </row>
    <row r="7" spans="1:8">
      <c r="A7" s="18">
        <v>4</v>
      </c>
      <c r="B7" s="16">
        <v>3.0748558809522089</v>
      </c>
      <c r="C7" s="16">
        <v>4.6648794908702794E-2</v>
      </c>
      <c r="D7" s="16"/>
      <c r="E7" s="16"/>
      <c r="F7" s="16"/>
      <c r="G7" s="16"/>
      <c r="H7" s="7" t="s">
        <v>45</v>
      </c>
    </row>
    <row r="8" spans="1:8">
      <c r="A8" s="18">
        <v>5</v>
      </c>
      <c r="B8" s="16">
        <v>3.843569851190261</v>
      </c>
      <c r="C8" s="16">
        <v>5.8310993635878494E-2</v>
      </c>
      <c r="D8" s="16"/>
      <c r="E8" s="16"/>
      <c r="F8" s="16"/>
      <c r="G8" s="16"/>
      <c r="H8" s="7" t="s">
        <v>45</v>
      </c>
    </row>
    <row r="9" spans="1:8">
      <c r="A9" s="18">
        <v>6</v>
      </c>
      <c r="B9" s="16">
        <v>4.6122838214283135</v>
      </c>
      <c r="C9" s="16">
        <v>6.9973192363054187E-2</v>
      </c>
      <c r="D9" s="16"/>
      <c r="E9" s="16"/>
      <c r="F9" s="16"/>
      <c r="G9" s="16"/>
      <c r="H9" s="7" t="s">
        <v>45</v>
      </c>
    </row>
    <row r="10" spans="1:8">
      <c r="A10" s="18">
        <v>7</v>
      </c>
      <c r="B10" s="16">
        <v>5.3809977916663652</v>
      </c>
      <c r="C10" s="16">
        <v>8.1635391090229895E-2</v>
      </c>
      <c r="D10" s="16"/>
      <c r="E10" s="16"/>
      <c r="F10" s="16"/>
      <c r="G10" s="16"/>
      <c r="H10" s="7" t="s">
        <v>45</v>
      </c>
    </row>
    <row r="11" spans="1:8">
      <c r="A11" s="18">
        <v>8</v>
      </c>
      <c r="B11" s="16">
        <v>6.1497117619044177</v>
      </c>
      <c r="C11" s="16">
        <v>9.3297589817405588E-2</v>
      </c>
      <c r="D11" s="16"/>
      <c r="E11" s="16"/>
      <c r="F11" s="16"/>
      <c r="G11" s="16"/>
      <c r="H11" s="7" t="s">
        <v>45</v>
      </c>
    </row>
    <row r="12" spans="1:8">
      <c r="A12" s="18">
        <v>9</v>
      </c>
      <c r="B12" s="16">
        <v>6.9184257321424703</v>
      </c>
      <c r="C12" s="16">
        <v>0.1049597885445813</v>
      </c>
      <c r="D12" s="16"/>
      <c r="E12" s="16"/>
      <c r="F12" s="16"/>
      <c r="G12" s="16"/>
      <c r="H12" s="7" t="s">
        <v>45</v>
      </c>
    </row>
    <row r="13" spans="1:8">
      <c r="A13" s="18">
        <v>10</v>
      </c>
      <c r="B13" s="16">
        <v>7.6871397023805219</v>
      </c>
      <c r="C13" s="16">
        <v>0.11662198727175699</v>
      </c>
      <c r="D13" s="16"/>
      <c r="E13" s="16"/>
      <c r="F13" s="16"/>
      <c r="G13" s="16"/>
      <c r="H13" s="7" t="s">
        <v>45</v>
      </c>
    </row>
    <row r="14" spans="1:8">
      <c r="A14" s="18">
        <v>11</v>
      </c>
      <c r="B14" s="16">
        <v>8.4558536726185736</v>
      </c>
      <c r="C14" s="16">
        <v>0.12828418599893268</v>
      </c>
      <c r="D14" s="16"/>
      <c r="E14" s="16"/>
      <c r="F14" s="16"/>
      <c r="G14" s="16"/>
      <c r="H14" s="7" t="s">
        <v>45</v>
      </c>
    </row>
    <row r="15" spans="1:8">
      <c r="A15" s="18">
        <v>12</v>
      </c>
      <c r="B15" s="16">
        <v>9.224567642856627</v>
      </c>
      <c r="C15" s="16">
        <v>0.13994638472610837</v>
      </c>
      <c r="D15" s="16"/>
      <c r="E15" s="16"/>
      <c r="F15" s="16"/>
      <c r="G15" s="16"/>
      <c r="H15" s="7" t="s">
        <v>45</v>
      </c>
    </row>
    <row r="16" spans="1:8">
      <c r="A16" s="18">
        <v>13</v>
      </c>
      <c r="B16" s="16">
        <v>9.9932816130946787</v>
      </c>
      <c r="C16" s="16">
        <v>0.1516085834532841</v>
      </c>
      <c r="D16" s="16"/>
      <c r="E16" s="16"/>
      <c r="F16" s="16"/>
      <c r="G16" s="16"/>
      <c r="H16" s="7" t="s">
        <v>45</v>
      </c>
    </row>
    <row r="17" spans="1:8">
      <c r="A17" s="18">
        <v>14</v>
      </c>
      <c r="B17" s="16">
        <v>10.76199558333273</v>
      </c>
      <c r="C17" s="16">
        <v>0.16327078218045979</v>
      </c>
      <c r="D17" s="16"/>
      <c r="E17" s="16"/>
      <c r="F17" s="16"/>
      <c r="G17" s="16"/>
      <c r="H17" s="7" t="s">
        <v>45</v>
      </c>
    </row>
    <row r="18" spans="1:8">
      <c r="A18" s="18">
        <v>15</v>
      </c>
      <c r="B18" s="16">
        <v>11.530709553570784</v>
      </c>
      <c r="C18" s="16">
        <v>0.17493298090763548</v>
      </c>
      <c r="D18" s="16">
        <v>1.193374105183137E-2</v>
      </c>
      <c r="E18" s="16">
        <v>0.78661268585394384</v>
      </c>
      <c r="F18" s="16">
        <v>21.89356194947678</v>
      </c>
      <c r="G18" s="16">
        <v>0.40103380029814306</v>
      </c>
      <c r="H18" s="7" t="s">
        <v>46</v>
      </c>
    </row>
    <row r="19" spans="1:8">
      <c r="A19" s="18">
        <v>16</v>
      </c>
      <c r="B19" s="16">
        <v>12.299423523808835</v>
      </c>
      <c r="C19" s="16">
        <v>0.18659517963481118</v>
      </c>
      <c r="D19" s="16">
        <v>2.357174404191005E-2</v>
      </c>
      <c r="E19" s="16">
        <v>1.5537317937884285</v>
      </c>
      <c r="F19" s="16">
        <v>11.77554540925356</v>
      </c>
      <c r="G19" s="16">
        <v>0.40200155160365464</v>
      </c>
      <c r="H19" s="7" t="s">
        <v>46</v>
      </c>
    </row>
    <row r="20" spans="1:8">
      <c r="A20" s="18">
        <v>17</v>
      </c>
      <c r="B20" s="16">
        <v>13.068137494046887</v>
      </c>
      <c r="C20" s="16">
        <v>0.19825737836198687</v>
      </c>
      <c r="D20" s="16">
        <v>3.5018029610688742E-2</v>
      </c>
      <c r="E20" s="16">
        <v>2.3082138455777548</v>
      </c>
      <c r="F20" s="16">
        <v>8.3853411523518346</v>
      </c>
      <c r="G20" s="16">
        <v>0.40304775526537023</v>
      </c>
      <c r="H20" s="7" t="s">
        <v>46</v>
      </c>
    </row>
    <row r="21" spans="1:8">
      <c r="A21" s="18">
        <v>18</v>
      </c>
      <c r="B21" s="16">
        <v>13.836851464284941</v>
      </c>
      <c r="C21" s="16">
        <v>0.20991957708916259</v>
      </c>
      <c r="D21" s="16">
        <v>4.6252209984278557E-2</v>
      </c>
      <c r="E21" s="16">
        <v>3.048714980859303</v>
      </c>
      <c r="F21" s="16">
        <v>6.6905252974444043</v>
      </c>
      <c r="G21" s="16">
        <v>0.40418027423130604</v>
      </c>
      <c r="H21" s="7" t="s">
        <v>46</v>
      </c>
    </row>
    <row r="22" spans="1:8">
      <c r="A22" s="18">
        <v>19</v>
      </c>
      <c r="B22" s="16">
        <v>14.605565434522992</v>
      </c>
      <c r="C22" s="16">
        <v>0.22158177581633828</v>
      </c>
      <c r="D22" s="16">
        <v>5.7263287364892938E-2</v>
      </c>
      <c r="E22" s="16">
        <v>3.7745102796588763</v>
      </c>
      <c r="F22" s="16">
        <v>5.6754917246324315</v>
      </c>
      <c r="G22" s="16">
        <v>0.40539746236407304</v>
      </c>
      <c r="H22" s="7" t="s">
        <v>46</v>
      </c>
    </row>
    <row r="23" spans="1:8">
      <c r="A23" s="18">
        <v>20</v>
      </c>
      <c r="B23" s="16">
        <v>15.374279404761044</v>
      </c>
      <c r="C23" s="16">
        <v>0.23324397454351398</v>
      </c>
      <c r="D23" s="16">
        <v>6.8044060644867552E-2</v>
      </c>
      <c r="E23" s="16">
        <v>4.4851250808776326</v>
      </c>
      <c r="F23" s="16">
        <v>5.0006815880963913</v>
      </c>
      <c r="G23" s="16">
        <v>0.40669510180657487</v>
      </c>
      <c r="H23" s="7" t="s">
        <v>46</v>
      </c>
    </row>
    <row r="24" spans="1:8">
      <c r="A24" s="18">
        <v>21</v>
      </c>
      <c r="B24" s="16">
        <v>16.142993374999097</v>
      </c>
      <c r="C24" s="16">
        <v>0.2449061732706897</v>
      </c>
      <c r="D24" s="16">
        <v>7.8589634248432849E-2</v>
      </c>
      <c r="E24" s="16">
        <v>5.1802366925794763</v>
      </c>
      <c r="F24" s="16">
        <v>4.520364711112026</v>
      </c>
      <c r="G24" s="16">
        <v>0.40806814912120382</v>
      </c>
      <c r="H24" s="7" t="s">
        <v>46</v>
      </c>
    </row>
    <row r="25" spans="1:8">
      <c r="A25" s="18">
        <v>22</v>
      </c>
      <c r="B25" s="16">
        <v>16.911707345237147</v>
      </c>
      <c r="C25" s="16">
        <v>0.25656837199786536</v>
      </c>
      <c r="D25" s="16">
        <v>8.8896811094798009E-2</v>
      </c>
      <c r="E25" s="16">
        <v>5.8596343791453869</v>
      </c>
      <c r="F25" s="16">
        <v>4.1616212856316839</v>
      </c>
      <c r="G25" s="16">
        <v>0.4095113451049785</v>
      </c>
      <c r="H25" s="7" t="s">
        <v>46</v>
      </c>
    </row>
    <row r="26" spans="1:8">
      <c r="A26" s="18">
        <v>23</v>
      </c>
      <c r="B26" s="16">
        <v>17.680421315475201</v>
      </c>
      <c r="C26" s="16">
        <v>0.26823057072504108</v>
      </c>
      <c r="D26" s="16">
        <v>9.8963761796397862E-2</v>
      </c>
      <c r="E26" s="16">
        <v>6.5231975564718701</v>
      </c>
      <c r="F26" s="16">
        <v>3.883923113745618</v>
      </c>
      <c r="G26" s="16">
        <v>0.41101946887165691</v>
      </c>
      <c r="H26" s="7" t="s">
        <v>46</v>
      </c>
    </row>
    <row r="27" spans="1:8">
      <c r="A27" s="18">
        <v>24</v>
      </c>
      <c r="B27" s="16">
        <v>18.449135285713254</v>
      </c>
      <c r="C27" s="16">
        <v>0.27989276945221675</v>
      </c>
      <c r="D27" s="16">
        <v>0.1087898025385963</v>
      </c>
      <c r="E27" s="16">
        <v>7.170881150908909</v>
      </c>
      <c r="F27" s="16">
        <v>3.662947456485568</v>
      </c>
      <c r="G27" s="16">
        <v>0.41258745520686602</v>
      </c>
      <c r="H27" s="7" t="s">
        <v>46</v>
      </c>
    </row>
    <row r="28" spans="1:8">
      <c r="A28" s="18">
        <v>25</v>
      </c>
      <c r="B28" s="16">
        <v>19.217849255951304</v>
      </c>
      <c r="C28" s="16">
        <v>0.29155496817939242</v>
      </c>
      <c r="D28" s="16">
        <v>0.11837522454603272</v>
      </c>
      <c r="E28" s="16">
        <v>7.802704358532135</v>
      </c>
      <c r="F28" s="16">
        <v>3.4832143147854007</v>
      </c>
      <c r="G28" s="16">
        <v>0.41421045143506058</v>
      </c>
      <c r="H28" s="7" t="s">
        <v>46</v>
      </c>
    </row>
    <row r="29" spans="1:8">
      <c r="A29" s="18">
        <v>26</v>
      </c>
      <c r="B29" s="16">
        <v>19.986563226189357</v>
      </c>
      <c r="C29" s="16">
        <v>0.30321716690656819</v>
      </c>
      <c r="D29" s="16">
        <v>0.12772115274810131</v>
      </c>
      <c r="E29" s="16">
        <v>8.4187413290761786</v>
      </c>
      <c r="F29" s="16">
        <v>3.3344032768207672</v>
      </c>
      <c r="G29" s="16">
        <v>0.41588384452994931</v>
      </c>
      <c r="H29" s="7" t="s">
        <v>46</v>
      </c>
    </row>
    <row r="30" spans="1:8">
      <c r="A30" s="18">
        <v>27</v>
      </c>
      <c r="B30" s="16">
        <v>20.755277196427411</v>
      </c>
      <c r="C30" s="16">
        <v>0.31487936563374391</v>
      </c>
      <c r="D30" s="16">
        <v>0.13682942387608438</v>
      </c>
      <c r="E30" s="16">
        <v>9.0191131307057439</v>
      </c>
      <c r="F30" s="16">
        <v>3.2093696143842614</v>
      </c>
      <c r="G30" s="16">
        <v>0.41760327230705041</v>
      </c>
      <c r="H30" s="7" t="s">
        <v>46</v>
      </c>
    </row>
    <row r="31" spans="1:8">
      <c r="A31" s="18">
        <v>28</v>
      </c>
      <c r="B31" s="16">
        <v>21.523991166665461</v>
      </c>
      <c r="C31" s="16">
        <v>0.32654156436091958</v>
      </c>
      <c r="D31" s="16">
        <v>0.14570247928963934</v>
      </c>
      <c r="E31" s="16">
        <v>9.603980685672191</v>
      </c>
      <c r="F31" s="16">
        <v>3.1030103522436079</v>
      </c>
      <c r="G31" s="16">
        <v>0.41936462552130366</v>
      </c>
      <c r="H31" s="7" t="s">
        <v>46</v>
      </c>
    </row>
    <row r="32" spans="1:8">
      <c r="A32" s="18">
        <v>29</v>
      </c>
      <c r="B32" s="16">
        <v>22.292705136903514</v>
      </c>
      <c r="C32" s="16">
        <v>0.3382037630880953</v>
      </c>
      <c r="D32" s="16">
        <v>0.15434327000323905</v>
      </c>
      <c r="E32" s="16">
        <v>10.173538510130216</v>
      </c>
      <c r="F32" s="16">
        <v>3.0115837909570713</v>
      </c>
      <c r="G32" s="16">
        <v>0.42116404450909456</v>
      </c>
      <c r="H32" s="7" t="s">
        <v>46</v>
      </c>
    </row>
    <row r="33" spans="1:8">
      <c r="A33" s="18">
        <v>30</v>
      </c>
      <c r="B33" s="16">
        <v>23.061419107141568</v>
      </c>
      <c r="C33" s="16">
        <v>0.34986596181527096</v>
      </c>
      <c r="D33" s="16">
        <v>0.1627551723572</v>
      </c>
      <c r="E33" s="16">
        <v>10.728009155592638</v>
      </c>
      <c r="F33" s="16">
        <v>2.932284153205539</v>
      </c>
      <c r="G33" s="16">
        <v>0.42299791245749774</v>
      </c>
      <c r="H33" s="7" t="s">
        <v>46</v>
      </c>
    </row>
    <row r="34" spans="1:8">
      <c r="A34" s="18">
        <v>31</v>
      </c>
      <c r="B34" s="16">
        <v>23.830133077379617</v>
      </c>
      <c r="C34" s="16">
        <v>0.36152816054244663</v>
      </c>
      <c r="D34" s="16">
        <v>0.17094191322818914</v>
      </c>
      <c r="E34" s="16">
        <v>11.267638279180062</v>
      </c>
      <c r="F34" s="16">
        <v>2.8629663275885888</v>
      </c>
      <c r="G34" s="16">
        <v>0.42486284656993867</v>
      </c>
      <c r="H34" s="7" t="s">
        <v>46</v>
      </c>
    </row>
    <row r="35" spans="1:8">
      <c r="A35" s="18">
        <v>32</v>
      </c>
      <c r="B35" s="16">
        <v>24.598847047617671</v>
      </c>
      <c r="C35" s="16">
        <v>0.37319035926962235</v>
      </c>
      <c r="D35" s="16">
        <v>0.17890750388913387</v>
      </c>
      <c r="E35" s="16">
        <v>11.792690283996043</v>
      </c>
      <c r="F35" s="16">
        <v>2.8019623503052582</v>
      </c>
      <c r="G35" s="16">
        <v>0.42675568794465563</v>
      </c>
      <c r="H35" s="7" t="s">
        <v>46</v>
      </c>
    </row>
    <row r="36" spans="1:8">
      <c r="A36" s="18">
        <v>33</v>
      </c>
      <c r="B36" s="16">
        <v>25.367561017855724</v>
      </c>
      <c r="C36" s="16">
        <v>0.38485255799679807</v>
      </c>
      <c r="D36" s="16">
        <v>0.18665618173758758</v>
      </c>
      <c r="E36" s="16">
        <v>12.30344447815159</v>
      </c>
      <c r="F36" s="16">
        <v>2.7479558323394935</v>
      </c>
      <c r="G36" s="16">
        <v>0.4286734907147452</v>
      </c>
      <c r="H36" s="7" t="s">
        <v>46</v>
      </c>
    </row>
    <row r="37" spans="1:8">
      <c r="A37" s="18">
        <v>34</v>
      </c>
      <c r="B37" s="16">
        <v>26.136274988093774</v>
      </c>
      <c r="C37" s="16">
        <v>0.39651475672397374</v>
      </c>
      <c r="D37" s="16">
        <v>0.19419235917575128</v>
      </c>
      <c r="E37" s="16">
        <v>12.800191705191189</v>
      </c>
      <c r="F37" s="16">
        <v>2.6998940542493024</v>
      </c>
      <c r="G37" s="16">
        <v>0.4306135108304644</v>
      </c>
      <c r="H37" s="7" t="s">
        <v>46</v>
      </c>
    </row>
    <row r="38" spans="1:8">
      <c r="A38" s="18">
        <v>35</v>
      </c>
      <c r="B38" s="16">
        <v>26.904988958331828</v>
      </c>
      <c r="C38" s="16">
        <v>0.40817695545114946</v>
      </c>
      <c r="D38" s="16">
        <v>0.20152057896718892</v>
      </c>
      <c r="E38" s="16">
        <v>13.283231401430127</v>
      </c>
      <c r="F38" s="16">
        <v>2.6569251743842637</v>
      </c>
      <c r="G38" s="16">
        <v>0.43257319475560291</v>
      </c>
      <c r="H38" s="7" t="s">
        <v>46</v>
      </c>
    </row>
    <row r="39" spans="1:8">
      <c r="A39" s="18">
        <v>36</v>
      </c>
      <c r="B39" s="16">
        <v>27.673702928569881</v>
      </c>
      <c r="C39" s="16">
        <v>0.41983915417832518</v>
      </c>
      <c r="D39" s="16">
        <v>0.20864547544057127</v>
      </c>
      <c r="E39" s="16">
        <v>13.752869038698829</v>
      </c>
      <c r="F39" s="16">
        <v>2.61835256084197</v>
      </c>
      <c r="G39" s="16">
        <v>0.43455016826971787</v>
      </c>
      <c r="H39" s="7" t="s">
        <v>46</v>
      </c>
    </row>
    <row r="40" spans="1:8">
      <c r="A40" s="18">
        <v>37</v>
      </c>
      <c r="B40" s="16">
        <v>28.442416898807931</v>
      </c>
      <c r="C40" s="16">
        <v>0.43150135290550085</v>
      </c>
      <c r="D40" s="16">
        <v>0.21557174094153597</v>
      </c>
      <c r="E40" s="16">
        <v>14.209413913016782</v>
      </c>
      <c r="F40" s="16">
        <v>2.5836010362116557</v>
      </c>
      <c r="G40" s="16">
        <v>0.43654222551754246</v>
      </c>
      <c r="H40" s="7" t="s">
        <v>46</v>
      </c>
    </row>
    <row r="41" spans="1:8">
      <c r="A41" s="18">
        <v>38</v>
      </c>
      <c r="B41" s="16">
        <v>29.211130869045984</v>
      </c>
      <c r="C41" s="16">
        <v>0.44316355163267657</v>
      </c>
      <c r="D41" s="16">
        <v>0.2223040969794399</v>
      </c>
      <c r="E41" s="16">
        <v>14.653177242730388</v>
      </c>
      <c r="F41" s="16">
        <v>2.5521915609045029</v>
      </c>
      <c r="G41" s="16">
        <v>0.43854731840277217</v>
      </c>
      <c r="H41" s="7" t="s">
        <v>46</v>
      </c>
    </row>
    <row r="42" spans="1:8">
      <c r="A42" s="18">
        <v>39</v>
      </c>
      <c r="B42" s="16">
        <v>29.979844839284038</v>
      </c>
      <c r="C42" s="16">
        <v>0.45482575035985234</v>
      </c>
      <c r="D42" s="16">
        <v>0.22884726955321918</v>
      </c>
      <c r="E42" s="16">
        <v>15.084470542116712</v>
      </c>
      <c r="F42" s="16">
        <v>2.5237219925190439</v>
      </c>
      <c r="G42" s="16">
        <v>0.44056354639465861</v>
      </c>
      <c r="H42" s="7" t="s">
        <v>46</v>
      </c>
    </row>
    <row r="43" spans="1:8">
      <c r="A43" s="18">
        <v>40</v>
      </c>
      <c r="B43" s="16">
        <v>30.748558809522088</v>
      </c>
      <c r="C43" s="16">
        <v>0.46648794908702795</v>
      </c>
      <c r="D43" s="16">
        <v>0.23520596818254896</v>
      </c>
      <c r="E43" s="16">
        <v>15.50360423922214</v>
      </c>
      <c r="F43" s="16">
        <v>2.4978522855510348</v>
      </c>
      <c r="G43" s="16">
        <v>0.44258914679200334</v>
      </c>
      <c r="H43" s="7" t="s">
        <v>46</v>
      </c>
    </row>
    <row r="44" spans="1:8">
      <c r="A44" s="18">
        <v>41</v>
      </c>
      <c r="B44" s="16">
        <v>31.517272779760141</v>
      </c>
      <c r="C44" s="16">
        <v>0.47815014781420367</v>
      </c>
      <c r="D44" s="16">
        <v>0.24138486821115407</v>
      </c>
      <c r="E44" s="16">
        <v>15.910886509384872</v>
      </c>
      <c r="F44" s="16">
        <v>2.4742929803591838</v>
      </c>
      <c r="G44" s="16">
        <v>0.44462248547132283</v>
      </c>
      <c r="H44" s="7" t="s">
        <v>46</v>
      </c>
    </row>
    <row r="45" spans="1:8">
      <c r="A45" s="18">
        <v>42</v>
      </c>
      <c r="B45" s="16">
        <v>32.285986749998195</v>
      </c>
      <c r="C45" s="16">
        <v>0.4898123465413794</v>
      </c>
      <c r="D45" s="16">
        <v>0.24738859598896148</v>
      </c>
      <c r="E45" s="16">
        <v>16.306622298516334</v>
      </c>
      <c r="F45" s="16">
        <v>2.4527961591473861</v>
      </c>
      <c r="G45" s="16">
        <v>0.44666204813220178</v>
      </c>
      <c r="H45" s="7" t="s">
        <v>46</v>
      </c>
    </row>
    <row r="46" spans="1:8">
      <c r="A46" s="18">
        <v>43</v>
      </c>
      <c r="B46" s="16">
        <v>33.054700720236248</v>
      </c>
      <c r="C46" s="16">
        <v>0.50147454526855517</v>
      </c>
      <c r="D46" s="16">
        <v>0.25322171657755871</v>
      </c>
      <c r="E46" s="16">
        <v>16.691112512706315</v>
      </c>
      <c r="F46" s="16">
        <v>2.4331482735274372</v>
      </c>
      <c r="G46" s="16">
        <v>0.44870643204256427</v>
      </c>
      <c r="H46" s="7" t="s">
        <v>46</v>
      </c>
    </row>
    <row r="47" spans="1:8">
      <c r="A47" s="18">
        <v>44</v>
      </c>
      <c r="B47" s="16">
        <v>33.823414690474294</v>
      </c>
      <c r="C47" s="16">
        <v>0.51313674399573073</v>
      </c>
      <c r="D47" s="16">
        <v>0.25888872366096283</v>
      </c>
      <c r="E47" s="16">
        <v>17.064653353191179</v>
      </c>
      <c r="F47" s="16">
        <v>2.4151644069854954</v>
      </c>
      <c r="G47" s="16">
        <v>0.45075433827797673</v>
      </c>
      <c r="H47" s="7" t="s">
        <v>46</v>
      </c>
    </row>
    <row r="48" spans="1:8">
      <c r="A48" s="18">
        <v>45</v>
      </c>
      <c r="B48" s="16">
        <v>34.592128660712348</v>
      </c>
      <c r="C48" s="16">
        <v>0.5247989427229065</v>
      </c>
      <c r="D48" s="16">
        <v>0.26439403137465139</v>
      </c>
      <c r="E48" s="16">
        <v>17.427535777764355</v>
      </c>
      <c r="F48" s="16">
        <v>2.3986836482668261</v>
      </c>
      <c r="G48" s="16">
        <v>0.45280456444458739</v>
      </c>
      <c r="H48" s="7" t="s">
        <v>46</v>
      </c>
    </row>
    <row r="49" spans="1:8">
      <c r="A49" s="18">
        <v>46</v>
      </c>
      <c r="B49" s="16">
        <v>35.360842630950401</v>
      </c>
      <c r="C49" s="16">
        <v>0.53646114145008217</v>
      </c>
      <c r="D49" s="16">
        <v>0.269741967800607</v>
      </c>
      <c r="E49" s="16">
        <v>17.7800450720021</v>
      </c>
      <c r="F49" s="16">
        <v>2.3835653326647734</v>
      </c>
      <c r="G49" s="16">
        <v>0.45485599786928654</v>
      </c>
      <c r="H49" s="7" t="s">
        <v>46</v>
      </c>
    </row>
    <row r="50" spans="1:8">
      <c r="A50" s="18">
        <v>47</v>
      </c>
      <c r="B50" s="16">
        <v>36.129556601188455</v>
      </c>
      <c r="C50" s="16">
        <v>0.54812334017725783</v>
      </c>
      <c r="D50" s="16">
        <v>0.27493676990197757</v>
      </c>
      <c r="E50" s="16">
        <v>18.122460515381587</v>
      </c>
      <c r="F50" s="16">
        <v>2.3696859671176997</v>
      </c>
      <c r="G50" s="16">
        <v>0.45690760923905804</v>
      </c>
      <c r="H50" s="7" t="s">
        <v>46</v>
      </c>
    </row>
    <row r="51" spans="1:8">
      <c r="A51" s="18">
        <v>48</v>
      </c>
      <c r="B51" s="16">
        <v>36.898270571426508</v>
      </c>
      <c r="C51" s="16">
        <v>0.5597855389044335</v>
      </c>
      <c r="D51" s="16">
        <v>0.27998257969848644</v>
      </c>
      <c r="E51" s="16">
        <v>18.455055129183005</v>
      </c>
      <c r="F51" s="16">
        <v>2.3569366983234397</v>
      </c>
      <c r="G51" s="16">
        <v>0.4589584466687992</v>
      </c>
      <c r="H51" s="7" t="s">
        <v>46</v>
      </c>
    </row>
    <row r="52" spans="1:8">
      <c r="A52" s="18">
        <v>49</v>
      </c>
      <c r="B52" s="16">
        <v>37.666984541664561</v>
      </c>
      <c r="C52" s="16">
        <v>0.57144773763160928</v>
      </c>
      <c r="D52" s="16">
        <v>0.28488344150695721</v>
      </c>
      <c r="E52" s="16">
        <v>18.778095494598727</v>
      </c>
      <c r="F52" s="16">
        <v>2.345221215259413</v>
      </c>
      <c r="G52" s="16">
        <v>0.46100763017588758</v>
      </c>
      <c r="H52" s="7" t="s">
        <v>46</v>
      </c>
    </row>
    <row r="53" spans="1:8">
      <c r="A53" s="18">
        <v>50</v>
      </c>
      <c r="B53" s="16">
        <v>38.435698511902608</v>
      </c>
      <c r="C53" s="16">
        <v>0.58310993635878483</v>
      </c>
      <c r="D53" s="16">
        <v>0.28964330009263983</v>
      </c>
      <c r="E53" s="16">
        <v>19.091841630877941</v>
      </c>
      <c r="F53" s="16">
        <v>2.3344540016296627</v>
      </c>
      <c r="G53" s="16">
        <v>0.46305434653916383</v>
      </c>
      <c r="H53" s="7" t="s">
        <v>46</v>
      </c>
    </row>
    <row r="54" spans="1:8">
      <c r="A54" s="18">
        <v>51</v>
      </c>
      <c r="B54" s="16">
        <v>39.204412482140661</v>
      </c>
      <c r="C54" s="16">
        <v>0.59477213508596061</v>
      </c>
      <c r="D54" s="16">
        <v>0.29426599959608668</v>
      </c>
      <c r="E54" s="16">
        <v>19.396546924591686</v>
      </c>
      <c r="F54" s="16">
        <v>2.3245588720238697</v>
      </c>
      <c r="G54" s="16">
        <v>0.46509784451988623</v>
      </c>
      <c r="H54" s="7" t="s">
        <v>46</v>
      </c>
    </row>
    <row r="55" spans="1:8">
      <c r="A55" s="18">
        <v>52</v>
      </c>
      <c r="B55" s="16">
        <v>39.973126452378715</v>
      </c>
      <c r="C55" s="16">
        <v>0.60643433381313638</v>
      </c>
      <c r="D55" s="16">
        <v>0.29875528311716321</v>
      </c>
      <c r="E55" s="16">
        <v>19.692458102212882</v>
      </c>
      <c r="F55" s="16">
        <v>2.315467739512727</v>
      </c>
      <c r="G55" s="16">
        <v>0.46713743042253708</v>
      </c>
      <c r="H55" s="7" t="s">
        <v>46</v>
      </c>
    </row>
    <row r="56" spans="1:8">
      <c r="A56" s="18">
        <v>53</v>
      </c>
      <c r="B56" s="16">
        <v>40.741840422616768</v>
      </c>
      <c r="C56" s="16">
        <v>0.61809653254031205</v>
      </c>
      <c r="D56" s="16">
        <v>0.30311479285343279</v>
      </c>
      <c r="E56" s="16">
        <v>19.979815239238004</v>
      </c>
      <c r="F56" s="16">
        <v>2.3071195731245271</v>
      </c>
      <c r="G56" s="16">
        <v>0.46917246397364282</v>
      </c>
      <c r="H56" s="7" t="s">
        <v>46</v>
      </c>
    </row>
    <row r="57" spans="1:8">
      <c r="A57" s="18">
        <v>54</v>
      </c>
      <c r="B57" s="16">
        <v>41.510554392854822</v>
      </c>
      <c r="C57" s="16">
        <v>0.62975873126748783</v>
      </c>
      <c r="D57" s="16">
        <v>0.30734807070245546</v>
      </c>
      <c r="E57" s="16">
        <v>20.258851799887587</v>
      </c>
      <c r="F57" s="16">
        <v>2.2994595119622381</v>
      </c>
      <c r="G57" s="16">
        <v>0.47120235449795811</v>
      </c>
      <c r="H57" s="7" t="s">
        <v>46</v>
      </c>
    </row>
    <row r="58" spans="1:8">
      <c r="A58" s="18">
        <v>55</v>
      </c>
      <c r="B58" s="16">
        <v>42.279268363092875</v>
      </c>
      <c r="C58" s="16">
        <v>0.64142092999466349</v>
      </c>
      <c r="D58" s="16">
        <v>0.31145855925035798</v>
      </c>
      <c r="E58" s="16">
        <v>20.529794702267829</v>
      </c>
      <c r="F58" s="16">
        <v>2.2924381092028097</v>
      </c>
      <c r="G58" s="16">
        <v>0.47322655737177677</v>
      </c>
      <c r="H58" s="7" t="s">
        <v>46</v>
      </c>
    </row>
    <row r="59" spans="1:8">
      <c r="A59" s="18">
        <v>56</v>
      </c>
      <c r="B59" s="16">
        <v>43.047982333330921</v>
      </c>
      <c r="C59" s="16">
        <v>0.65308312872183916</v>
      </c>
      <c r="D59" s="16">
        <v>0.3154496030797328</v>
      </c>
      <c r="E59" s="16">
        <v>20.792864404580801</v>
      </c>
      <c r="F59" s="16">
        <v>2.2860106843163051</v>
      </c>
      <c r="G59" s="16">
        <v>0.47524457073397031</v>
      </c>
      <c r="H59" s="7" t="s">
        <v>46</v>
      </c>
    </row>
    <row r="60" spans="1:8">
      <c r="A60" s="18">
        <v>57</v>
      </c>
      <c r="B60" s="16">
        <v>43.816696303568975</v>
      </c>
      <c r="C60" s="16">
        <v>0.66474532744901482</v>
      </c>
      <c r="D60" s="16">
        <v>0.31932445033679863</v>
      </c>
      <c r="E60" s="16">
        <v>21.048275008423808</v>
      </c>
      <c r="F60" s="16">
        <v>2.2801367658805143</v>
      </c>
      <c r="G60" s="16">
        <v>0.47725593243730813</v>
      </c>
      <c r="H60" s="7" t="s">
        <v>46</v>
      </c>
    </row>
    <row r="61" spans="1:8">
      <c r="A61" s="18">
        <v>58</v>
      </c>
      <c r="B61" s="16">
        <v>44.585410273807028</v>
      </c>
      <c r="C61" s="16">
        <v>0.6764075261761906</v>
      </c>
      <c r="D61" s="16">
        <v>0.32308625450916822</v>
      </c>
      <c r="E61" s="16">
        <v>21.296234375971011</v>
      </c>
      <c r="F61" s="16">
        <v>2.2747796105604481</v>
      </c>
      <c r="G61" s="16">
        <v>0.4792602172222063</v>
      </c>
      <c r="H61" s="7" t="s">
        <v>46</v>
      </c>
    </row>
    <row r="62" spans="1:8">
      <c r="A62" s="18">
        <v>59</v>
      </c>
      <c r="B62" s="16">
        <v>45.354124244045082</v>
      </c>
      <c r="C62" s="16">
        <v>0.68806972490336626</v>
      </c>
      <c r="D62" s="16">
        <v>0.32673807636962526</v>
      </c>
      <c r="E62" s="16">
        <v>21.536944258097492</v>
      </c>
      <c r="F62" s="16">
        <v>2.2699057863974463</v>
      </c>
      <c r="G62" s="16">
        <v>0.48125703409733006</v>
      </c>
      <c r="H62" s="7" t="s">
        <v>46</v>
      </c>
    </row>
    <row r="63" spans="1:8">
      <c r="A63" s="18">
        <v>60</v>
      </c>
      <c r="B63" s="16">
        <v>46.122838214283135</v>
      </c>
      <c r="C63" s="16">
        <v>0.69973192363054193</v>
      </c>
      <c r="D63" s="16">
        <v>0.33028288605038969</v>
      </c>
      <c r="E63" s="16">
        <v>21.770600431104469</v>
      </c>
      <c r="F63" s="16">
        <v>2.2654848106055927</v>
      </c>
      <c r="G63" s="16">
        <v>0.48324602391127891</v>
      </c>
      <c r="H63" s="7" t="s">
        <v>46</v>
      </c>
    </row>
    <row r="64" spans="1:8">
      <c r="A64" s="18">
        <v>61</v>
      </c>
      <c r="B64" s="16">
        <v>46.891552184521188</v>
      </c>
      <c r="C64" s="16">
        <v>0.7113941223577176</v>
      </c>
      <c r="D64" s="16">
        <v>0.33372356521115548</v>
      </c>
      <c r="E64" s="16">
        <v>21.997392839625544</v>
      </c>
      <c r="F64" s="16">
        <v>2.26148883376265</v>
      </c>
      <c r="G64" s="16">
        <v>0.48522685710321667</v>
      </c>
      <c r="H64" s="7" t="s">
        <v>46</v>
      </c>
    </row>
    <row r="65" spans="1:8">
      <c r="A65" s="18">
        <v>62</v>
      </c>
      <c r="B65" s="16">
        <v>47.660266154759235</v>
      </c>
      <c r="C65" s="16">
        <v>0.72305632108489326</v>
      </c>
      <c r="D65" s="16">
        <v>0.33706290928303806</v>
      </c>
      <c r="E65" s="16">
        <v>22.217505744536524</v>
      </c>
      <c r="F65" s="16">
        <v>2.257892363591731</v>
      </c>
      <c r="G65" s="16">
        <v>0.48719923161554873</v>
      </c>
      <c r="H65" s="7" t="s">
        <v>46</v>
      </c>
    </row>
    <row r="66" spans="1:8">
      <c r="A66" s="18">
        <v>63</v>
      </c>
      <c r="B66" s="16">
        <v>48.428980124997288</v>
      </c>
      <c r="C66" s="16">
        <v>0.73471851981206904</v>
      </c>
      <c r="D66" s="16">
        <v>0.34030362975443146</v>
      </c>
      <c r="E66" s="16">
        <v>22.431117873627713</v>
      </c>
      <c r="F66" s="16">
        <v>2.2546720227021018</v>
      </c>
      <c r="G66" s="16">
        <v>0.48916287096079564</v>
      </c>
      <c r="H66" s="7" t="s">
        <v>46</v>
      </c>
    </row>
    <row r="67" spans="1:8">
      <c r="A67" s="18">
        <v>64</v>
      </c>
      <c r="B67" s="16">
        <v>49.197694095235342</v>
      </c>
      <c r="C67" s="16">
        <v>0.7463807185392447</v>
      </c>
      <c r="D67" s="16">
        <v>0.34344835648629385</v>
      </c>
      <c r="E67" s="16">
        <v>22.638402574215995</v>
      </c>
      <c r="F67" s="16">
        <v>2.2518063355060041</v>
      </c>
      <c r="G67" s="16">
        <v>0.4911175224284226</v>
      </c>
      <c r="H67" s="7" t="s">
        <v>46</v>
      </c>
    </row>
    <row r="68" spans="1:8">
      <c r="A68" s="18">
        <v>65</v>
      </c>
      <c r="B68" s="16">
        <v>49.966408065473395</v>
      </c>
      <c r="C68" s="16">
        <v>0.75804291726642048</v>
      </c>
      <c r="D68" s="16">
        <v>0.34649964004033906</v>
      </c>
      <c r="E68" s="16">
        <v>22.839527966607609</v>
      </c>
      <c r="F68" s="16">
        <v>2.2492755402993114</v>
      </c>
      <c r="G68" s="16">
        <v>0.49306295542112438</v>
      </c>
      <c r="H68" s="7" t="s">
        <v>46</v>
      </c>
    </row>
    <row r="69" spans="1:8">
      <c r="A69" s="18">
        <v>66</v>
      </c>
      <c r="B69" s="16">
        <v>50.735122035711449</v>
      </c>
      <c r="C69" s="16">
        <v>0.76970511599359615</v>
      </c>
      <c r="D69" s="16">
        <v>0.34945995399927643</v>
      </c>
      <c r="E69" s="16">
        <v>23.034657097036767</v>
      </c>
      <c r="F69" s="16">
        <v>2.2470614231324384</v>
      </c>
      <c r="G69" s="16">
        <v>0.49499895991349591</v>
      </c>
      <c r="H69" s="7" t="s">
        <v>46</v>
      </c>
    </row>
    <row r="70" spans="1:8">
      <c r="A70" s="18">
        <v>67</v>
      </c>
      <c r="B70" s="16">
        <v>51.503836005949495</v>
      </c>
      <c r="C70" s="16">
        <v>0.78136731472077181</v>
      </c>
      <c r="D70" s="16">
        <v>0.35233169727765112</v>
      </c>
      <c r="E70" s="16">
        <v>23.223948089984756</v>
      </c>
      <c r="F70" s="16">
        <v>2.2451471705582247</v>
      </c>
      <c r="G70" s="16">
        <v>0.49692534502009639</v>
      </c>
      <c r="H70" s="7" t="s">
        <v>46</v>
      </c>
    </row>
    <row r="71" spans="1:8">
      <c r="A71" s="18">
        <v>68</v>
      </c>
      <c r="B71" s="16">
        <v>52.272549976187548</v>
      </c>
      <c r="C71" s="16">
        <v>0.79302951344794748</v>
      </c>
      <c r="D71" s="16">
        <v>0.35511719640578832</v>
      </c>
      <c r="E71" s="16">
        <v>23.407554298726112</v>
      </c>
      <c r="F71" s="16">
        <v>2.2435172388264237</v>
      </c>
      <c r="G71" s="16">
        <v>0.49884193766761353</v>
      </c>
      <c r="H71" s="7" t="s">
        <v>46</v>
      </c>
    </row>
    <row r="72" spans="1:8">
      <c r="A72" s="18">
        <v>69</v>
      </c>
      <c r="B72" s="16">
        <v>53.041263946425602</v>
      </c>
      <c r="C72" s="16">
        <v>0.80469171217512325</v>
      </c>
      <c r="D72" s="16">
        <v>0.35781870778266711</v>
      </c>
      <c r="E72" s="16">
        <v>23.585624453826846</v>
      </c>
      <c r="F72" s="16">
        <v>2.2421572374161034</v>
      </c>
      <c r="G72" s="16">
        <v>0.50074858136194145</v>
      </c>
      <c r="H72" s="7" t="s">
        <v>46</v>
      </c>
    </row>
    <row r="73" spans="1:8">
      <c r="A73" s="18">
        <v>70</v>
      </c>
      <c r="B73" s="16">
        <v>53.809977916663655</v>
      </c>
      <c r="C73" s="16">
        <v>0.81635391090229892</v>
      </c>
      <c r="D73" s="16">
        <v>0.3604384198900133</v>
      </c>
      <c r="E73" s="16">
        <v>23.758302809086398</v>
      </c>
      <c r="F73" s="16">
        <v>2.2410538251125431</v>
      </c>
      <c r="G73" s="16">
        <v>0.50264513504352337</v>
      </c>
      <c r="H73" s="7" t="s">
        <v>46</v>
      </c>
    </row>
    <row r="74" spans="1:8">
      <c r="A74" s="18">
        <v>71</v>
      </c>
      <c r="B74" s="16">
        <v>54.578691886901709</v>
      </c>
      <c r="C74" s="16">
        <v>0.82801610962947469</v>
      </c>
      <c r="D74" s="16">
        <v>0.3629784554624374</v>
      </c>
      <c r="E74" s="16">
        <v>23.925729284582317</v>
      </c>
      <c r="F74" s="16">
        <v>2.2401946170838971</v>
      </c>
      <c r="G74" s="16">
        <v>0.504531472024352</v>
      </c>
      <c r="H74" s="7" t="s">
        <v>46</v>
      </c>
    </row>
    <row r="75" spans="1:8">
      <c r="A75" s="18">
        <v>72</v>
      </c>
      <c r="B75" s="16">
        <v>55.347405857139762</v>
      </c>
      <c r="C75" s="16">
        <v>0.83967830835665036</v>
      </c>
      <c r="D75" s="16">
        <v>0.36544087361232375</v>
      </c>
      <c r="E75" s="16">
        <v>24.088039606732334</v>
      </c>
      <c r="F75" s="16">
        <v>2.2395681016182811</v>
      </c>
      <c r="G75" s="16">
        <v>0.50640747899950955</v>
      </c>
      <c r="H75" s="7" t="s">
        <v>46</v>
      </c>
    </row>
    <row r="76" spans="1:8">
      <c r="A76" s="18">
        <v>73</v>
      </c>
      <c r="B76" s="16">
        <v>56.116119827377808</v>
      </c>
      <c r="C76" s="16">
        <v>0.85134050708382591</v>
      </c>
      <c r="D76" s="16">
        <v>0.36782767189952326</v>
      </c>
      <c r="E76" s="16">
        <v>24.245365444718193</v>
      </c>
      <c r="F76" s="16">
        <v>2.2391635653903075</v>
      </c>
      <c r="G76" s="16">
        <v>0.50827305513013665</v>
      </c>
      <c r="H76" s="7" t="s">
        <v>46</v>
      </c>
    </row>
    <row r="77" spans="1:8">
      <c r="A77" s="18">
        <v>74</v>
      </c>
      <c r="B77" s="16">
        <v>56.884833797615862</v>
      </c>
      <c r="C77" s="16">
        <v>0.86300270581100169</v>
      </c>
      <c r="D77" s="16">
        <v>0.37014078835310604</v>
      </c>
      <c r="E77" s="16">
        <v>24.3978345437495</v>
      </c>
      <c r="F77" s="16">
        <v>2.2389710262325724</v>
      </c>
      <c r="G77" s="16">
        <v>0.5101281111890853</v>
      </c>
      <c r="H77" s="7" t="s">
        <v>46</v>
      </c>
    </row>
    <row r="78" spans="1:8">
      <c r="A78" s="18">
        <v>75</v>
      </c>
      <c r="B78" s="16">
        <v>57.653547767853915</v>
      </c>
      <c r="C78" s="16">
        <v>0.87466490453817736</v>
      </c>
      <c r="D78" s="16">
        <v>0.37238210343420935</v>
      </c>
      <c r="E78" s="16">
        <v>24.545570854444886</v>
      </c>
      <c r="F78" s="16">
        <v>2.2389811725727853</v>
      </c>
      <c r="G78" s="16">
        <v>0.5119725687678901</v>
      </c>
      <c r="H78" s="7" t="s">
        <v>46</v>
      </c>
    </row>
    <row r="79" spans="1:8">
      <c r="A79" s="18">
        <v>76</v>
      </c>
      <c r="B79" s="16">
        <v>58.422261738091969</v>
      </c>
      <c r="C79" s="16">
        <v>0.88632710326535313</v>
      </c>
      <c r="D79" s="16">
        <v>0.37455344194668477</v>
      </c>
      <c r="E79" s="16">
        <v>24.688694658772306</v>
      </c>
      <c r="F79" s="16">
        <v>2.2391853087603844</v>
      </c>
      <c r="G79" s="16">
        <v>0.51380635953777665</v>
      </c>
      <c r="H79" s="7" t="s">
        <v>46</v>
      </c>
    </row>
    <row r="80" spans="1:8">
      <c r="A80" s="18">
        <v>77</v>
      </c>
      <c r="B80" s="16">
        <v>59.190975708330022</v>
      </c>
      <c r="C80" s="16">
        <v>0.89798930199252891</v>
      </c>
      <c r="D80" s="16">
        <v>0.37665657488814946</v>
      </c>
      <c r="E80" s="16">
        <v>24.827322692061127</v>
      </c>
      <c r="F80" s="16">
        <v>2.2395753056437218</v>
      </c>
      <c r="G80" s="16">
        <v>0.51562942456309213</v>
      </c>
      <c r="H80" s="7" t="s">
        <v>46</v>
      </c>
    </row>
    <row r="81" spans="1:8">
      <c r="A81" s="18">
        <v>78</v>
      </c>
      <c r="B81" s="16">
        <v>59.959689678568076</v>
      </c>
      <c r="C81" s="16">
        <v>0.90965150071970469</v>
      </c>
      <c r="D81" s="16">
        <v>0.3786932212457908</v>
      </c>
      <c r="E81" s="16">
        <v>24.961568261372609</v>
      </c>
      <c r="F81" s="16">
        <v>2.2401435558093681</v>
      </c>
      <c r="G81" s="16">
        <v>0.51744171366172964</v>
      </c>
      <c r="H81" s="7" t="s">
        <v>46</v>
      </c>
    </row>
    <row r="82" spans="1:8">
      <c r="A82" s="18">
        <v>79</v>
      </c>
      <c r="B82" s="16">
        <v>60.728403648806122</v>
      </c>
      <c r="C82" s="16">
        <v>0.92131369944688013</v>
      </c>
      <c r="D82" s="16">
        <v>0.38066504973749882</v>
      </c>
      <c r="E82" s="16">
        <v>25.091541360266667</v>
      </c>
      <c r="F82" s="16">
        <v>2.2408829329778728</v>
      </c>
      <c r="G82" s="16">
        <v>0.51924318480893938</v>
      </c>
      <c r="H82" s="7" t="s">
        <v>46</v>
      </c>
    </row>
    <row r="83" spans="1:8">
      <c r="A83" s="18">
        <v>80</v>
      </c>
      <c r="B83" s="16">
        <v>61.497117619044175</v>
      </c>
      <c r="C83" s="16">
        <v>0.93297589817405591</v>
      </c>
      <c r="D83" s="16">
        <v>0.38257368049319512</v>
      </c>
      <c r="E83" s="16">
        <v>25.217348779626693</v>
      </c>
      <c r="F83" s="16">
        <v>2.2417867551279707</v>
      </c>
      <c r="G83" s="16">
        <v>0.52103380358327889</v>
      </c>
      <c r="H83" s="7" t="s">
        <v>47</v>
      </c>
    </row>
    <row r="84" spans="1:8">
      <c r="A84" s="18">
        <v>81</v>
      </c>
      <c r="B84" s="16">
        <v>62.265831589282229</v>
      </c>
      <c r="C84" s="16">
        <v>0.94463809690123157</v>
      </c>
      <c r="D84" s="16">
        <v>0.38442068668530704</v>
      </c>
      <c r="E84" s="16">
        <v>25.339094215132274</v>
      </c>
      <c r="F84" s="16">
        <v>2.2428487509361927</v>
      </c>
      <c r="G84" s="16">
        <v>0.52281354264880342</v>
      </c>
      <c r="H84" s="7" t="s">
        <v>47</v>
      </c>
    </row>
    <row r="85" spans="1:8">
      <c r="A85" s="18">
        <v>82</v>
      </c>
      <c r="B85" s="16">
        <v>63.034545559520282</v>
      </c>
      <c r="C85" s="16">
        <v>0.95630029562840735</v>
      </c>
      <c r="D85" s="16">
        <v>0.38620759609978206</v>
      </c>
      <c r="E85" s="16">
        <v>25.456878370812625</v>
      </c>
      <c r="F85" s="16">
        <v>2.2440630292136001</v>
      </c>
      <c r="G85" s="16">
        <v>0.52458238127409129</v>
      </c>
      <c r="H85" s="7" t="s">
        <v>47</v>
      </c>
    </row>
    <row r="86" spans="1:8">
      <c r="A86" s="18">
        <v>83</v>
      </c>
      <c r="B86" s="16">
        <v>63.803259529758336</v>
      </c>
      <c r="C86" s="16">
        <v>0.96796249435558301</v>
      </c>
      <c r="D86" s="16">
        <v>0.38793589265777656</v>
      </c>
      <c r="E86" s="16">
        <v>25.570799059348726</v>
      </c>
      <c r="F86" s="16">
        <v>2.2454240510105228</v>
      </c>
      <c r="G86" s="16">
        <v>0.52634030488236616</v>
      </c>
      <c r="H86" s="7" t="s">
        <v>47</v>
      </c>
    </row>
    <row r="87" spans="1:8">
      <c r="A87" s="18">
        <v>84</v>
      </c>
      <c r="B87" s="16">
        <v>64.571973499996389</v>
      </c>
      <c r="C87" s="16">
        <v>0.97962469308275879</v>
      </c>
      <c r="D87" s="16">
        <v>0.38960701788460428</v>
      </c>
      <c r="E87" s="16">
        <v>25.680951298899082</v>
      </c>
      <c r="F87" s="16">
        <v>2.2469266041324802</v>
      </c>
      <c r="G87" s="16">
        <v>0.5280873046319966</v>
      </c>
      <c r="H87" s="7" t="s">
        <v>47</v>
      </c>
    </row>
    <row r="88" spans="1:8">
      <c r="A88" s="18">
        <v>85</v>
      </c>
      <c r="B88" s="16">
        <v>65.340687470234442</v>
      </c>
      <c r="C88" s="16">
        <v>0.99128689180993457</v>
      </c>
      <c r="D88" s="16">
        <v>0.39122237232358442</v>
      </c>
      <c r="E88" s="16">
        <v>25.787427406293524</v>
      </c>
      <c r="F88" s="16">
        <v>2.2485657798379868</v>
      </c>
      <c r="G88" s="16">
        <v>0.52982337702642013</v>
      </c>
      <c r="H88" s="7" t="s">
        <v>47</v>
      </c>
    </row>
    <row r="89" spans="1:8">
      <c r="A89" s="18">
        <v>86</v>
      </c>
      <c r="B89" s="16">
        <v>66.109401440472496</v>
      </c>
      <c r="C89" s="16">
        <v>1.0029490905371103</v>
      </c>
      <c r="D89" s="16">
        <v>0.39278331690619023</v>
      </c>
      <c r="E89" s="16">
        <v>25.890317087346581</v>
      </c>
      <c r="F89" s="16">
        <v>2.2503369514788059</v>
      </c>
      <c r="G89" s="16">
        <v>0.53154852354803717</v>
      </c>
      <c r="H89" s="7" t="s">
        <v>47</v>
      </c>
    </row>
    <row r="90" spans="1:8">
      <c r="A90" s="18">
        <v>87</v>
      </c>
      <c r="B90" s="16">
        <v>66.878115410710549</v>
      </c>
      <c r="C90" s="16">
        <v>1.014611289264286</v>
      </c>
      <c r="D90" s="16">
        <v>0.39429117426761573</v>
      </c>
      <c r="E90" s="16">
        <v>25.989707523573077</v>
      </c>
      <c r="F90" s="16">
        <v>2.2522357549266925</v>
      </c>
      <c r="G90" s="16">
        <v>0.53326275031841885</v>
      </c>
      <c r="H90" s="7" t="s">
        <v>47</v>
      </c>
    </row>
    <row r="91" spans="1:8">
      <c r="A91" s="18">
        <v>88</v>
      </c>
      <c r="B91" s="16">
        <v>67.646829380948589</v>
      </c>
      <c r="C91" s="16">
        <v>1.0262734879914615</v>
      </c>
      <c r="D91" s="16">
        <v>0.39574723002008211</v>
      </c>
      <c r="E91" s="16">
        <v>26.085683456118126</v>
      </c>
      <c r="F91" s="16">
        <v>2.2542580705888455</v>
      </c>
      <c r="G91" s="16">
        <v>0.53496606777939348</v>
      </c>
      <c r="H91" s="7" t="s">
        <v>47</v>
      </c>
    </row>
    <row r="92" spans="1:8">
      <c r="A92" s="18">
        <v>89</v>
      </c>
      <c r="B92" s="16">
        <v>68.415543351186642</v>
      </c>
      <c r="C92" s="16">
        <v>1.0379356867186371</v>
      </c>
      <c r="D92" s="16">
        <v>0.39715273397855433</v>
      </c>
      <c r="E92" s="16">
        <v>26.178327266550273</v>
      </c>
      <c r="F92" s="16">
        <v>2.2564000068798271</v>
      </c>
      <c r="G92" s="16">
        <v>0.53665849039573532</v>
      </c>
      <c r="H92" s="7" t="s">
        <v>47</v>
      </c>
    </row>
    <row r="93" spans="1:8">
      <c r="A93" s="18">
        <v>90</v>
      </c>
      <c r="B93" s="16">
        <v>69.184257321424695</v>
      </c>
      <c r="C93" s="16">
        <v>1.049597885445813</v>
      </c>
      <c r="D93" s="16">
        <v>0.39850890134109029</v>
      </c>
      <c r="E93" s="16">
        <v>26.267719054664205</v>
      </c>
      <c r="F93" s="16">
        <v>2.2586578850132741</v>
      </c>
      <c r="G93" s="16">
        <v>0.53834003637771011</v>
      </c>
      <c r="H93" s="7" t="s">
        <v>47</v>
      </c>
    </row>
    <row r="94" spans="1:8">
      <c r="A94" s="18">
        <v>91</v>
      </c>
      <c r="B94" s="16">
        <v>69.952971291662749</v>
      </c>
      <c r="C94" s="16">
        <v>1.0612600841729887</v>
      </c>
      <c r="D94" s="16">
        <v>0.39981691382890883</v>
      </c>
      <c r="E94" s="16">
        <v>26.353936713628368</v>
      </c>
      <c r="F94" s="16">
        <v>2.2610282249832228</v>
      </c>
      <c r="G94" s="16">
        <v>0.54001072742090539</v>
      </c>
      <c r="H94" s="7" t="s">
        <v>47</v>
      </c>
    </row>
    <row r="95" spans="1:8">
      <c r="A95" s="18">
        <v>92</v>
      </c>
      <c r="B95" s="16">
        <v>70.721685261900802</v>
      </c>
      <c r="C95" s="16">
        <v>1.0729222829001643</v>
      </c>
      <c r="D95" s="16">
        <v>0.40107792078264742</v>
      </c>
      <c r="E95" s="16">
        <v>26.437056002244795</v>
      </c>
      <c r="F95" s="16">
        <v>2.2635077326401833</v>
      </c>
      <c r="G95" s="16">
        <v>0.5416705884637486</v>
      </c>
      <c r="H95" s="7" t="s">
        <v>47</v>
      </c>
    </row>
    <row r="96" spans="1:8">
      <c r="A96" s="18">
        <v>93</v>
      </c>
      <c r="B96" s="16">
        <v>71.490399232138856</v>
      </c>
      <c r="C96" s="16">
        <v>1.08458448162734</v>
      </c>
      <c r="D96" s="16">
        <v>0.40229304022127449</v>
      </c>
      <c r="E96" s="16">
        <v>26.517150614747308</v>
      </c>
      <c r="F96" s="16">
        <v>2.266093287751457</v>
      </c>
      <c r="G96" s="16">
        <v>0.54331964745987349</v>
      </c>
      <c r="H96" s="7" t="s">
        <v>47</v>
      </c>
    </row>
    <row r="97" spans="1:8">
      <c r="A97" s="18">
        <v>94</v>
      </c>
      <c r="B97" s="16">
        <v>72.259113202376909</v>
      </c>
      <c r="C97" s="16">
        <v>1.0962466803545157</v>
      </c>
      <c r="D97" s="16">
        <v>0.40346335985978365</v>
      </c>
      <c r="E97" s="16">
        <v>26.59429224788288</v>
      </c>
      <c r="F97" s="16">
        <v>2.2687819329723604</v>
      </c>
      <c r="G97" s="16">
        <v>0.54495793516600055</v>
      </c>
      <c r="H97" s="7" t="s">
        <v>47</v>
      </c>
    </row>
    <row r="98" spans="1:8">
      <c r="A98" s="18">
        <v>95</v>
      </c>
      <c r="B98" s="16">
        <v>73.027827172614963</v>
      </c>
      <c r="C98" s="16">
        <v>1.1079088790816913</v>
      </c>
      <c r="D98" s="16">
        <v>0.40458993809118099</v>
      </c>
      <c r="E98" s="16">
        <v>26.668550665639316</v>
      </c>
      <c r="F98" s="16">
        <v>2.2715708636387073</v>
      </c>
      <c r="G98" s="16">
        <v>0.54658548494296322</v>
      </c>
      <c r="H98" s="7" t="s">
        <v>47</v>
      </c>
    </row>
    <row r="99" spans="1:8">
      <c r="A99" s="18">
        <v>96</v>
      </c>
      <c r="B99" s="16">
        <v>73.796541142853016</v>
      </c>
      <c r="C99" s="16">
        <v>1.119571077808867</v>
      </c>
      <c r="D99" s="16">
        <v>0.40567380493296401</v>
      </c>
      <c r="E99" s="16">
        <v>26.739993761632434</v>
      </c>
      <c r="F99" s="16">
        <v>2.2744574183126272</v>
      </c>
      <c r="G99" s="16">
        <v>0.54820233256934314</v>
      </c>
      <c r="H99" s="7" t="s">
        <v>47</v>
      </c>
    </row>
    <row r="100" spans="1:8">
      <c r="A100" s="18">
        <v>97</v>
      </c>
      <c r="B100" s="16">
        <v>74.565255113091069</v>
      </c>
      <c r="C100" s="16">
        <v>1.1312332765360429</v>
      </c>
      <c r="D100" s="16">
        <v>0.4067159629377789</v>
      </c>
      <c r="E100" s="16">
        <v>26.808687619132034</v>
      </c>
      <c r="F100" s="16">
        <v>2.277439070021964</v>
      </c>
      <c r="G100" s="16">
        <v>0.54980851606737569</v>
      </c>
      <c r="H100" s="7" t="s">
        <v>47</v>
      </c>
    </row>
    <row r="101" spans="1:8">
      <c r="A101" s="18">
        <v>98</v>
      </c>
      <c r="B101" s="16">
        <v>75.333969083329123</v>
      </c>
      <c r="C101" s="16">
        <v>1.1428954752632186</v>
      </c>
      <c r="D101" s="16">
        <v>0.40771738807145669</v>
      </c>
      <c r="E101" s="16">
        <v>26.874696568937679</v>
      </c>
      <c r="F101" s="16">
        <v>2.2805134181301909</v>
      </c>
      <c r="G101" s="16">
        <v>0.55140407553970749</v>
      </c>
      <c r="H101" s="7" t="s">
        <v>47</v>
      </c>
    </row>
    <row r="102" spans="1:8">
      <c r="A102" s="18">
        <v>99</v>
      </c>
      <c r="B102" s="16">
        <v>76.102683053567162</v>
      </c>
      <c r="C102" s="16">
        <v>1.154557673990394</v>
      </c>
      <c r="D102" s="16">
        <v>0.40867903055970656</v>
      </c>
      <c r="E102" s="16">
        <v>26.938083245188498</v>
      </c>
      <c r="F102" s="16">
        <v>2.2836781807843103</v>
      </c>
      <c r="G102" s="16">
        <v>0.55298905301625967</v>
      </c>
      <c r="H102" s="7" t="s">
        <v>47</v>
      </c>
    </row>
    <row r="103" spans="1:8">
      <c r="A103" s="19">
        <v>100</v>
      </c>
      <c r="B103" s="17">
        <v>76.871397023805216</v>
      </c>
      <c r="C103" s="17">
        <v>1.1662198727175697</v>
      </c>
      <c r="D103" s="17">
        <v>0.40960181570265053</v>
      </c>
      <c r="E103" s="17">
        <v>26.998908639053219</v>
      </c>
      <c r="F103" s="17">
        <v>2.2869311878985226</v>
      </c>
      <c r="G103" s="17">
        <v>0.55456349231115842</v>
      </c>
      <c r="H103" s="9" t="s">
        <v>47</v>
      </c>
    </row>
  </sheetData>
  <mergeCells count="1">
    <mergeCell ref="A1:H1"/>
  </mergeCells>
  <conditionalFormatting sqref="G4:G103">
    <cfRule type="expression" dxfId="4" priority="1">
      <formula>G4&lt;0.2</formula>
    </cfRule>
    <cfRule type="expression" dxfId="3" priority="2">
      <formula>AND(G4&gt;=0.2,G4&lt;0.3)</formula>
    </cfRule>
    <cfRule type="expression" dxfId="2" priority="3">
      <formula>AND(G4&gt;=0.3,G4&lt;0.52)</formula>
    </cfRule>
    <cfRule type="expression" dxfId="1" priority="4">
      <formula>AND(G4&gt;=0.52,G4&lt;0.7)</formula>
    </cfRule>
    <cfRule type="expression" dxfId="0" priority="5">
      <formula>G4&gt;=0.7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D1"/>
    </sheetView>
  </sheetViews>
  <sheetFormatPr defaultRowHeight="14.25"/>
  <cols>
    <col min="1" max="1" width="20" customWidth="1"/>
    <col min="2" max="2" width="66" customWidth="1"/>
    <col min="3" max="3" width="18" customWidth="1"/>
    <col min="4" max="4" width="70" customWidth="1"/>
  </cols>
  <sheetData>
    <row r="1" spans="1:4" ht="18">
      <c r="A1" s="22" t="s">
        <v>48</v>
      </c>
      <c r="B1" s="22"/>
      <c r="C1" s="22"/>
      <c r="D1" s="22"/>
    </row>
    <row r="3" spans="1:4" ht="15">
      <c r="A3" s="1" t="s">
        <v>49</v>
      </c>
      <c r="B3" s="2" t="s">
        <v>50</v>
      </c>
      <c r="C3" s="2" t="s">
        <v>51</v>
      </c>
      <c r="D3" s="3" t="s">
        <v>52</v>
      </c>
    </row>
    <row r="4" spans="1:4" ht="42" customHeight="1">
      <c r="A4" s="6" t="s">
        <v>53</v>
      </c>
      <c r="B4" s="4" t="s">
        <v>54</v>
      </c>
      <c r="C4" s="4" t="s">
        <v>55</v>
      </c>
      <c r="D4" s="7"/>
    </row>
    <row r="5" spans="1:4" ht="42" customHeight="1">
      <c r="A5" s="6" t="s">
        <v>9</v>
      </c>
      <c r="B5" s="4" t="s">
        <v>56</v>
      </c>
      <c r="C5" s="4" t="s">
        <v>57</v>
      </c>
      <c r="D5" s="7" t="s">
        <v>58</v>
      </c>
    </row>
    <row r="6" spans="1:4" ht="42" customHeight="1">
      <c r="A6" s="6" t="s">
        <v>59</v>
      </c>
      <c r="B6" s="4" t="s">
        <v>60</v>
      </c>
      <c r="C6" s="4" t="s">
        <v>57</v>
      </c>
      <c r="D6" s="7" t="s">
        <v>61</v>
      </c>
    </row>
    <row r="7" spans="1:4" ht="42" customHeight="1">
      <c r="A7" s="6" t="s">
        <v>62</v>
      </c>
      <c r="B7" s="4" t="s">
        <v>63</v>
      </c>
      <c r="C7" s="4" t="s">
        <v>64</v>
      </c>
      <c r="D7" s="7" t="s">
        <v>65</v>
      </c>
    </row>
    <row r="8" spans="1:4" ht="42" customHeight="1">
      <c r="A8" s="6" t="s">
        <v>66</v>
      </c>
      <c r="B8" s="4" t="s">
        <v>67</v>
      </c>
      <c r="C8" s="4" t="s">
        <v>68</v>
      </c>
      <c r="D8" s="7" t="s">
        <v>65</v>
      </c>
    </row>
    <row r="9" spans="1:4" ht="42" customHeight="1">
      <c r="A9" s="8" t="s">
        <v>69</v>
      </c>
      <c r="B9" s="10" t="s">
        <v>70</v>
      </c>
      <c r="C9" s="10" t="s">
        <v>71</v>
      </c>
      <c r="D9" s="9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Design_Calculator</vt:lpstr>
      <vt:lpstr>Alpha_Regime_Table</vt:lpstr>
      <vt:lpstr>Model_Notes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Slamet slamet</cp:lastModifiedBy>
  <dcterms:modified xsi:type="dcterms:W3CDTF">2026-06-26T04:01:53Z</dcterms:modified>
</cp:coreProperties>
</file>