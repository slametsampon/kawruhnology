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934B112F-7CC6-4B20-B762-4D3740DAB07F}" xr6:coauthVersionLast="47" xr6:coauthVersionMax="47" xr10:uidLastSave="{00000000-0000-0000-0000-000000000000}"/>
  <bookViews>
    <workbookView xWindow="390" yWindow="0" windowWidth="15180" windowHeight="15600" xr2:uid="{F4E50480-BC8F-4CE4-8877-583DEB5739B1}"/>
  </bookViews>
  <sheets>
    <sheet name="INPUT" sheetId="7" r:id="rId1"/>
    <sheet name="NERACA_O2" sheetId="8" r:id="rId2"/>
    <sheet name="BLOWER_DIFUSER" sheetId="9" r:id="rId3"/>
    <sheet name="AERATOR_AOTR" sheetId="10" r:id="rId4"/>
    <sheet name="ARUS_AIRLIFT" sheetId="11" r:id="rId5"/>
    <sheet name="SIFON_DRAIN" sheetId="12" r:id="rId6"/>
    <sheet name="OUR_OTR" sheetId="13" r:id="rId7"/>
    <sheet name="PAKET_PRODUK" sheetId="14" r:id="rId8"/>
    <sheet name="DASHBOARD" sheetId="15" r:id="rId9"/>
  </sheets>
  <definedNames>
    <definedName name="ExternalData_1" localSheetId="0" hidden="1">INPUT!$A$1:$E$33</definedName>
    <definedName name="ExternalData_2" localSheetId="1" hidden="1">NERACA_O2!$A$1:$D$14</definedName>
    <definedName name="ExternalData_3" localSheetId="2" hidden="1">BLOWER_DIFUSER!$A$1:$E$12</definedName>
    <definedName name="ExternalData_4" localSheetId="3" hidden="1">AERATOR_AOTR!$A$1:$G$14</definedName>
    <definedName name="ExternalData_5" localSheetId="4" hidden="1">ARUS_AIRLIFT!$A$1:$F$11</definedName>
    <definedName name="ExternalData_6" localSheetId="5" hidden="1">SIFON_DRAIN!$A$1:$E$8</definedName>
    <definedName name="ExternalData_7" localSheetId="6" hidden="1">OUR_OTR!$A$1:$E$14</definedName>
    <definedName name="ExternalData_8" localSheetId="7" hidden="1">PAKET_PRODUK!$A$1:$D$14</definedName>
    <definedName name="ExternalData_9" localSheetId="8" hidden="1">DASHBOARD!$A$1:$D$20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5" l="1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13" i="13"/>
  <c r="B11" i="13"/>
  <c r="B6" i="13"/>
  <c r="B7" i="13" s="1"/>
  <c r="B12" i="13" s="1"/>
  <c r="B14" i="13" s="1"/>
  <c r="B2" i="13"/>
  <c r="B2" i="12"/>
  <c r="B3" i="12" s="1"/>
  <c r="B11" i="11"/>
  <c r="B9" i="11"/>
  <c r="B10" i="11"/>
  <c r="B8" i="11"/>
  <c r="B7" i="11"/>
  <c r="B14" i="10"/>
  <c r="B13" i="10"/>
  <c r="B10" i="10"/>
  <c r="B9" i="10"/>
  <c r="B8" i="10"/>
  <c r="B7" i="10"/>
  <c r="B6" i="10"/>
  <c r="B11" i="10" s="1"/>
  <c r="B5" i="10"/>
  <c r="B4" i="10"/>
  <c r="B3" i="10"/>
  <c r="B2" i="10"/>
  <c r="B5" i="9"/>
  <c r="B3" i="9"/>
  <c r="B2" i="9"/>
  <c r="B4" i="9" s="1"/>
  <c r="B6" i="9" s="1"/>
  <c r="B7" i="9" s="1"/>
  <c r="B8" i="8"/>
  <c r="B7" i="8"/>
  <c r="B3" i="8"/>
  <c r="B4" i="8" s="1"/>
  <c r="B5" i="8" s="1"/>
  <c r="B6" i="8" s="1"/>
  <c r="B2" i="8"/>
  <c r="B14" i="7"/>
  <c r="B11" i="7"/>
  <c r="B9" i="7"/>
  <c r="B7" i="7"/>
  <c r="B5" i="7"/>
  <c r="B3" i="7"/>
  <c r="B6" i="12" l="1"/>
  <c r="B7" i="12"/>
  <c r="B12" i="10"/>
  <c r="B12" i="9"/>
  <c r="B11" i="9"/>
  <c r="B10" i="9"/>
  <c r="B9" i="9"/>
  <c r="B8" i="9"/>
  <c r="B9" i="8"/>
  <c r="B10" i="8" l="1"/>
  <c r="B11" i="8" s="1"/>
  <c r="B12" i="8" s="1"/>
  <c r="B13" i="8" s="1"/>
  <c r="B1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CDB0C2-244F-43EF-B3CE-75703B4D0E9A}" keepAlive="1" name="Query - AERATOR_AOTR" description="Connection to the 'AERATOR_AOTR' query in the workbook." type="5" refreshedVersion="8" background="1" saveData="1">
    <dbPr connection="Provider=Microsoft.Mashup.OleDb.1;Data Source=$Workbook$;Location=AERATOR_AOTR;Extended Properties=&quot;&quot;" command="SELECT * FROM [AERATOR_AOTR]"/>
  </connection>
  <connection id="2" xr16:uid="{0579A9D8-CA15-4A40-8225-758B19E25F9C}" keepAlive="1" name="Query - ARUS_AIRLIFT" description="Connection to the 'ARUS_AIRLIFT' query in the workbook." type="5" refreshedVersion="8" background="1" saveData="1">
    <dbPr connection="Provider=Microsoft.Mashup.OleDb.1;Data Source=$Workbook$;Location=ARUS_AIRLIFT;Extended Properties=&quot;&quot;" command="SELECT * FROM [ARUS_AIRLIFT]"/>
  </connection>
  <connection id="3" xr16:uid="{F9C9D8B3-E9D5-44DD-A40D-967B65DE0DF3}" keepAlive="1" name="Query - BLOWER_DIFUSER" description="Connection to the 'BLOWER_DIFUSER' query in the workbook." type="5" refreshedVersion="8" background="1" saveData="1">
    <dbPr connection="Provider=Microsoft.Mashup.OleDb.1;Data Source=$Workbook$;Location=BLOWER_DIFUSER;Extended Properties=&quot;&quot;" command="SELECT * FROM [BLOWER_DIFUSER]"/>
  </connection>
  <connection id="4" xr16:uid="{DEE81EE5-60BE-4CDD-B065-8EDDB7A8C2D7}" keepAlive="1" name="Query - DASHBOARD" description="Connection to the 'DASHBOARD' query in the workbook." type="5" refreshedVersion="8" background="1" saveData="1">
    <dbPr connection="Provider=Microsoft.Mashup.OleDb.1;Data Source=$Workbook$;Location=DASHBOARD;Extended Properties=&quot;&quot;" command="SELECT * FROM [DASHBOARD]"/>
  </connection>
  <connection id="5" xr16:uid="{704D7118-91A4-4746-90D9-495639BB9FDB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  <connection id="6" xr16:uid="{6814EEAF-C3B9-4A2D-AA6A-16B59D1C41D0}" keepAlive="1" name="Query - NERACA_O2" description="Connection to the 'NERACA_O2' query in the workbook." type="5" refreshedVersion="8" background="1" saveData="1">
    <dbPr connection="Provider=Microsoft.Mashup.OleDb.1;Data Source=$Workbook$;Location=NERACA_O2;Extended Properties=&quot;&quot;" command="SELECT * FROM [NERACA_O2]"/>
  </connection>
  <connection id="7" xr16:uid="{AE7B38F7-8171-49C9-B872-77E834CCCE26}" keepAlive="1" name="Query - OUR_OTR" description="Connection to the 'OUR_OTR' query in the workbook." type="5" refreshedVersion="8" background="1" saveData="1">
    <dbPr connection="Provider=Microsoft.Mashup.OleDb.1;Data Source=$Workbook$;Location=OUR_OTR;Extended Properties=&quot;&quot;" command="SELECT * FROM [OUR_OTR]"/>
  </connection>
  <connection id="8" xr16:uid="{2A9F72C5-BC6A-4A17-AC10-60C06189BEE9}" keepAlive="1" name="Query - PAKET_PRODUK" description="Connection to the 'PAKET_PRODUK' query in the workbook." type="5" refreshedVersion="8" background="1" saveData="1">
    <dbPr connection="Provider=Microsoft.Mashup.OleDb.1;Data Source=$Workbook$;Location=PAKET_PRODUK;Extended Properties=&quot;&quot;" command="SELECT * FROM [PAKET_PRODUK]"/>
  </connection>
  <connection id="9" xr16:uid="{F8B6C267-8880-4897-AE51-0A10AE0D44B3}" keepAlive="1" name="Query - SIFON_DRAIN" description="Connection to the 'SIFON_DRAIN' query in the workbook." type="5" refreshedVersion="8" background="1" saveData="1">
    <dbPr connection="Provider=Microsoft.Mashup.OleDb.1;Data Source=$Workbook$;Location=SIFON_DRAIN;Extended Properties=&quot;&quot;" command="SELECT * FROM [SIFON_DRAIN]"/>
  </connection>
</connections>
</file>

<file path=xl/sharedStrings.xml><?xml version="1.0" encoding="utf-8"?>
<sst xmlns="http://schemas.openxmlformats.org/spreadsheetml/2006/main" count="602" uniqueCount="349">
  <si>
    <t>Column1</t>
  </si>
  <si>
    <t>Parameter</t>
  </si>
  <si>
    <t>Simbol</t>
  </si>
  <si>
    <t>Nilai</t>
  </si>
  <si>
    <t>Satuan</t>
  </si>
  <si>
    <t>Keterangan</t>
  </si>
  <si>
    <t>Diameter kolam</t>
  </si>
  <si>
    <t>D</t>
  </si>
  <si>
    <t>2</t>
  </si>
  <si>
    <t>m</t>
  </si>
  <si>
    <t>Kolam D2</t>
  </si>
  <si>
    <t>Jari-jari kolam</t>
  </si>
  <si>
    <t>r</t>
  </si>
  <si>
    <t>Diameter dibagi 2</t>
  </si>
  <si>
    <t>Kedalaman air</t>
  </si>
  <si>
    <t>h</t>
  </si>
  <si>
    <t>0.8</t>
  </si>
  <si>
    <t>Kedalaman efektif air</t>
  </si>
  <si>
    <t>Volume kolam</t>
  </si>
  <si>
    <t>V</t>
  </si>
  <si>
    <t>m3</t>
  </si>
  <si>
    <t>Volume tabung</t>
  </si>
  <si>
    <t>Kepadatan tebar</t>
  </si>
  <si>
    <t>SD</t>
  </si>
  <si>
    <t>300</t>
  </si>
  <si>
    <t>ekor/m3</t>
  </si>
  <si>
    <t>Asumsi desain</t>
  </si>
  <si>
    <t>Jumlah ikan</t>
  </si>
  <si>
    <t>N</t>
  </si>
  <si>
    <t>ekor</t>
  </si>
  <si>
    <t>Volume x kepadatan</t>
  </si>
  <si>
    <t>Bobot rata-rata</t>
  </si>
  <si>
    <t>W</t>
  </si>
  <si>
    <t>0.05</t>
  </si>
  <si>
    <t>kg/ekor</t>
  </si>
  <si>
    <t>50 gram per ekor</t>
  </si>
  <si>
    <t>Biomassa</t>
  </si>
  <si>
    <t>B</t>
  </si>
  <si>
    <t>kg</t>
  </si>
  <si>
    <t>Jumlah ikan x bobot</t>
  </si>
  <si>
    <t>Feeding rate</t>
  </si>
  <si>
    <t>FR</t>
  </si>
  <si>
    <t>0.03</t>
  </si>
  <si>
    <t>fraksi/hari</t>
  </si>
  <si>
    <t>3 persen biomassa</t>
  </si>
  <si>
    <t>Pakan harian</t>
  </si>
  <si>
    <t>F</t>
  </si>
  <si>
    <t>kg/hari</t>
  </si>
  <si>
    <t>Biomassa x feeding rate</t>
  </si>
  <si>
    <t>Protein pakan</t>
  </si>
  <si>
    <t>CP</t>
  </si>
  <si>
    <t>0.32</t>
  </si>
  <si>
    <t>fraksi</t>
  </si>
  <si>
    <t>32 persen</t>
  </si>
  <si>
    <t>Molase terhadap pakan</t>
  </si>
  <si>
    <t>MR</t>
  </si>
  <si>
    <t>0.10</t>
  </si>
  <si>
    <t>10 persen dari pakan</t>
  </si>
  <si>
    <t>Molase harian</t>
  </si>
  <si>
    <t>M</t>
  </si>
  <si>
    <t>Pakan x rasio molase</t>
  </si>
  <si>
    <t>Konsumsi O2 ikan</t>
  </si>
  <si>
    <t>q_ikan</t>
  </si>
  <si>
    <t>0.35</t>
  </si>
  <si>
    <t>g O2/kg/jam</t>
  </si>
  <si>
    <t>Asumsi moderat</t>
  </si>
  <si>
    <t>Retensi nitrogen ikan</t>
  </si>
  <si>
    <t>RN</t>
  </si>
  <si>
    <t>0.30</t>
  </si>
  <si>
    <t>30 persen</t>
  </si>
  <si>
    <t>Fraksi nitrifikasi</t>
  </si>
  <si>
    <t>f_nit</t>
  </si>
  <si>
    <t>0.40</t>
  </si>
  <si>
    <t>40 persen N limbah</t>
  </si>
  <si>
    <t>COD molase</t>
  </si>
  <si>
    <t>COD_C</t>
  </si>
  <si>
    <t>1.00</t>
  </si>
  <si>
    <t>kg O2/kg molase</t>
  </si>
  <si>
    <t>Asumsi praktis</t>
  </si>
  <si>
    <t>Fraksi oksidasi karbon</t>
  </si>
  <si>
    <t>f_oks</t>
  </si>
  <si>
    <t>0.70</t>
  </si>
  <si>
    <t>70 persen</t>
  </si>
  <si>
    <t>Faktor BOD pakan</t>
  </si>
  <si>
    <t>k_BOD</t>
  </si>
  <si>
    <t>0.25</t>
  </si>
  <si>
    <t>kg O2/kg pakan</t>
  </si>
  <si>
    <t>Asumsi pakan cukup baik</t>
  </si>
  <si>
    <t>Faktor flok/endapan</t>
  </si>
  <si>
    <t>f_bg</t>
  </si>
  <si>
    <t>0.20</t>
  </si>
  <si>
    <t>20 persen subtotal</t>
  </si>
  <si>
    <t>Safety factor</t>
  </si>
  <si>
    <t>SF</t>
  </si>
  <si>
    <t>1.50</t>
  </si>
  <si>
    <t>Faktor keamanan</t>
  </si>
  <si>
    <t>Peak factor</t>
  </si>
  <si>
    <t>PF</t>
  </si>
  <si>
    <t>1.80</t>
  </si>
  <si>
    <t>Faktor puncak</t>
  </si>
  <si>
    <t>OTE difuser</t>
  </si>
  <si>
    <t>OTE</t>
  </si>
  <si>
    <t>0.06</t>
  </si>
  <si>
    <t>6 persen</t>
  </si>
  <si>
    <t>Cadangan blower</t>
  </si>
  <si>
    <t>CB</t>
  </si>
  <si>
    <t>20 persen</t>
  </si>
  <si>
    <t>DO target</t>
  </si>
  <si>
    <t>DO_target</t>
  </si>
  <si>
    <t>5</t>
  </si>
  <si>
    <t>mg/L</t>
  </si>
  <si>
    <t>Target DO kolam</t>
  </si>
  <si>
    <t>Suhu air</t>
  </si>
  <si>
    <t>T</t>
  </si>
  <si>
    <t>30</t>
  </si>
  <si>
    <t>C</t>
  </si>
  <si>
    <t>Suhu desain</t>
  </si>
  <si>
    <t>Alpha bioflok</t>
  </si>
  <si>
    <t>alpha</t>
  </si>
  <si>
    <t>0.60</t>
  </si>
  <si>
    <t>Faktor air kotor/bioflok</t>
  </si>
  <si>
    <t>Theta</t>
  </si>
  <si>
    <t>theta</t>
  </si>
  <si>
    <t>1.024</t>
  </si>
  <si>
    <t>-</t>
  </si>
  <si>
    <t>Faktor suhu</t>
  </si>
  <si>
    <t>Cs 30C</t>
  </si>
  <si>
    <t>Cs</t>
  </si>
  <si>
    <t>7.44</t>
  </si>
  <si>
    <t>DO jenuh 30C</t>
  </si>
  <si>
    <t>Cs 20C</t>
  </si>
  <si>
    <t>Cs20</t>
  </si>
  <si>
    <t>9.08</t>
  </si>
  <si>
    <t>DO jenuh 20C</t>
  </si>
  <si>
    <t>Beta</t>
  </si>
  <si>
    <t>beta</t>
  </si>
  <si>
    <t>Air tawar</t>
  </si>
  <si>
    <t>SOTR aerator</t>
  </si>
  <si>
    <t>SOTR</t>
  </si>
  <si>
    <t>kg O2/jam</t>
  </si>
  <si>
    <t>Contoh spesifikasi standar</t>
  </si>
  <si>
    <t>Komponen</t>
  </si>
  <si>
    <t>Rumus Excel</t>
  </si>
  <si>
    <t>O2 ikan</t>
  </si>
  <si>
    <t/>
  </si>
  <si>
    <t>kg O2/hari</t>
  </si>
  <si>
    <t>Biomassa x q ikan x 24</t>
  </si>
  <si>
    <t>N pakan</t>
  </si>
  <si>
    <t>kg N/hari</t>
  </si>
  <si>
    <t>Pakan x CP / 6.25</t>
  </si>
  <si>
    <t>N limbah</t>
  </si>
  <si>
    <t>N pakan x 70 persen</t>
  </si>
  <si>
    <t>N nitrifikasi</t>
  </si>
  <si>
    <t>N limbah x fraksi nitrifikasi</t>
  </si>
  <si>
    <t>O2 nitrogen</t>
  </si>
  <si>
    <t>Kebutuhan O2 nitrifikasi</t>
  </si>
  <si>
    <t>O2 karbon/molase</t>
  </si>
  <si>
    <t>Molase x COD x fraksi oksidasi</t>
  </si>
  <si>
    <t>O2 organik</t>
  </si>
  <si>
    <t>Pakan x faktor BOD</t>
  </si>
  <si>
    <t>Subtotal O2</t>
  </si>
  <si>
    <t>Ikan + N + C + organik</t>
  </si>
  <si>
    <t>O2 flok/endapan</t>
  </si>
  <si>
    <t>Subtotal x faktor flok</t>
  </si>
  <si>
    <t>O2 total operasional</t>
  </si>
  <si>
    <t>Subtotal + flok/endapan</t>
  </si>
  <si>
    <t>O2 desain</t>
  </si>
  <si>
    <t>O2 total x safety factor</t>
  </si>
  <si>
    <t>O2 rata-rata per jam</t>
  </si>
  <si>
    <t>O2 desain / 24</t>
  </si>
  <si>
    <t>O2 puncak</t>
  </si>
  <si>
    <t>O2 rata-rata x peak factor</t>
  </si>
  <si>
    <t>Dari sheet neraca O2</t>
  </si>
  <si>
    <t>Efisiensi transfer aktual</t>
  </si>
  <si>
    <t>Udara teoritis</t>
  </si>
  <si>
    <t>L/menit</t>
  </si>
  <si>
    <t>Kebutuhan udara tanpa cadangan</t>
  </si>
  <si>
    <t>Blower minimum</t>
  </si>
  <si>
    <t>Udara teoritis + cadangan</t>
  </si>
  <si>
    <t>Rekomendasi bawah</t>
  </si>
  <si>
    <t>Dibulatkan ke atas</t>
  </si>
  <si>
    <t>Rekomendasi atas</t>
  </si>
  <si>
    <t>Ruang aman praktis</t>
  </si>
  <si>
    <t>Udara ke airlift 60%</t>
  </si>
  <si>
    <t>Pembagian bawah</t>
  </si>
  <si>
    <t>Udara ke airlift 70%</t>
  </si>
  <si>
    <t>Pembagian atas</t>
  </si>
  <si>
    <t>Udara ke difuser 30%</t>
  </si>
  <si>
    <t>Udara ke difuser 40%</t>
  </si>
  <si>
    <t>_1</t>
  </si>
  <si>
    <t>Spesifikasi standar</t>
  </si>
  <si>
    <t>Alpha</t>
  </si>
  <si>
    <t>Faktor air bioflok</t>
  </si>
  <si>
    <t>Faktor air tawar</t>
  </si>
  <si>
    <t>DO jenuh suhu aktual</t>
  </si>
  <si>
    <t>Target DO</t>
  </si>
  <si>
    <t>theta^(T-20)</t>
  </si>
  <si>
    <t>Driving force</t>
  </si>
  <si>
    <t>(beta Cs - DO target)/Cs20</t>
  </si>
  <si>
    <t>AOTR aerator</t>
  </si>
  <si>
    <t>SOTR terkoreksi</t>
  </si>
  <si>
    <t>O2 puncak kolam</t>
  </si>
  <si>
    <t>Kebutuhan puncak</t>
  </si>
  <si>
    <t>Status</t>
  </si>
  <si>
    <t>Cukup secara O2</t>
  </si>
  <si>
    <t>Belum cukup)</t>
  </si>
  <si>
    <t xml:space="preserve">- </t>
  </si>
  <si>
    <t>Panjang ikan kecil</t>
  </si>
  <si>
    <t>L_kecil</t>
  </si>
  <si>
    <t>10 cm</t>
  </si>
  <si>
    <t>Panjang ikan besar</t>
  </si>
  <si>
    <t>L_besar</t>
  </si>
  <si>
    <t>0.15</t>
  </si>
  <si>
    <t>15 cm</t>
  </si>
  <si>
    <t>Target arus bawah</t>
  </si>
  <si>
    <t>v_target_low</t>
  </si>
  <si>
    <t>m/s</t>
  </si>
  <si>
    <t>Batas bawah praktis</t>
  </si>
  <si>
    <t>Target arus atas</t>
  </si>
  <si>
    <t>v_target_high</t>
  </si>
  <si>
    <t>0.12</t>
  </si>
  <si>
    <t>Batas atas target</t>
  </si>
  <si>
    <t>Batas maksimum</t>
  </si>
  <si>
    <t>v_max</t>
  </si>
  <si>
    <t>Batas atas praktis</t>
  </si>
  <si>
    <t>v max ikan kecil</t>
  </si>
  <si>
    <t>1 BL/s untuk ikan 10 cm</t>
  </si>
  <si>
    <t>v max ikan besar</t>
  </si>
  <si>
    <t>1 BL/s untuk ikan 15 cm</t>
  </si>
  <si>
    <t>Status arus 0.05</t>
  </si>
  <si>
    <t>Contoh logika</t>
  </si>
  <si>
    <t>Status arus 0.12</t>
  </si>
  <si>
    <t>Status arus 0.15</t>
  </si>
  <si>
    <t>Dari input</t>
  </si>
  <si>
    <t>Luas dasar</t>
  </si>
  <si>
    <t>A</t>
  </si>
  <si>
    <t>m2</t>
  </si>
  <si>
    <t>Luas dasar kolam</t>
  </si>
  <si>
    <t>Drain minimum per m2</t>
  </si>
  <si>
    <t>Qmin_m2</t>
  </si>
  <si>
    <t>L/menit/m2</t>
  </si>
  <si>
    <t>Acuan flushing padatan</t>
  </si>
  <si>
    <t>Drain maksimum per m2</t>
  </si>
  <si>
    <t>Qmax_m2</t>
  </si>
  <si>
    <t>6</t>
  </si>
  <si>
    <t>Q drain minimum</t>
  </si>
  <si>
    <t>A x 5</t>
  </si>
  <si>
    <t>Q drain maksimum</t>
  </si>
  <si>
    <t>A x 6</t>
  </si>
  <si>
    <t>Catatan</t>
  </si>
  <si>
    <t>Untuk D2 diterapkan sebagai sifon berkala bukan drain kontinu</t>
  </si>
  <si>
    <t>Input/Rumus</t>
  </si>
  <si>
    <t>Volume efektif</t>
  </si>
  <si>
    <t>DO awal OUR</t>
  </si>
  <si>
    <t>DO1</t>
  </si>
  <si>
    <t>6.0</t>
  </si>
  <si>
    <t>Isi manual</t>
  </si>
  <si>
    <t>DO akhir OUR</t>
  </si>
  <si>
    <t>DO2</t>
  </si>
  <si>
    <t>5.6</t>
  </si>
  <si>
    <t>Durasi uji OUR</t>
  </si>
  <si>
    <t>t_OUR</t>
  </si>
  <si>
    <t>10</t>
  </si>
  <si>
    <t>menit</t>
  </si>
  <si>
    <t>Penurunan DO per jam</t>
  </si>
  <si>
    <t>mg/L/jam</t>
  </si>
  <si>
    <t>Konversi ke per jam</t>
  </si>
  <si>
    <t>OUR</t>
  </si>
  <si>
    <t>Laju konsumsi O2</t>
  </si>
  <si>
    <t>DO awal OTR</t>
  </si>
  <si>
    <t>DO3</t>
  </si>
  <si>
    <t>DO akhir OTR</t>
  </si>
  <si>
    <t>DO4</t>
  </si>
  <si>
    <t>6.2</t>
  </si>
  <si>
    <t>Durasi uji OTR</t>
  </si>
  <si>
    <t>t_OTR</t>
  </si>
  <si>
    <t>20</t>
  </si>
  <si>
    <t>Kenaikan DO per jam</t>
  </si>
  <si>
    <t>OTR</t>
  </si>
  <si>
    <t>OUR + kenaikan DO</t>
  </si>
  <si>
    <t>O2 puncak desain</t>
  </si>
  <si>
    <t>Pembanding</t>
  </si>
  <si>
    <t>Status OTR</t>
  </si>
  <si>
    <t>Keputusan</t>
  </si>
  <si>
    <t>Kategori</t>
  </si>
  <si>
    <t>Spesifikasi Minimum</t>
  </si>
  <si>
    <t>Rekomendasi D2</t>
  </si>
  <si>
    <t>Blower udara</t>
  </si>
  <si>
    <t>110-130 L/menit</t>
  </si>
  <si>
    <t>1 unit 120 L/menit</t>
  </si>
  <si>
    <t>Utama untuk airlift dan difuser</t>
  </si>
  <si>
    <t>Difuser airlift</t>
  </si>
  <si>
    <t>gelembung sedang/fine bubble kuat</t>
  </si>
  <si>
    <t>1 titik dalam pipa airlift</t>
  </si>
  <si>
    <t>Untuk dorong air naik</t>
  </si>
  <si>
    <t>Difuser tambahan</t>
  </si>
  <si>
    <t>fine bubble 6-10 inch</t>
  </si>
  <si>
    <t>1-2 titik</t>
  </si>
  <si>
    <t>Untuk pemerataan DO</t>
  </si>
  <si>
    <t>Airlift-pump</t>
  </si>
  <si>
    <t>pipa PVC tegak bawah terbuka</t>
  </si>
  <si>
    <t>1 unit tangensial</t>
  </si>
  <si>
    <t>Outlet mengikuti dinding</t>
  </si>
  <si>
    <t>Aerator tambahan</t>
  </si>
  <si>
    <t>kecil/emergency</t>
  </si>
  <si>
    <t>opsional</t>
  </si>
  <si>
    <t>Cadangan DO dan degassing</t>
  </si>
  <si>
    <t>DO meter</t>
  </si>
  <si>
    <t>0-20 mg/L</t>
  </si>
  <si>
    <t>resolusi 0.1 mg/L</t>
  </si>
  <si>
    <t>Wajib untuk validasi</t>
  </si>
  <si>
    <t>pH meter</t>
  </si>
  <si>
    <t>digital kalibrasi</t>
  </si>
  <si>
    <t>1 unit</t>
  </si>
  <si>
    <t>Target pH 6.8-8.0</t>
  </si>
  <si>
    <t>Imhoff cone</t>
  </si>
  <si>
    <t>1000 ml</t>
  </si>
  <si>
    <t>Alternatif gelas ukur 1 L</t>
  </si>
  <si>
    <t>TDS/EC meter</t>
  </si>
  <si>
    <t>portabel</t>
  </si>
  <si>
    <t>Bukan pengganti DO meter</t>
  </si>
  <si>
    <t>Manifold + valve</t>
  </si>
  <si>
    <t>bisa atur debit</t>
  </si>
  <si>
    <t>2-3 jalur</t>
  </si>
  <si>
    <t>Wajib untuk koreksi udara</t>
  </si>
  <si>
    <t>Check valve</t>
  </si>
  <si>
    <t>anti air balik</t>
  </si>
  <si>
    <t>1-2 unit</t>
  </si>
  <si>
    <t>Melindungi blower</t>
  </si>
  <si>
    <t>Selang aerasi</t>
  </si>
  <si>
    <t>sesuai outlet blower</t>
  </si>
  <si>
    <t>cukup panjang</t>
  </si>
  <si>
    <t>Hindari tekukan dan bocor</t>
  </si>
  <si>
    <t>Backup listrik</t>
  </si>
  <si>
    <t>UPS/genset/aerator DC</t>
  </si>
  <si>
    <t>opsional sangat disarankan</t>
  </si>
  <si>
    <t>Kritis saat padat tebar</t>
  </si>
  <si>
    <t>Indikator</t>
  </si>
  <si>
    <t>Rumus</t>
  </si>
  <si>
    <t>O2 total</t>
  </si>
  <si>
    <t>Blower rekomendasi bawah</t>
  </si>
  <si>
    <t>Blower rekomendasi atas</t>
  </si>
  <si>
    <t>Udara airlift bawah</t>
  </si>
  <si>
    <t>Udara airlift atas</t>
  </si>
  <si>
    <t>Udara difuser bawah</t>
  </si>
  <si>
    <t>Udara difuser atas</t>
  </si>
  <si>
    <t>Batas arus maksimum</t>
  </si>
  <si>
    <t>OUR lapangan</t>
  </si>
  <si>
    <t>OTR 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</si>
</sst>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5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CAA7E7D-B576-490B-AACB-E30E04CF353F}" autoFormatId="16" applyNumberFormats="0" applyBorderFormats="0" applyFontFormats="0" applyPatternFormats="0" applyAlignmentFormats="0" applyWidthHeightFormats="0">
  <queryTableRefresh nextId="6">
    <queryTableFields count="5">
      <queryTableField id="1" name="Parameter" tableColumnId="1"/>
      <queryTableField id="2" name="Nilai" tableColumnId="2"/>
      <queryTableField id="3" name="Satuan" tableColumnId="3"/>
      <queryTableField id="4" name="Simbol" tableColumnId="4"/>
      <queryTableField id="5" name="Keteranga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FA9B6B1-7E45-451C-A918-B244FCA57C2C}" autoFormatId="16" applyNumberFormats="0" applyBorderFormats="0" applyFontFormats="0" applyPatternFormats="0" applyAlignmentFormats="0" applyWidthHeightFormats="0">
  <queryTableRefresh nextId="6">
    <queryTableFields count="4">
      <queryTableField id="1" name="Komponen" tableColumnId="1"/>
      <queryTableField id="2" name="Rumus Excel" tableColumnId="2"/>
      <queryTableField id="4" name="Satuan" tableColumnId="4"/>
      <queryTableField id="5" name="Keterangan" tableColumnId="5"/>
    </queryTableFields>
    <queryTableDeletedFields count="1">
      <deletedField name="Nilai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95111DF-D975-4767-A256-D9BC3875DFB3}" autoFormatId="16" applyNumberFormats="0" applyBorderFormats="0" applyFontFormats="0" applyPatternFormats="0" applyAlignmentFormats="0" applyWidthHeightFormats="0">
  <queryTableRefresh nextId="7">
    <queryTableFields count="5">
      <queryTableField id="1" name="Parameter" tableColumnId="1"/>
      <queryTableField id="2" name="Rumus Excel" tableColumnId="2"/>
      <queryTableField id="4" name="Satuan" tableColumnId="4"/>
      <queryTableField id="5" name="Keterangan" tableColumnId="5"/>
      <queryTableField id="6" name="Column1" tableColumnId="6"/>
    </queryTableFields>
    <queryTableDeletedFields count="1">
      <deletedField name="Nilai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0FC6DF0-3393-4BE5-90C3-B41F24D7DBAC}" autoFormatId="16" applyNumberFormats="0" applyBorderFormats="0" applyFontFormats="0" applyPatternFormats="0" applyAlignmentFormats="0" applyWidthHeightFormats="0">
  <queryTableRefresh nextId="8">
    <queryTableFields count="7">
      <queryTableField id="1" name="Parameter" tableColumnId="1"/>
      <queryTableField id="2" name="Rumus Excel" tableColumnId="2"/>
      <queryTableField id="3" name="Nilai" tableColumnId="3"/>
      <queryTableField id="4" name="Satuan" tableColumnId="4"/>
      <queryTableField id="5" name="Keterangan" tableColumnId="5"/>
      <queryTableField id="6" name="Column1" tableColumnId="6"/>
      <queryTableField id="7" name="_1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F30847F-4973-4F79-A316-4838AB57E9B1}" autoFormatId="16" applyNumberFormats="0" applyBorderFormats="0" applyFontFormats="0" applyPatternFormats="0" applyAlignmentFormats="0" applyWidthHeightFormats="0">
  <queryTableRefresh nextId="8">
    <queryTableFields count="6">
      <queryTableField id="1" name="Parameter" tableColumnId="1"/>
      <queryTableField id="2" name="Rumus Excel" tableColumnId="2"/>
      <queryTableField id="3" name="Nilai" tableColumnId="3"/>
      <queryTableField id="4" name="Satuan" tableColumnId="4"/>
      <queryTableField id="5" name="Keterangan" tableColumnId="5"/>
      <queryTableField id="6" name="Column1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2297884B-ECC7-49FD-BE30-AB4D8A3D588C}" autoFormatId="16" applyNumberFormats="0" applyBorderFormats="0" applyFontFormats="0" applyPatternFormats="0" applyAlignmentFormats="0" applyWidthHeightFormats="0">
  <queryTableRefresh nextId="7">
    <queryTableFields count="5">
      <queryTableField id="1" name="Parameter" tableColumnId="1"/>
      <queryTableField id="2" name="Rumus Excel" tableColumnId="2"/>
      <queryTableField id="3" name="Nilai" tableColumnId="3"/>
      <queryTableField id="4" name="Satuan" tableColumnId="4"/>
      <queryTableField id="5" name="Keteranga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EDF5BEC-795B-4A89-8C35-11620FA0F633}" autoFormatId="16" applyNumberFormats="0" applyBorderFormats="0" applyFontFormats="0" applyPatternFormats="0" applyAlignmentFormats="0" applyWidthHeightFormats="0">
  <queryTableRefresh nextId="8">
    <queryTableFields count="5">
      <queryTableField id="1" name="Parameter" tableColumnId="1"/>
      <queryTableField id="2" name="Input/Rumus" tableColumnId="2"/>
      <queryTableField id="3" name="Nilai" tableColumnId="3"/>
      <queryTableField id="4" name="Satuan" tableColumnId="4"/>
      <queryTableField id="5" name="Keterangan" tableColumnId="5"/>
    </queryTableFields>
    <queryTableDeletedFields count="1">
      <deletedField name="Column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2502376-FA7A-4988-93CE-61E21117D0BB}" autoFormatId="16" applyNumberFormats="0" applyBorderFormats="0" applyFontFormats="0" applyPatternFormats="0" applyAlignmentFormats="0" applyWidthHeightFormats="0">
  <queryTableRefresh nextId="5">
    <queryTableFields count="4">
      <queryTableField id="1" name="Kategori" tableColumnId="1"/>
      <queryTableField id="2" name="Spesifikasi Minimum" tableColumnId="2"/>
      <queryTableField id="3" name="Rekomendasi D2" tableColumnId="3"/>
      <queryTableField id="4" name="Catatan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A6701274-432E-4AC3-A387-48221806966E}" autoFormatId="16" applyNumberFormats="0" applyBorderFormats="0" applyFontFormats="0" applyPatternFormats="0" applyAlignmentFormats="0" applyWidthHeightFormats="0">
  <queryTableRefresh nextId="5">
    <queryTableFields count="4">
      <queryTableField id="1" name="Indikator" tableColumnId="1"/>
      <queryTableField id="2" name="Rumus" tableColumnId="2"/>
      <queryTableField id="3" name="Satuan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F0F01A-996F-4410-B6B4-DF796C8B7F07}" name="INPUT" displayName="INPUT" ref="A1:E33" tableType="queryTable" totalsRowShown="0">
  <autoFilter ref="A1:E33" xr:uid="{2CF0F01A-996F-4410-B6B4-DF796C8B7F07}"/>
  <tableColumns count="5">
    <tableColumn id="1" xr3:uid="{0B955A72-EB56-4719-93F7-4AB10FAF5CE0}" uniqueName="1" name="Parameter" queryTableFieldId="1" dataDxfId="49"/>
    <tableColumn id="2" xr3:uid="{FDFBD759-41B1-4C49-9ED9-7C8883D3EA20}" uniqueName="2" name="Nilai" queryTableFieldId="2" dataDxfId="47"/>
    <tableColumn id="3" xr3:uid="{C550B6A7-AB93-4FD5-B5E0-96600FE5CED5}" uniqueName="3" name="Satuan" queryTableFieldId="3" dataDxfId="48"/>
    <tableColumn id="4" xr3:uid="{1E275419-DDB8-4CB8-92A0-16C15E997543}" uniqueName="4" name="Simbol" queryTableFieldId="4" dataDxfId="51"/>
    <tableColumn id="5" xr3:uid="{6FE543E6-6F86-4B97-B091-D26F0D67F07C}" uniqueName="5" name="Keterangan" queryTableFieldId="5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DE2DD0-2D71-414A-99A6-F4BB1454596B}" name="NERACA_O2" displayName="NERACA_O2" ref="A1:D14" tableType="queryTable" totalsRowShown="0">
  <autoFilter ref="A1:D14" xr:uid="{5FDE2DD0-2D71-414A-99A6-F4BB1454596B}"/>
  <tableColumns count="4">
    <tableColumn id="1" xr3:uid="{87B7AFC1-A884-4694-B98A-1432963795F1}" uniqueName="1" name="Komponen" queryTableFieldId="1" dataDxfId="46"/>
    <tableColumn id="2" xr3:uid="{7C6D243C-BD95-4BA7-ACD1-EF95178BC022}" uniqueName="2" name="Rumus Excel" queryTableFieldId="2" dataDxfId="45"/>
    <tableColumn id="4" xr3:uid="{B191FCE8-EC8E-4663-B687-16928D32FF54}" uniqueName="4" name="Satuan" queryTableFieldId="4" dataDxfId="44"/>
    <tableColumn id="5" xr3:uid="{407BACEC-676B-43E3-8A79-415DFAC85AE9}" uniqueName="5" name="Keterangan" queryTableFieldId="5" dataDxfId="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83EF6-550E-4B1A-A8E1-636425CE6235}" name="BLOWER_DIFUSER" displayName="BLOWER_DIFUSER" ref="A1:E12" tableType="queryTable" totalsRowShown="0">
  <autoFilter ref="A1:E12" xr:uid="{DEF83EF6-550E-4B1A-A8E1-636425CE6235}"/>
  <tableColumns count="5">
    <tableColumn id="1" xr3:uid="{C75988F7-33D2-474D-856C-D94A4F9FF2F2}" uniqueName="1" name="Parameter" queryTableFieldId="1" dataDxfId="39"/>
    <tableColumn id="2" xr3:uid="{603AC40A-8A4F-48DE-8342-21A4592BEF3C}" uniqueName="2" name="Rumus Excel" queryTableFieldId="2" dataDxfId="38"/>
    <tableColumn id="4" xr3:uid="{8D1156B1-1C96-4911-B48D-3AD0796966BC}" uniqueName="4" name="Satuan" queryTableFieldId="4" dataDxfId="42"/>
    <tableColumn id="5" xr3:uid="{682DFB79-CA1B-4119-BAF2-E33A748EAA4C}" uniqueName="5" name="Keterangan" queryTableFieldId="5" dataDxfId="41"/>
    <tableColumn id="6" xr3:uid="{FCA18979-17F1-4441-A2A2-C16559A75C5B}" uniqueName="6" name="Column1" queryTableFieldId="6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27C28C-F221-41A8-92C6-61ED44DE1EB5}" name="AERATOR_AOTR" displayName="AERATOR_AOTR" ref="A1:G15" tableType="queryTable" totalsRowCount="1">
  <autoFilter ref="A1:G14" xr:uid="{F727C28C-F221-41A8-92C6-61ED44DE1EB5}"/>
  <tableColumns count="7">
    <tableColumn id="1" xr3:uid="{E7ABC97A-22E9-458B-8523-6002C9E3660F}" uniqueName="1" name="Parameter" queryTableFieldId="1" dataDxfId="37" totalsRowDxfId="30"/>
    <tableColumn id="2" xr3:uid="{F4DCEEAE-08B1-429F-BB0C-1E7A339214F3}" uniqueName="2" name="Rumus Excel" queryTableFieldId="2" dataDxfId="36" totalsRowDxfId="29"/>
    <tableColumn id="3" xr3:uid="{49D55B34-FF71-4F99-8441-109E846FFD97}" uniqueName="3" name="Nilai" queryTableFieldId="3" dataDxfId="35" totalsRowDxfId="28"/>
    <tableColumn id="4" xr3:uid="{C60EBA97-FCE7-4B37-8092-DBBA06013220}" uniqueName="4" name="Satuan" queryTableFieldId="4" dataDxfId="34" totalsRowDxfId="27"/>
    <tableColumn id="5" xr3:uid="{B108BDCE-0AC7-46B4-BEE9-5B27BFDAC3BD}" uniqueName="5" name="Keterangan" queryTableFieldId="5" dataDxfId="33" totalsRowDxfId="26"/>
    <tableColumn id="6" xr3:uid="{31A74386-CFA8-419D-A2AF-CC9CDA5B5E60}" uniqueName="6" name="Column1" queryTableFieldId="6" dataDxfId="32" totalsRowDxfId="25"/>
    <tableColumn id="7" xr3:uid="{E2551DF7-7170-406F-80DA-1DCFD900383D}" uniqueName="7" name="_1" queryTableFieldId="7" dataDxfId="31" totalsRow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D0642D-3140-4312-B789-88A2072F8CA4}" name="ARUS_AIRLIFT" displayName="ARUS_AIRLIFT" ref="A1:F11" tableType="queryTable" totalsRowShown="0">
  <autoFilter ref="A1:F11" xr:uid="{FBD0642D-3140-4312-B789-88A2072F8CA4}"/>
  <tableColumns count="6">
    <tableColumn id="1" xr3:uid="{9A523790-B533-497C-BDE6-035D2445ED6F}" uniqueName="1" name="Parameter" queryTableFieldId="1" dataDxfId="23"/>
    <tableColumn id="2" xr3:uid="{803A259D-C1BB-48FB-B278-A2F80BED202A}" uniqueName="2" name="Rumus Excel" queryTableFieldId="2" dataDxfId="22"/>
    <tableColumn id="3" xr3:uid="{755582C8-1D32-406C-A2A7-CCCD54A77DBB}" uniqueName="3" name="Nilai" queryTableFieldId="3" dataDxfId="21"/>
    <tableColumn id="4" xr3:uid="{39DC9D39-FE84-452D-9E5C-1DE63670BFCB}" uniqueName="4" name="Satuan" queryTableFieldId="4" dataDxfId="20"/>
    <tableColumn id="5" xr3:uid="{46350A7A-2866-4CF3-A06B-D4954F4C99F6}" uniqueName="5" name="Keterangan" queryTableFieldId="5" dataDxfId="19"/>
    <tableColumn id="6" xr3:uid="{6F4A2DE8-FDCB-46A7-B8D4-B5F74AA73A7F}" uniqueName="6" name="Column1" queryTableFieldId="6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39F89A-6C9F-420D-99B0-F5697EACA27E}" name="SIFON_DRAIN" displayName="SIFON_DRAIN" ref="A1:E8" tableType="queryTable" totalsRowShown="0">
  <autoFilter ref="A1:E8" xr:uid="{2C39F89A-6C9F-420D-99B0-F5697EACA27E}"/>
  <tableColumns count="5">
    <tableColumn id="1" xr3:uid="{7A9765F3-21CD-43E1-BE5E-F9826F65F1AB}" uniqueName="1" name="Parameter" queryTableFieldId="1" dataDxfId="15"/>
    <tableColumn id="2" xr3:uid="{44BA87EB-B4EC-4BA9-B384-E3AE27516AD7}" uniqueName="2" name="Rumus Excel" queryTableFieldId="2" dataDxfId="13"/>
    <tableColumn id="3" xr3:uid="{4D82DE68-0D72-424B-BFA2-3354BD2112D0}" uniqueName="3" name="Nilai" queryTableFieldId="3" dataDxfId="14"/>
    <tableColumn id="4" xr3:uid="{5C41D45D-01C8-4710-9820-A4F8A767A394}" uniqueName="4" name="Satuan" queryTableFieldId="4" dataDxfId="17"/>
    <tableColumn id="5" xr3:uid="{B49D59DB-55F5-4B2B-8FA5-4AA73765A3F2}" uniqueName="5" name="Keterangan" queryTableFieldId="5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77FD6E-1070-4F5C-9E53-D66082B24550}" name="OUR_OTR" displayName="OUR_OTR" ref="A1:E14" tableType="queryTable" totalsRowShown="0">
  <autoFilter ref="A1:E14" xr:uid="{F377FD6E-1070-4F5C-9E53-D66082B24550}"/>
  <tableColumns count="5">
    <tableColumn id="1" xr3:uid="{42DBA313-4963-4B6D-9317-C43F2438913D}" uniqueName="1" name="Parameter" queryTableFieldId="1" dataDxfId="12"/>
    <tableColumn id="2" xr3:uid="{4F133386-D6FA-4D8A-A773-85B853D708D3}" uniqueName="2" name="Input/Rumus" queryTableFieldId="2" dataDxfId="11"/>
    <tableColumn id="3" xr3:uid="{60F035C8-ECAA-42B3-99A9-698E2BB66A79}" uniqueName="3" name="Nilai" queryTableFieldId="3" dataDxfId="10"/>
    <tableColumn id="4" xr3:uid="{161D73B7-68BA-4C65-8EF0-4739CB7B56FC}" uniqueName="4" name="Satuan" queryTableFieldId="4" dataDxfId="9"/>
    <tableColumn id="5" xr3:uid="{D51F3BE1-7284-4E0A-B3BE-FAB478C9C458}" uniqueName="5" name="Keterangan" queryTableFieldId="5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58F2E3-A5E2-466B-B320-4333C4DF14A0}" name="PAKET_PRODUK" displayName="PAKET_PRODUK" ref="A1:D14" tableType="queryTable" totalsRowShown="0">
  <autoFilter ref="A1:D14" xr:uid="{E358F2E3-A5E2-466B-B320-4333C4DF14A0}"/>
  <tableColumns count="4">
    <tableColumn id="1" xr3:uid="{1B6A950D-0A00-4233-98D5-4866064C346B}" uniqueName="1" name="Kategori" queryTableFieldId="1" dataDxfId="7"/>
    <tableColumn id="2" xr3:uid="{F91FA028-8868-4703-8AE9-F18FFA2EA3E8}" uniqueName="2" name="Spesifikasi Minimum" queryTableFieldId="2" dataDxfId="6"/>
    <tableColumn id="3" xr3:uid="{3596377D-C41A-4E3F-9FF9-885144B05099}" uniqueName="3" name="Rekomendasi D2" queryTableFieldId="3" dataDxfId="5"/>
    <tableColumn id="4" xr3:uid="{9E93BA0A-65A6-4237-A29F-5D3DC6355A2A}" uniqueName="4" name="Catatan" queryTableFieldId="4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5DDE49-1493-447E-A8C0-A4EE7054462F}" name="DASHBOARD" displayName="DASHBOARD" ref="A1:D20" tableType="queryTable" totalsRowShown="0">
  <autoFilter ref="A1:D20" xr:uid="{D95DDE49-1493-447E-A8C0-A4EE7054462F}"/>
  <tableColumns count="4">
    <tableColumn id="1" xr3:uid="{3F57E040-5ED6-477B-A369-7DE7914A3271}" uniqueName="1" name="Indikator" queryTableFieldId="1" dataDxfId="2"/>
    <tableColumn id="2" xr3:uid="{E361F848-67C9-4676-AA23-6DAB85DDE83A}" uniqueName="2" name="Rumus" queryTableFieldId="2" dataDxfId="0"/>
    <tableColumn id="3" xr3:uid="{A2D670AE-306F-4FE5-BD14-22827F697CE8}" uniqueName="3" name="Satuan" queryTableFieldId="3" dataDxfId="1"/>
    <tableColumn id="4" xr3:uid="{1BBB6C25-D0AB-4FAD-BDBC-A097FB08E321}" uniqueName="4" name="Status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38EF-4C19-4D49-9299-CE065413AC97}">
  <dimension ref="A1:E33"/>
  <sheetViews>
    <sheetView tabSelected="1" workbookViewId="0">
      <selection activeCell="E38" sqref="E38"/>
    </sheetView>
  </sheetViews>
  <sheetFormatPr defaultRowHeight="15" x14ac:dyDescent="0.25"/>
  <cols>
    <col min="1" max="1" width="22" bestFit="1" customWidth="1"/>
    <col min="2" max="2" width="13.5703125" style="4" bestFit="1" customWidth="1"/>
    <col min="3" max="3" width="15.7109375" bestFit="1" customWidth="1"/>
    <col min="4" max="4" width="10" bestFit="1" customWidth="1"/>
    <col min="5" max="5" width="24.5703125" bestFit="1" customWidth="1"/>
  </cols>
  <sheetData>
    <row r="1" spans="1:5" x14ac:dyDescent="0.25">
      <c r="A1" t="s">
        <v>1</v>
      </c>
      <c r="B1" s="4" t="s">
        <v>3</v>
      </c>
      <c r="C1" t="s">
        <v>4</v>
      </c>
      <c r="D1" t="s">
        <v>2</v>
      </c>
      <c r="E1" t="s">
        <v>5</v>
      </c>
    </row>
    <row r="2" spans="1:5" x14ac:dyDescent="0.25">
      <c r="A2" s="1" t="s">
        <v>6</v>
      </c>
      <c r="B2" s="4" t="s">
        <v>8</v>
      </c>
      <c r="C2" s="1" t="s">
        <v>9</v>
      </c>
      <c r="D2" s="1" t="s">
        <v>7</v>
      </c>
      <c r="E2" s="1" t="s">
        <v>10</v>
      </c>
    </row>
    <row r="3" spans="1:5" x14ac:dyDescent="0.25">
      <c r="A3" s="1" t="s">
        <v>11</v>
      </c>
      <c r="B3" s="4">
        <f>B2/2</f>
        <v>1</v>
      </c>
      <c r="C3" s="1" t="s">
        <v>9</v>
      </c>
      <c r="D3" s="1" t="s">
        <v>12</v>
      </c>
      <c r="E3" s="1" t="s">
        <v>13</v>
      </c>
    </row>
    <row r="4" spans="1:5" x14ac:dyDescent="0.25">
      <c r="A4" s="1" t="s">
        <v>14</v>
      </c>
      <c r="B4" s="4" t="s">
        <v>16</v>
      </c>
      <c r="C4" s="1" t="s">
        <v>9</v>
      </c>
      <c r="D4" s="1" t="s">
        <v>15</v>
      </c>
      <c r="E4" s="1" t="s">
        <v>17</v>
      </c>
    </row>
    <row r="5" spans="1:5" x14ac:dyDescent="0.25">
      <c r="A5" s="1" t="s">
        <v>18</v>
      </c>
      <c r="B5" s="4">
        <f>PI()*B3^2*B4</f>
        <v>2.5132741228718345</v>
      </c>
      <c r="C5" s="1" t="s">
        <v>20</v>
      </c>
      <c r="D5" s="1" t="s">
        <v>19</v>
      </c>
      <c r="E5" s="1" t="s">
        <v>21</v>
      </c>
    </row>
    <row r="6" spans="1:5" x14ac:dyDescent="0.25">
      <c r="A6" s="1" t="s">
        <v>22</v>
      </c>
      <c r="B6" s="4" t="s">
        <v>24</v>
      </c>
      <c r="C6" s="1" t="s">
        <v>25</v>
      </c>
      <c r="D6" s="1" t="s">
        <v>23</v>
      </c>
      <c r="E6" s="1" t="s">
        <v>26</v>
      </c>
    </row>
    <row r="7" spans="1:5" x14ac:dyDescent="0.25">
      <c r="A7" s="1" t="s">
        <v>27</v>
      </c>
      <c r="B7" s="4">
        <f>B5*B6</f>
        <v>753.98223686155029</v>
      </c>
      <c r="C7" s="1" t="s">
        <v>29</v>
      </c>
      <c r="D7" s="1" t="s">
        <v>28</v>
      </c>
      <c r="E7" s="1" t="s">
        <v>30</v>
      </c>
    </row>
    <row r="8" spans="1:5" x14ac:dyDescent="0.25">
      <c r="A8" s="1" t="s">
        <v>31</v>
      </c>
      <c r="B8" s="4" t="s">
        <v>33</v>
      </c>
      <c r="C8" s="1" t="s">
        <v>34</v>
      </c>
      <c r="D8" s="1" t="s">
        <v>32</v>
      </c>
      <c r="E8" s="1" t="s">
        <v>35</v>
      </c>
    </row>
    <row r="9" spans="1:5" x14ac:dyDescent="0.25">
      <c r="A9" s="1" t="s">
        <v>36</v>
      </c>
      <c r="B9" s="4">
        <f>B7*B8</f>
        <v>37.699111843077517</v>
      </c>
      <c r="C9" s="1" t="s">
        <v>38</v>
      </c>
      <c r="D9" s="1" t="s">
        <v>37</v>
      </c>
      <c r="E9" s="1" t="s">
        <v>39</v>
      </c>
    </row>
    <row r="10" spans="1:5" x14ac:dyDescent="0.25">
      <c r="A10" s="1" t="s">
        <v>40</v>
      </c>
      <c r="B10" s="4" t="s">
        <v>42</v>
      </c>
      <c r="C10" s="1" t="s">
        <v>43</v>
      </c>
      <c r="D10" s="1" t="s">
        <v>41</v>
      </c>
      <c r="E10" s="1" t="s">
        <v>44</v>
      </c>
    </row>
    <row r="11" spans="1:5" x14ac:dyDescent="0.25">
      <c r="A11" s="1" t="s">
        <v>45</v>
      </c>
      <c r="B11" s="4">
        <f>B9*B10</f>
        <v>1.1309733552923256</v>
      </c>
      <c r="C11" s="1" t="s">
        <v>47</v>
      </c>
      <c r="D11" s="1" t="s">
        <v>46</v>
      </c>
      <c r="E11" s="1" t="s">
        <v>48</v>
      </c>
    </row>
    <row r="12" spans="1:5" x14ac:dyDescent="0.25">
      <c r="A12" s="1" t="s">
        <v>49</v>
      </c>
      <c r="B12" s="4" t="s">
        <v>51</v>
      </c>
      <c r="C12" s="1" t="s">
        <v>52</v>
      </c>
      <c r="D12" s="1" t="s">
        <v>50</v>
      </c>
      <c r="E12" s="1" t="s">
        <v>53</v>
      </c>
    </row>
    <row r="13" spans="1:5" x14ac:dyDescent="0.25">
      <c r="A13" s="1" t="s">
        <v>54</v>
      </c>
      <c r="B13" s="4" t="s">
        <v>56</v>
      </c>
      <c r="C13" s="1" t="s">
        <v>52</v>
      </c>
      <c r="D13" s="1" t="s">
        <v>55</v>
      </c>
      <c r="E13" s="1" t="s">
        <v>57</v>
      </c>
    </row>
    <row r="14" spans="1:5" x14ac:dyDescent="0.25">
      <c r="A14" s="1" t="s">
        <v>58</v>
      </c>
      <c r="B14" s="4">
        <f>B11*B13</f>
        <v>0.11309733552923257</v>
      </c>
      <c r="C14" s="1" t="s">
        <v>47</v>
      </c>
      <c r="D14" s="1" t="s">
        <v>59</v>
      </c>
      <c r="E14" s="1" t="s">
        <v>60</v>
      </c>
    </row>
    <row r="15" spans="1:5" x14ac:dyDescent="0.25">
      <c r="A15" s="1" t="s">
        <v>61</v>
      </c>
      <c r="B15" s="4" t="s">
        <v>63</v>
      </c>
      <c r="C15" s="1" t="s">
        <v>64</v>
      </c>
      <c r="D15" s="1" t="s">
        <v>62</v>
      </c>
      <c r="E15" s="1" t="s">
        <v>65</v>
      </c>
    </row>
    <row r="16" spans="1:5" x14ac:dyDescent="0.25">
      <c r="A16" s="1" t="s">
        <v>66</v>
      </c>
      <c r="B16" s="4" t="s">
        <v>68</v>
      </c>
      <c r="C16" s="1" t="s">
        <v>52</v>
      </c>
      <c r="D16" s="1" t="s">
        <v>67</v>
      </c>
      <c r="E16" s="1" t="s">
        <v>69</v>
      </c>
    </row>
    <row r="17" spans="1:5" x14ac:dyDescent="0.25">
      <c r="A17" s="1" t="s">
        <v>70</v>
      </c>
      <c r="B17" s="4" t="s">
        <v>72</v>
      </c>
      <c r="C17" s="1" t="s">
        <v>52</v>
      </c>
      <c r="D17" s="1" t="s">
        <v>71</v>
      </c>
      <c r="E17" s="1" t="s">
        <v>73</v>
      </c>
    </row>
    <row r="18" spans="1:5" x14ac:dyDescent="0.25">
      <c r="A18" s="1" t="s">
        <v>74</v>
      </c>
      <c r="B18" s="4" t="s">
        <v>76</v>
      </c>
      <c r="C18" s="1" t="s">
        <v>77</v>
      </c>
      <c r="D18" s="1" t="s">
        <v>75</v>
      </c>
      <c r="E18" s="1" t="s">
        <v>78</v>
      </c>
    </row>
    <row r="19" spans="1:5" x14ac:dyDescent="0.25">
      <c r="A19" s="1" t="s">
        <v>79</v>
      </c>
      <c r="B19" s="4" t="s">
        <v>81</v>
      </c>
      <c r="C19" s="1" t="s">
        <v>52</v>
      </c>
      <c r="D19" s="1" t="s">
        <v>80</v>
      </c>
      <c r="E19" s="1" t="s">
        <v>82</v>
      </c>
    </row>
    <row r="20" spans="1:5" x14ac:dyDescent="0.25">
      <c r="A20" s="1" t="s">
        <v>83</v>
      </c>
      <c r="B20" s="4" t="s">
        <v>85</v>
      </c>
      <c r="C20" s="1" t="s">
        <v>86</v>
      </c>
      <c r="D20" s="1" t="s">
        <v>84</v>
      </c>
      <c r="E20" s="1" t="s">
        <v>87</v>
      </c>
    </row>
    <row r="21" spans="1:5" x14ac:dyDescent="0.25">
      <c r="A21" s="1" t="s">
        <v>88</v>
      </c>
      <c r="B21" s="4" t="s">
        <v>90</v>
      </c>
      <c r="C21" s="1" t="s">
        <v>52</v>
      </c>
      <c r="D21" s="1" t="s">
        <v>89</v>
      </c>
      <c r="E21" s="1" t="s">
        <v>91</v>
      </c>
    </row>
    <row r="22" spans="1:5" x14ac:dyDescent="0.25">
      <c r="A22" s="1" t="s">
        <v>92</v>
      </c>
      <c r="B22" s="4" t="s">
        <v>94</v>
      </c>
      <c r="C22" s="1" t="s">
        <v>52</v>
      </c>
      <c r="D22" s="1" t="s">
        <v>93</v>
      </c>
      <c r="E22" s="1" t="s">
        <v>95</v>
      </c>
    </row>
    <row r="23" spans="1:5" x14ac:dyDescent="0.25">
      <c r="A23" s="1" t="s">
        <v>96</v>
      </c>
      <c r="B23" s="4" t="s">
        <v>98</v>
      </c>
      <c r="C23" s="1" t="s">
        <v>52</v>
      </c>
      <c r="D23" s="1" t="s">
        <v>97</v>
      </c>
      <c r="E23" s="1" t="s">
        <v>99</v>
      </c>
    </row>
    <row r="24" spans="1:5" x14ac:dyDescent="0.25">
      <c r="A24" s="1" t="s">
        <v>100</v>
      </c>
      <c r="B24" s="4" t="s">
        <v>102</v>
      </c>
      <c r="C24" s="1" t="s">
        <v>52</v>
      </c>
      <c r="D24" s="1" t="s">
        <v>101</v>
      </c>
      <c r="E24" s="1" t="s">
        <v>103</v>
      </c>
    </row>
    <row r="25" spans="1:5" x14ac:dyDescent="0.25">
      <c r="A25" s="1" t="s">
        <v>104</v>
      </c>
      <c r="B25" s="4" t="s">
        <v>90</v>
      </c>
      <c r="C25" s="1" t="s">
        <v>52</v>
      </c>
      <c r="D25" s="1" t="s">
        <v>105</v>
      </c>
      <c r="E25" s="1" t="s">
        <v>106</v>
      </c>
    </row>
    <row r="26" spans="1:5" x14ac:dyDescent="0.25">
      <c r="A26" s="1" t="s">
        <v>107</v>
      </c>
      <c r="B26" s="4" t="s">
        <v>109</v>
      </c>
      <c r="C26" s="1" t="s">
        <v>110</v>
      </c>
      <c r="D26" s="1" t="s">
        <v>108</v>
      </c>
      <c r="E26" s="1" t="s">
        <v>111</v>
      </c>
    </row>
    <row r="27" spans="1:5" x14ac:dyDescent="0.25">
      <c r="A27" s="1" t="s">
        <v>112</v>
      </c>
      <c r="B27" s="4" t="s">
        <v>114</v>
      </c>
      <c r="C27" s="1" t="s">
        <v>115</v>
      </c>
      <c r="D27" s="1" t="s">
        <v>113</v>
      </c>
      <c r="E27" s="1" t="s">
        <v>116</v>
      </c>
    </row>
    <row r="28" spans="1:5" x14ac:dyDescent="0.25">
      <c r="A28" s="1" t="s">
        <v>117</v>
      </c>
      <c r="B28" s="4" t="s">
        <v>119</v>
      </c>
      <c r="C28" s="1" t="s">
        <v>52</v>
      </c>
      <c r="D28" s="1" t="s">
        <v>118</v>
      </c>
      <c r="E28" s="1" t="s">
        <v>120</v>
      </c>
    </row>
    <row r="29" spans="1:5" x14ac:dyDescent="0.25">
      <c r="A29" s="1" t="s">
        <v>121</v>
      </c>
      <c r="B29" s="4" t="s">
        <v>123</v>
      </c>
      <c r="C29" s="1" t="s">
        <v>124</v>
      </c>
      <c r="D29" s="1" t="s">
        <v>122</v>
      </c>
      <c r="E29" s="1" t="s">
        <v>125</v>
      </c>
    </row>
    <row r="30" spans="1:5" x14ac:dyDescent="0.25">
      <c r="A30" s="1" t="s">
        <v>126</v>
      </c>
      <c r="B30" s="4" t="s">
        <v>128</v>
      </c>
      <c r="C30" s="1" t="s">
        <v>110</v>
      </c>
      <c r="D30" s="1" t="s">
        <v>127</v>
      </c>
      <c r="E30" s="1" t="s">
        <v>129</v>
      </c>
    </row>
    <row r="31" spans="1:5" x14ac:dyDescent="0.25">
      <c r="A31" s="1" t="s">
        <v>130</v>
      </c>
      <c r="B31" s="4" t="s">
        <v>132</v>
      </c>
      <c r="C31" s="1" t="s">
        <v>110</v>
      </c>
      <c r="D31" s="1" t="s">
        <v>131</v>
      </c>
      <c r="E31" s="1" t="s">
        <v>133</v>
      </c>
    </row>
    <row r="32" spans="1:5" x14ac:dyDescent="0.25">
      <c r="A32" s="1" t="s">
        <v>134</v>
      </c>
      <c r="B32" s="4" t="s">
        <v>76</v>
      </c>
      <c r="C32" s="1" t="s">
        <v>52</v>
      </c>
      <c r="D32" s="1" t="s">
        <v>135</v>
      </c>
      <c r="E32" s="1" t="s">
        <v>136</v>
      </c>
    </row>
    <row r="33" spans="1:5" x14ac:dyDescent="0.25">
      <c r="A33" s="1" t="s">
        <v>137</v>
      </c>
      <c r="B33" s="4" t="s">
        <v>76</v>
      </c>
      <c r="C33" s="1" t="s">
        <v>139</v>
      </c>
      <c r="D33" s="1" t="s">
        <v>138</v>
      </c>
      <c r="E33" s="1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7B67-BF67-4C5A-95F5-B72E77BEF9D8}">
  <dimension ref="A1:D14"/>
  <sheetViews>
    <sheetView workbookViewId="0">
      <selection activeCell="D21" sqref="D21"/>
    </sheetView>
  </sheetViews>
  <sheetFormatPr defaultRowHeight="15" x14ac:dyDescent="0.25"/>
  <cols>
    <col min="1" max="1" width="19.140625" bestFit="1" customWidth="1"/>
    <col min="2" max="2" width="17.140625" customWidth="1"/>
    <col min="3" max="3" width="17" customWidth="1"/>
    <col min="4" max="4" width="28" bestFit="1" customWidth="1"/>
  </cols>
  <sheetData>
    <row r="1" spans="1:4" x14ac:dyDescent="0.25">
      <c r="A1" t="s">
        <v>141</v>
      </c>
      <c r="B1" t="s">
        <v>142</v>
      </c>
      <c r="C1" t="s">
        <v>4</v>
      </c>
      <c r="D1" t="s">
        <v>5</v>
      </c>
    </row>
    <row r="2" spans="1:4" x14ac:dyDescent="0.25">
      <c r="A2" s="1" t="s">
        <v>143</v>
      </c>
      <c r="B2" s="1">
        <f>INPUT!B9*INPUT!B15*24/1000</f>
        <v>0.31667253948185115</v>
      </c>
      <c r="C2" s="1" t="s">
        <v>145</v>
      </c>
      <c r="D2" s="1" t="s">
        <v>146</v>
      </c>
    </row>
    <row r="3" spans="1:4" x14ac:dyDescent="0.25">
      <c r="A3" s="1" t="s">
        <v>147</v>
      </c>
      <c r="B3" s="1">
        <f>INPUT!B11*INPUT!B12/6.25</f>
        <v>5.7905835790967072E-2</v>
      </c>
      <c r="C3" s="1" t="s">
        <v>148</v>
      </c>
      <c r="D3" s="1" t="s">
        <v>149</v>
      </c>
    </row>
    <row r="4" spans="1:4" x14ac:dyDescent="0.25">
      <c r="A4" s="1" t="s">
        <v>150</v>
      </c>
      <c r="B4" s="1">
        <f>B3*(1-INPUT!B16)</f>
        <v>4.0534085053676949E-2</v>
      </c>
      <c r="C4" s="1" t="s">
        <v>148</v>
      </c>
      <c r="D4" s="1" t="s">
        <v>151</v>
      </c>
    </row>
    <row r="5" spans="1:4" x14ac:dyDescent="0.25">
      <c r="A5" s="1" t="s">
        <v>152</v>
      </c>
      <c r="B5" s="1">
        <f>B4*INPUT!B17</f>
        <v>1.6213634021470781E-2</v>
      </c>
      <c r="C5" s="1" t="s">
        <v>148</v>
      </c>
      <c r="D5" s="1" t="s">
        <v>153</v>
      </c>
    </row>
    <row r="6" spans="1:4" x14ac:dyDescent="0.25">
      <c r="A6" s="1" t="s">
        <v>154</v>
      </c>
      <c r="B6" s="1">
        <f>4.57*B5</f>
        <v>7.4096307478121473E-2</v>
      </c>
      <c r="C6" s="1" t="s">
        <v>145</v>
      </c>
      <c r="D6" s="1" t="s">
        <v>155</v>
      </c>
    </row>
    <row r="7" spans="1:4" x14ac:dyDescent="0.25">
      <c r="A7" s="1" t="s">
        <v>156</v>
      </c>
      <c r="B7" s="1">
        <f>INPUT!B14*INPUT!B18*INPUT!B19</f>
        <v>7.9168134870462786E-2</v>
      </c>
      <c r="C7" s="1" t="s">
        <v>145</v>
      </c>
      <c r="D7" s="1" t="s">
        <v>157</v>
      </c>
    </row>
    <row r="8" spans="1:4" x14ac:dyDescent="0.25">
      <c r="A8" s="1" t="s">
        <v>158</v>
      </c>
      <c r="B8" s="1">
        <f>INPUT!B11*INPUT!B20</f>
        <v>0.28274333882308139</v>
      </c>
      <c r="C8" s="1" t="s">
        <v>145</v>
      </c>
      <c r="D8" s="1" t="s">
        <v>159</v>
      </c>
    </row>
    <row r="9" spans="1:4" x14ac:dyDescent="0.25">
      <c r="A9" s="1" t="s">
        <v>160</v>
      </c>
      <c r="B9" s="1">
        <f>B2+B6+B7+B8</f>
        <v>0.75268032065351687</v>
      </c>
      <c r="C9" s="1" t="s">
        <v>145</v>
      </c>
      <c r="D9" s="1" t="s">
        <v>161</v>
      </c>
    </row>
    <row r="10" spans="1:4" x14ac:dyDescent="0.25">
      <c r="A10" s="1" t="s">
        <v>162</v>
      </c>
      <c r="B10" s="1">
        <f>B9*INPUT!B21</f>
        <v>0.15053606413070339</v>
      </c>
      <c r="C10" s="1" t="s">
        <v>145</v>
      </c>
      <c r="D10" s="1" t="s">
        <v>163</v>
      </c>
    </row>
    <row r="11" spans="1:4" x14ac:dyDescent="0.25">
      <c r="A11" s="1" t="s">
        <v>164</v>
      </c>
      <c r="B11" s="1">
        <f>B9+B10</f>
        <v>0.90321638478422028</v>
      </c>
      <c r="C11" s="1" t="s">
        <v>145</v>
      </c>
      <c r="D11" s="1" t="s">
        <v>165</v>
      </c>
    </row>
    <row r="12" spans="1:4" x14ac:dyDescent="0.25">
      <c r="A12" s="1" t="s">
        <v>166</v>
      </c>
      <c r="B12" s="1">
        <f>B11*INPUT!B22</f>
        <v>1.3548245771763305</v>
      </c>
      <c r="C12" s="1" t="s">
        <v>145</v>
      </c>
      <c r="D12" s="1" t="s">
        <v>167</v>
      </c>
    </row>
    <row r="13" spans="1:4" x14ac:dyDescent="0.25">
      <c r="A13" s="1" t="s">
        <v>168</v>
      </c>
      <c r="B13" s="1">
        <f>B12/24</f>
        <v>5.6451024049013775E-2</v>
      </c>
      <c r="C13" s="1" t="s">
        <v>139</v>
      </c>
      <c r="D13" s="1" t="s">
        <v>169</v>
      </c>
    </row>
    <row r="14" spans="1:4" x14ac:dyDescent="0.25">
      <c r="A14" s="1" t="s">
        <v>170</v>
      </c>
      <c r="B14" s="1">
        <f>B13*INPUT!B23</f>
        <v>0.1016118432882248</v>
      </c>
      <c r="C14" s="1" t="s">
        <v>139</v>
      </c>
      <c r="D14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BDC4-0691-4973-B752-AFFC06CB2024}">
  <dimension ref="A1:E12"/>
  <sheetViews>
    <sheetView workbookViewId="0">
      <selection activeCell="D19" sqref="D19"/>
    </sheetView>
  </sheetViews>
  <sheetFormatPr defaultRowHeight="15" x14ac:dyDescent="0.25"/>
  <cols>
    <col min="1" max="1" width="19.7109375" bestFit="1" customWidth="1"/>
    <col min="2" max="2" width="16.85546875" style="4" bestFit="1" customWidth="1"/>
    <col min="3" max="3" width="10" bestFit="1" customWidth="1"/>
    <col min="4" max="4" width="31" bestFit="1" customWidth="1"/>
    <col min="5" max="5" width="17.42578125" bestFit="1" customWidth="1"/>
  </cols>
  <sheetData>
    <row r="1" spans="1:5" x14ac:dyDescent="0.25">
      <c r="A1" t="s">
        <v>1</v>
      </c>
      <c r="B1" s="4" t="s">
        <v>142</v>
      </c>
      <c r="C1" t="s">
        <v>4</v>
      </c>
      <c r="D1" t="s">
        <v>5</v>
      </c>
      <c r="E1" t="s">
        <v>0</v>
      </c>
    </row>
    <row r="2" spans="1:5" x14ac:dyDescent="0.25">
      <c r="A2" s="1" t="s">
        <v>170</v>
      </c>
      <c r="B2" s="4">
        <f>NERACA_O2!B14</f>
        <v>0.1016118432882248</v>
      </c>
      <c r="C2" s="1" t="s">
        <v>139</v>
      </c>
      <c r="D2" s="1" t="s">
        <v>172</v>
      </c>
      <c r="E2" s="1" t="s">
        <v>144</v>
      </c>
    </row>
    <row r="3" spans="1:5" x14ac:dyDescent="0.25">
      <c r="A3" s="1" t="s">
        <v>101</v>
      </c>
      <c r="B3" s="4" t="str">
        <f>INPUT!B24</f>
        <v>0.06</v>
      </c>
      <c r="C3" s="1" t="s">
        <v>52</v>
      </c>
      <c r="D3" s="1" t="s">
        <v>173</v>
      </c>
      <c r="E3" s="1" t="s">
        <v>144</v>
      </c>
    </row>
    <row r="4" spans="1:5" x14ac:dyDescent="0.25">
      <c r="A4" s="1" t="s">
        <v>174</v>
      </c>
      <c r="B4" s="4">
        <f>B2/(0.0179*B3)</f>
        <v>94.610654830749354</v>
      </c>
      <c r="C4" s="1" t="s">
        <v>175</v>
      </c>
      <c r="D4" s="1" t="s">
        <v>176</v>
      </c>
      <c r="E4" s="1" t="s">
        <v>144</v>
      </c>
    </row>
    <row r="5" spans="1:5" x14ac:dyDescent="0.25">
      <c r="A5" s="1" t="s">
        <v>104</v>
      </c>
      <c r="B5" s="4" t="str">
        <f>INPUT!B25</f>
        <v>0.20</v>
      </c>
      <c r="C5" s="1" t="s">
        <v>52</v>
      </c>
      <c r="D5" s="1" t="s">
        <v>106</v>
      </c>
      <c r="E5" s="1" t="s">
        <v>144</v>
      </c>
    </row>
    <row r="6" spans="1:5" x14ac:dyDescent="0.25">
      <c r="A6" s="1" t="s">
        <v>177</v>
      </c>
      <c r="B6" s="4">
        <f>B4*(1+B5)</f>
        <v>113.53278579689922</v>
      </c>
      <c r="C6" s="1" t="s">
        <v>175</v>
      </c>
      <c r="D6" s="1" t="s">
        <v>178</v>
      </c>
      <c r="E6" s="1" t="s">
        <v>144</v>
      </c>
    </row>
    <row r="7" spans="1:5" x14ac:dyDescent="0.25">
      <c r="A7" s="1" t="s">
        <v>179</v>
      </c>
      <c r="B7" s="4">
        <f>ROUNDUP(B6/10,0)*10</f>
        <v>120</v>
      </c>
      <c r="C7" s="1" t="s">
        <v>144</v>
      </c>
      <c r="D7" s="1" t="s">
        <v>175</v>
      </c>
      <c r="E7" s="1" t="s">
        <v>180</v>
      </c>
    </row>
    <row r="8" spans="1:5" x14ac:dyDescent="0.25">
      <c r="A8" s="1" t="s">
        <v>181</v>
      </c>
      <c r="B8" s="4">
        <f>B7+20</f>
        <v>140</v>
      </c>
      <c r="C8" s="1" t="s">
        <v>175</v>
      </c>
      <c r="D8" s="1" t="s">
        <v>182</v>
      </c>
      <c r="E8" s="1" t="s">
        <v>144</v>
      </c>
    </row>
    <row r="9" spans="1:5" x14ac:dyDescent="0.25">
      <c r="A9" s="1" t="s">
        <v>183</v>
      </c>
      <c r="B9" s="4">
        <f>B7*0.6</f>
        <v>72</v>
      </c>
      <c r="C9" s="1" t="s">
        <v>175</v>
      </c>
      <c r="D9" s="1" t="s">
        <v>184</v>
      </c>
      <c r="E9" s="1" t="s">
        <v>144</v>
      </c>
    </row>
    <row r="10" spans="1:5" x14ac:dyDescent="0.25">
      <c r="A10" s="1" t="s">
        <v>185</v>
      </c>
      <c r="B10" s="4">
        <f>B7*0.7</f>
        <v>84</v>
      </c>
      <c r="C10" s="1" t="s">
        <v>175</v>
      </c>
      <c r="D10" s="1" t="s">
        <v>186</v>
      </c>
      <c r="E10" s="1" t="s">
        <v>144</v>
      </c>
    </row>
    <row r="11" spans="1:5" x14ac:dyDescent="0.25">
      <c r="A11" s="1" t="s">
        <v>187</v>
      </c>
      <c r="B11" s="4">
        <f>B7*0.3</f>
        <v>36</v>
      </c>
      <c r="C11" s="1" t="s">
        <v>175</v>
      </c>
      <c r="D11" s="1" t="s">
        <v>184</v>
      </c>
      <c r="E11" s="1" t="s">
        <v>144</v>
      </c>
    </row>
    <row r="12" spans="1:5" x14ac:dyDescent="0.25">
      <c r="A12" s="1" t="s">
        <v>188</v>
      </c>
      <c r="B12" s="4">
        <f>B7*0.4</f>
        <v>48</v>
      </c>
      <c r="C12" s="1" t="s">
        <v>175</v>
      </c>
      <c r="D12" s="1" t="s">
        <v>186</v>
      </c>
      <c r="E12" s="1" t="s">
        <v>144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5DF2-D42E-4FE7-A86B-806A2F000D5A}">
  <dimension ref="A1:G15"/>
  <sheetViews>
    <sheetView workbookViewId="0">
      <selection activeCell="C14" sqref="C14"/>
    </sheetView>
  </sheetViews>
  <sheetFormatPr defaultRowHeight="15" x14ac:dyDescent="0.25"/>
  <cols>
    <col min="1" max="1" width="16.140625" bestFit="1" customWidth="1"/>
    <col min="2" max="2" width="16.7109375" bestFit="1" customWidth="1"/>
    <col min="3" max="3" width="15.5703125" bestFit="1" customWidth="1"/>
    <col min="4" max="4" width="20.140625" bestFit="1" customWidth="1"/>
    <col min="5" max="5" width="24.140625" bestFit="1" customWidth="1"/>
    <col min="6" max="6" width="11.140625" bestFit="1" customWidth="1"/>
    <col min="7" max="7" width="5.28515625" bestFit="1" customWidth="1"/>
  </cols>
  <sheetData>
    <row r="1" spans="1:7" x14ac:dyDescent="0.25">
      <c r="A1" t="s">
        <v>1</v>
      </c>
      <c r="B1" t="s">
        <v>142</v>
      </c>
      <c r="C1" t="s">
        <v>3</v>
      </c>
      <c r="D1" t="s">
        <v>4</v>
      </c>
      <c r="E1" t="s">
        <v>5</v>
      </c>
      <c r="F1" t="s">
        <v>0</v>
      </c>
      <c r="G1" t="s">
        <v>189</v>
      </c>
    </row>
    <row r="2" spans="1:7" x14ac:dyDescent="0.25">
      <c r="A2" s="1" t="s">
        <v>137</v>
      </c>
      <c r="B2" s="5" t="str">
        <f>INPUT!B32</f>
        <v>1.00</v>
      </c>
      <c r="C2" s="1" t="s">
        <v>144</v>
      </c>
      <c r="D2" s="1" t="s">
        <v>139</v>
      </c>
      <c r="E2" s="1" t="s">
        <v>190</v>
      </c>
      <c r="F2" s="1" t="s">
        <v>144</v>
      </c>
      <c r="G2" s="1" t="s">
        <v>144</v>
      </c>
    </row>
    <row r="3" spans="1:7" x14ac:dyDescent="0.25">
      <c r="A3" s="1" t="s">
        <v>191</v>
      </c>
      <c r="B3" s="5" t="str">
        <f>INPUT!B27</f>
        <v>30</v>
      </c>
      <c r="C3" s="1" t="s">
        <v>144</v>
      </c>
      <c r="D3" s="1" t="s">
        <v>52</v>
      </c>
      <c r="E3" s="1" t="s">
        <v>192</v>
      </c>
      <c r="F3" s="1" t="s">
        <v>144</v>
      </c>
      <c r="G3" s="1" t="s">
        <v>144</v>
      </c>
    </row>
    <row r="4" spans="1:7" x14ac:dyDescent="0.25">
      <c r="A4" s="1" t="s">
        <v>121</v>
      </c>
      <c r="B4" s="5" t="str">
        <f>INPUT!B28</f>
        <v>0.60</v>
      </c>
      <c r="C4" s="1" t="s">
        <v>144</v>
      </c>
      <c r="D4" s="1" t="s">
        <v>124</v>
      </c>
      <c r="E4" s="1" t="s">
        <v>125</v>
      </c>
      <c r="F4" s="1" t="s">
        <v>144</v>
      </c>
      <c r="G4" s="1" t="s">
        <v>144</v>
      </c>
    </row>
    <row r="5" spans="1:7" x14ac:dyDescent="0.25">
      <c r="A5" s="1" t="s">
        <v>113</v>
      </c>
      <c r="B5" s="5" t="str">
        <f>INPUT!B26</f>
        <v>5</v>
      </c>
      <c r="C5" s="1" t="s">
        <v>115</v>
      </c>
      <c r="D5" s="1" t="s">
        <v>112</v>
      </c>
      <c r="E5" s="1" t="s">
        <v>144</v>
      </c>
      <c r="F5" s="1" t="s">
        <v>144</v>
      </c>
      <c r="G5" s="1" t="s">
        <v>144</v>
      </c>
    </row>
    <row r="6" spans="1:7" x14ac:dyDescent="0.25">
      <c r="A6" s="1" t="s">
        <v>134</v>
      </c>
      <c r="B6" s="5" t="str">
        <f>INPUT!B31</f>
        <v>9.08</v>
      </c>
      <c r="C6" s="1" t="s">
        <v>144</v>
      </c>
      <c r="D6" s="1" t="s">
        <v>52</v>
      </c>
      <c r="E6" s="1" t="s">
        <v>193</v>
      </c>
      <c r="F6" s="1" t="s">
        <v>144</v>
      </c>
      <c r="G6" s="1" t="s">
        <v>144</v>
      </c>
    </row>
    <row r="7" spans="1:7" x14ac:dyDescent="0.25">
      <c r="A7" s="1" t="s">
        <v>127</v>
      </c>
      <c r="B7" s="5" t="str">
        <f>INPUT!B29</f>
        <v>1.024</v>
      </c>
      <c r="C7" s="1" t="s">
        <v>110</v>
      </c>
      <c r="D7" s="1" t="s">
        <v>194</v>
      </c>
      <c r="E7" s="1" t="s">
        <v>144</v>
      </c>
      <c r="F7" s="1" t="s">
        <v>144</v>
      </c>
      <c r="G7" s="1" t="s">
        <v>144</v>
      </c>
    </row>
    <row r="8" spans="1:7" x14ac:dyDescent="0.25">
      <c r="A8" s="1" t="s">
        <v>107</v>
      </c>
      <c r="B8" s="5" t="str">
        <f>INPUT!B26</f>
        <v>5</v>
      </c>
      <c r="C8" s="1" t="s">
        <v>110</v>
      </c>
      <c r="D8" s="1" t="s">
        <v>195</v>
      </c>
      <c r="E8" s="1" t="s">
        <v>144</v>
      </c>
      <c r="F8" s="1" t="s">
        <v>144</v>
      </c>
      <c r="G8" s="1" t="s">
        <v>144</v>
      </c>
    </row>
    <row r="9" spans="1:7" x14ac:dyDescent="0.25">
      <c r="A9" s="1" t="s">
        <v>131</v>
      </c>
      <c r="B9" s="5" t="str">
        <f>INPUT!B30</f>
        <v>7.44</v>
      </c>
      <c r="C9" s="1" t="s">
        <v>110</v>
      </c>
      <c r="D9" s="1" t="s">
        <v>133</v>
      </c>
      <c r="E9" s="1" t="s">
        <v>144</v>
      </c>
      <c r="F9" s="1" t="s">
        <v>144</v>
      </c>
      <c r="G9" s="1" t="s">
        <v>144</v>
      </c>
    </row>
    <row r="10" spans="1:7" x14ac:dyDescent="0.25">
      <c r="A10" s="1" t="s">
        <v>125</v>
      </c>
      <c r="B10" s="5">
        <f>B4^(B5-20)</f>
        <v>2126.8224907304793</v>
      </c>
      <c r="C10" s="1" t="s">
        <v>144</v>
      </c>
      <c r="D10" s="1" t="s">
        <v>124</v>
      </c>
      <c r="E10" s="1" t="s">
        <v>196</v>
      </c>
      <c r="F10" s="1" t="s">
        <v>144</v>
      </c>
      <c r="G10" s="1" t="s">
        <v>144</v>
      </c>
    </row>
    <row r="11" spans="1:7" x14ac:dyDescent="0.25">
      <c r="A11" s="1" t="s">
        <v>197</v>
      </c>
      <c r="B11" s="1">
        <f>(B6*B7-B8)/B9</f>
        <v>1249.0483870967741</v>
      </c>
      <c r="C11" s="1" t="s">
        <v>144</v>
      </c>
      <c r="D11" s="1" t="s">
        <v>124</v>
      </c>
      <c r="E11" s="1" t="s">
        <v>198</v>
      </c>
      <c r="F11" s="1" t="s">
        <v>144</v>
      </c>
      <c r="G11" s="1" t="s">
        <v>144</v>
      </c>
    </row>
    <row r="12" spans="1:7" x14ac:dyDescent="0.25">
      <c r="A12" s="1" t="s">
        <v>199</v>
      </c>
      <c r="B12" s="1">
        <f>B2*B3*B10*B11</f>
        <v>79695126.050641477</v>
      </c>
      <c r="C12" s="1" t="s">
        <v>144</v>
      </c>
      <c r="D12" s="1" t="s">
        <v>139</v>
      </c>
      <c r="E12" s="1" t="s">
        <v>200</v>
      </c>
      <c r="F12" s="1" t="s">
        <v>144</v>
      </c>
      <c r="G12" s="1" t="s">
        <v>144</v>
      </c>
    </row>
    <row r="13" spans="1:7" x14ac:dyDescent="0.25">
      <c r="A13" s="1" t="s">
        <v>201</v>
      </c>
      <c r="B13" s="1">
        <f>NERACA_O2!B14</f>
        <v>0.1016118432882248</v>
      </c>
      <c r="C13" s="1" t="s">
        <v>144</v>
      </c>
      <c r="D13" s="1" t="s">
        <v>139</v>
      </c>
      <c r="E13" s="1" t="s">
        <v>202</v>
      </c>
      <c r="F13" s="1" t="s">
        <v>144</v>
      </c>
      <c r="G13" s="1" t="s">
        <v>144</v>
      </c>
    </row>
    <row r="14" spans="1:7" x14ac:dyDescent="0.25">
      <c r="A14" s="1" t="s">
        <v>203</v>
      </c>
      <c r="B14" s="1" t="e">
        <f>IF(B12&gt;=B13,Cukup secara O2,Belum Cukup)</f>
        <v>#NAME?</v>
      </c>
      <c r="C14" s="1" t="s">
        <v>204</v>
      </c>
      <c r="D14" s="1" t="s">
        <v>205</v>
      </c>
      <c r="E14" s="1" t="s">
        <v>144</v>
      </c>
      <c r="F14" s="1" t="s">
        <v>144</v>
      </c>
      <c r="G14" s="1" t="s">
        <v>206</v>
      </c>
    </row>
    <row r="15" spans="1:7" x14ac:dyDescent="0.25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F5DD-2DC0-4671-9EF7-4CD0A8C91E3F}">
  <dimension ref="A1:F11"/>
  <sheetViews>
    <sheetView workbookViewId="0">
      <selection activeCell="D23" sqref="D23"/>
    </sheetView>
  </sheetViews>
  <sheetFormatPr defaultRowHeight="15" x14ac:dyDescent="0.25"/>
  <cols>
    <col min="1" max="1" width="17.7109375" bestFit="1" customWidth="1"/>
    <col min="2" max="2" width="14.28515625" bestFit="1" customWidth="1"/>
    <col min="3" max="3" width="12.28515625" bestFit="1" customWidth="1"/>
    <col min="4" max="4" width="21.7109375" bestFit="1" customWidth="1"/>
    <col min="5" max="5" width="18.7109375" bestFit="1" customWidth="1"/>
    <col min="6" max="6" width="13.28515625" bestFit="1" customWidth="1"/>
  </cols>
  <sheetData>
    <row r="1" spans="1:6" x14ac:dyDescent="0.25">
      <c r="A1" t="s">
        <v>1</v>
      </c>
      <c r="B1" t="s">
        <v>142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s="1" t="s">
        <v>207</v>
      </c>
      <c r="B2" s="1" t="s">
        <v>56</v>
      </c>
      <c r="C2" s="1" t="s">
        <v>208</v>
      </c>
      <c r="D2" s="1" t="s">
        <v>9</v>
      </c>
      <c r="E2" s="1" t="s">
        <v>209</v>
      </c>
      <c r="F2" s="1" t="s">
        <v>144</v>
      </c>
    </row>
    <row r="3" spans="1:6" x14ac:dyDescent="0.25">
      <c r="A3" s="1" t="s">
        <v>210</v>
      </c>
      <c r="B3" s="1" t="s">
        <v>212</v>
      </c>
      <c r="C3" s="1" t="s">
        <v>211</v>
      </c>
      <c r="D3" s="1" t="s">
        <v>9</v>
      </c>
      <c r="E3" s="1" t="s">
        <v>213</v>
      </c>
      <c r="F3" s="1" t="s">
        <v>144</v>
      </c>
    </row>
    <row r="4" spans="1:6" x14ac:dyDescent="0.25">
      <c r="A4" s="1" t="s">
        <v>214</v>
      </c>
      <c r="B4" s="1" t="s">
        <v>33</v>
      </c>
      <c r="C4" s="1" t="s">
        <v>215</v>
      </c>
      <c r="D4" s="1" t="s">
        <v>216</v>
      </c>
      <c r="E4" s="1" t="s">
        <v>217</v>
      </c>
      <c r="F4" s="1" t="s">
        <v>144</v>
      </c>
    </row>
    <row r="5" spans="1:6" x14ac:dyDescent="0.25">
      <c r="A5" s="1" t="s">
        <v>218</v>
      </c>
      <c r="B5" s="1" t="s">
        <v>220</v>
      </c>
      <c r="C5" s="1" t="s">
        <v>219</v>
      </c>
      <c r="D5" s="1" t="s">
        <v>216</v>
      </c>
      <c r="E5" s="1" t="s">
        <v>221</v>
      </c>
      <c r="F5" s="1" t="s">
        <v>144</v>
      </c>
    </row>
    <row r="6" spans="1:6" x14ac:dyDescent="0.25">
      <c r="A6" s="1" t="s">
        <v>222</v>
      </c>
      <c r="B6" s="1" t="s">
        <v>212</v>
      </c>
      <c r="C6" s="1" t="s">
        <v>223</v>
      </c>
      <c r="D6" s="1" t="s">
        <v>216</v>
      </c>
      <c r="E6" s="1" t="s">
        <v>224</v>
      </c>
      <c r="F6" s="1" t="s">
        <v>144</v>
      </c>
    </row>
    <row r="7" spans="1:6" x14ac:dyDescent="0.25">
      <c r="A7" s="1" t="s">
        <v>225</v>
      </c>
      <c r="B7" s="1">
        <f>B2*1</f>
        <v>0.1</v>
      </c>
      <c r="C7" s="1" t="s">
        <v>216</v>
      </c>
      <c r="D7" s="1" t="s">
        <v>226</v>
      </c>
      <c r="E7" s="1" t="s">
        <v>144</v>
      </c>
      <c r="F7" s="1" t="s">
        <v>144</v>
      </c>
    </row>
    <row r="8" spans="1:6" x14ac:dyDescent="0.25">
      <c r="A8" s="1" t="s">
        <v>227</v>
      </c>
      <c r="B8" s="1">
        <f>B3*1</f>
        <v>0.15</v>
      </c>
      <c r="C8" s="1" t="s">
        <v>216</v>
      </c>
      <c r="D8" s="1" t="s">
        <v>228</v>
      </c>
      <c r="E8" s="1" t="s">
        <v>144</v>
      </c>
      <c r="F8" s="1" t="s">
        <v>144</v>
      </c>
    </row>
    <row r="9" spans="1:6" x14ac:dyDescent="0.25">
      <c r="A9" s="1" t="s">
        <v>229</v>
      </c>
      <c r="B9" s="1" t="str">
        <f>IF(0.05&lt;B4, "Risiko_endap", "Aman")</f>
        <v>Risiko_endap</v>
      </c>
      <c r="C9" s="1"/>
      <c r="D9" s="1"/>
      <c r="E9" s="1" t="s">
        <v>230</v>
      </c>
    </row>
    <row r="10" spans="1:6" x14ac:dyDescent="0.25">
      <c r="A10" s="1" t="s">
        <v>231</v>
      </c>
      <c r="B10" s="1" t="str">
        <f>IF(0.12&lt;=B6, "aman","tinggi")</f>
        <v>aman</v>
      </c>
      <c r="C10" s="1"/>
      <c r="D10" s="1"/>
      <c r="E10" s="1" t="s">
        <v>230</v>
      </c>
    </row>
    <row r="11" spans="1:6" x14ac:dyDescent="0.25">
      <c r="A11" s="1" t="s">
        <v>232</v>
      </c>
      <c r="B11" s="1" t="str">
        <f>IF(0.15&lt;=B6,"Batas Atas","Terlalu Tinggi")</f>
        <v>Batas Atas</v>
      </c>
      <c r="C11" s="1"/>
      <c r="D11" s="1"/>
      <c r="E11" s="1" t="s">
        <v>230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07C6-85EF-45F1-9067-804B635D958B}">
  <dimension ref="A1:E8"/>
  <sheetViews>
    <sheetView workbookViewId="0">
      <selection activeCell="E24" sqref="E24"/>
    </sheetView>
  </sheetViews>
  <sheetFormatPr defaultRowHeight="15" x14ac:dyDescent="0.25"/>
  <cols>
    <col min="1" max="1" width="22.85546875" bestFit="1" customWidth="1"/>
    <col min="2" max="2" width="14.28515625" style="4" bestFit="1" customWidth="1"/>
    <col min="3" max="3" width="10.28515625" bestFit="1" customWidth="1"/>
    <col min="4" max="4" width="11.5703125" bestFit="1" customWidth="1"/>
    <col min="5" max="5" width="57.7109375" bestFit="1" customWidth="1"/>
  </cols>
  <sheetData>
    <row r="1" spans="1:5" x14ac:dyDescent="0.25">
      <c r="A1" t="s">
        <v>1</v>
      </c>
      <c r="B1" s="4" t="s">
        <v>142</v>
      </c>
      <c r="C1" t="s">
        <v>3</v>
      </c>
      <c r="D1" t="s">
        <v>4</v>
      </c>
      <c r="E1" t="s">
        <v>5</v>
      </c>
    </row>
    <row r="2" spans="1:5" x14ac:dyDescent="0.25">
      <c r="A2" s="1" t="s">
        <v>11</v>
      </c>
      <c r="B2" s="4">
        <f>INPUT!B3</f>
        <v>1</v>
      </c>
      <c r="C2" s="1" t="s">
        <v>12</v>
      </c>
      <c r="D2" s="1" t="s">
        <v>9</v>
      </c>
      <c r="E2" s="1" t="s">
        <v>233</v>
      </c>
    </row>
    <row r="3" spans="1:5" x14ac:dyDescent="0.25">
      <c r="A3" s="1" t="s">
        <v>234</v>
      </c>
      <c r="B3" s="4">
        <f>PI()*B2^2</f>
        <v>3.1415926535897931</v>
      </c>
      <c r="C3" s="1" t="s">
        <v>235</v>
      </c>
      <c r="D3" s="1" t="s">
        <v>236</v>
      </c>
      <c r="E3" s="1" t="s">
        <v>237</v>
      </c>
    </row>
    <row r="4" spans="1:5" x14ac:dyDescent="0.25">
      <c r="A4" s="1" t="s">
        <v>238</v>
      </c>
      <c r="B4" s="4" t="s">
        <v>109</v>
      </c>
      <c r="C4" s="1" t="s">
        <v>239</v>
      </c>
      <c r="D4" s="1" t="s">
        <v>240</v>
      </c>
      <c r="E4" s="1" t="s">
        <v>241</v>
      </c>
    </row>
    <row r="5" spans="1:5" x14ac:dyDescent="0.25">
      <c r="A5" s="1" t="s">
        <v>242</v>
      </c>
      <c r="B5" s="4" t="s">
        <v>244</v>
      </c>
      <c r="C5" s="1" t="s">
        <v>243</v>
      </c>
      <c r="D5" s="1" t="s">
        <v>240</v>
      </c>
      <c r="E5" s="1" t="s">
        <v>241</v>
      </c>
    </row>
    <row r="6" spans="1:5" x14ac:dyDescent="0.25">
      <c r="A6" s="1" t="s">
        <v>245</v>
      </c>
      <c r="B6" s="4">
        <f>B3*B4</f>
        <v>15.707963267948966</v>
      </c>
      <c r="C6" s="1" t="s">
        <v>175</v>
      </c>
      <c r="D6" s="1" t="s">
        <v>246</v>
      </c>
      <c r="E6" s="1" t="s">
        <v>144</v>
      </c>
    </row>
    <row r="7" spans="1:5" x14ac:dyDescent="0.25">
      <c r="A7" s="1" t="s">
        <v>247</v>
      </c>
      <c r="B7" s="4">
        <f>B3*B5</f>
        <v>18.849555921538759</v>
      </c>
      <c r="C7" s="1" t="s">
        <v>175</v>
      </c>
      <c r="D7" s="1" t="s">
        <v>248</v>
      </c>
      <c r="E7" s="1" t="s">
        <v>144</v>
      </c>
    </row>
    <row r="8" spans="1:5" x14ac:dyDescent="0.25">
      <c r="A8" s="1" t="s">
        <v>249</v>
      </c>
      <c r="B8" s="4" t="s">
        <v>124</v>
      </c>
      <c r="C8" s="1" t="s">
        <v>124</v>
      </c>
      <c r="D8" s="1" t="s">
        <v>124</v>
      </c>
      <c r="E8" s="1" t="s">
        <v>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EC22-12E6-4320-9049-90458C0D4A65}">
  <dimension ref="A1:E14"/>
  <sheetViews>
    <sheetView workbookViewId="0">
      <selection activeCell="A14" sqref="A14"/>
    </sheetView>
  </sheetViews>
  <sheetFormatPr defaultRowHeight="15" x14ac:dyDescent="0.25"/>
  <cols>
    <col min="1" max="1" width="21.42578125" bestFit="1" customWidth="1"/>
    <col min="2" max="2" width="18" bestFit="1" customWidth="1"/>
    <col min="3" max="3" width="10.28515625" bestFit="1" customWidth="1"/>
    <col min="4" max="4" width="18.7109375" bestFit="1" customWidth="1"/>
    <col min="5" max="5" width="14.5703125" bestFit="1" customWidth="1"/>
  </cols>
  <sheetData>
    <row r="1" spans="1:5" x14ac:dyDescent="0.25">
      <c r="A1" t="s">
        <v>1</v>
      </c>
      <c r="B1" t="s">
        <v>251</v>
      </c>
      <c r="C1" t="s">
        <v>3</v>
      </c>
      <c r="D1" t="s">
        <v>4</v>
      </c>
      <c r="E1" t="s">
        <v>5</v>
      </c>
    </row>
    <row r="2" spans="1:5" x14ac:dyDescent="0.25">
      <c r="A2" s="1" t="s">
        <v>18</v>
      </c>
      <c r="B2" s="5">
        <f>INPUT!B5</f>
        <v>2.5132741228718345</v>
      </c>
      <c r="C2" s="1" t="s">
        <v>19</v>
      </c>
      <c r="D2" s="1" t="s">
        <v>20</v>
      </c>
      <c r="E2" s="1" t="s">
        <v>252</v>
      </c>
    </row>
    <row r="3" spans="1:5" x14ac:dyDescent="0.25">
      <c r="A3" s="1" t="s">
        <v>253</v>
      </c>
      <c r="B3" s="1" t="s">
        <v>255</v>
      </c>
      <c r="C3" s="1" t="s">
        <v>254</v>
      </c>
      <c r="D3" s="1" t="s">
        <v>110</v>
      </c>
      <c r="E3" s="1" t="s">
        <v>256</v>
      </c>
    </row>
    <row r="4" spans="1:5" x14ac:dyDescent="0.25">
      <c r="A4" s="1" t="s">
        <v>257</v>
      </c>
      <c r="B4" s="1" t="s">
        <v>259</v>
      </c>
      <c r="C4" s="1" t="s">
        <v>258</v>
      </c>
      <c r="D4" s="1" t="s">
        <v>110</v>
      </c>
      <c r="E4" s="1" t="s">
        <v>256</v>
      </c>
    </row>
    <row r="5" spans="1:5" x14ac:dyDescent="0.25">
      <c r="A5" s="1" t="s">
        <v>260</v>
      </c>
      <c r="B5" s="1" t="s">
        <v>262</v>
      </c>
      <c r="C5" s="1" t="s">
        <v>261</v>
      </c>
      <c r="D5" s="1" t="s">
        <v>263</v>
      </c>
      <c r="E5" s="1" t="s">
        <v>256</v>
      </c>
    </row>
    <row r="6" spans="1:5" x14ac:dyDescent="0.25">
      <c r="A6" s="1" t="s">
        <v>264</v>
      </c>
      <c r="B6" s="1">
        <f>(B3-B4)*(60/B5)</f>
        <v>2.4000000000000021</v>
      </c>
      <c r="C6" s="1" t="s">
        <v>265</v>
      </c>
      <c r="D6" s="1" t="s">
        <v>266</v>
      </c>
      <c r="E6" s="1" t="s">
        <v>144</v>
      </c>
    </row>
    <row r="7" spans="1:5" x14ac:dyDescent="0.25">
      <c r="A7" s="1" t="s">
        <v>267</v>
      </c>
      <c r="B7" s="1">
        <f>B6*B2/1000</f>
        <v>6.0318578948924074E-3</v>
      </c>
      <c r="C7" s="1" t="s">
        <v>139</v>
      </c>
      <c r="D7" s="1" t="s">
        <v>268</v>
      </c>
      <c r="E7" s="1" t="s">
        <v>144</v>
      </c>
    </row>
    <row r="8" spans="1:5" x14ac:dyDescent="0.25">
      <c r="A8" s="1" t="s">
        <v>269</v>
      </c>
      <c r="B8" s="1" t="s">
        <v>259</v>
      </c>
      <c r="C8" s="1" t="s">
        <v>270</v>
      </c>
      <c r="D8" s="1" t="s">
        <v>110</v>
      </c>
      <c r="E8" s="1" t="s">
        <v>256</v>
      </c>
    </row>
    <row r="9" spans="1:5" x14ac:dyDescent="0.25">
      <c r="A9" s="1" t="s">
        <v>271</v>
      </c>
      <c r="B9" s="1" t="s">
        <v>273</v>
      </c>
      <c r="C9" s="1" t="s">
        <v>272</v>
      </c>
      <c r="D9" s="1" t="s">
        <v>110</v>
      </c>
      <c r="E9" s="1" t="s">
        <v>256</v>
      </c>
    </row>
    <row r="10" spans="1:5" x14ac:dyDescent="0.25">
      <c r="A10" s="1" t="s">
        <v>274</v>
      </c>
      <c r="B10" s="1" t="s">
        <v>276</v>
      </c>
      <c r="C10" s="1" t="s">
        <v>275</v>
      </c>
      <c r="D10" s="1" t="s">
        <v>263</v>
      </c>
      <c r="E10" s="1" t="s">
        <v>256</v>
      </c>
    </row>
    <row r="11" spans="1:5" x14ac:dyDescent="0.25">
      <c r="A11" s="1" t="s">
        <v>277</v>
      </c>
      <c r="B11" s="1">
        <f>(B9-B8)*(60/B10)</f>
        <v>1.8000000000000016</v>
      </c>
      <c r="C11" s="1" t="s">
        <v>265</v>
      </c>
      <c r="D11" s="1" t="s">
        <v>266</v>
      </c>
      <c r="E11" s="1" t="s">
        <v>144</v>
      </c>
    </row>
    <row r="12" spans="1:5" x14ac:dyDescent="0.25">
      <c r="A12" s="1" t="s">
        <v>278</v>
      </c>
      <c r="B12" s="1">
        <f>B7+(B11*B2/1000)</f>
        <v>1.0555751316061714E-2</v>
      </c>
      <c r="C12" s="1" t="s">
        <v>139</v>
      </c>
      <c r="D12" s="1" t="s">
        <v>279</v>
      </c>
      <c r="E12" s="1" t="s">
        <v>144</v>
      </c>
    </row>
    <row r="13" spans="1:5" x14ac:dyDescent="0.25">
      <c r="A13" s="1" t="s">
        <v>280</v>
      </c>
      <c r="B13" s="1">
        <f>NERACA_O2!B14</f>
        <v>0.1016118432882248</v>
      </c>
      <c r="C13" s="1" t="s">
        <v>139</v>
      </c>
      <c r="D13" s="1" t="s">
        <v>281</v>
      </c>
      <c r="E13" s="1" t="s">
        <v>144</v>
      </c>
    </row>
    <row r="14" spans="1:5" x14ac:dyDescent="0.25">
      <c r="A14" s="1" t="s">
        <v>282</v>
      </c>
      <c r="B14" s="1" t="str">
        <f>IF(B12&gt;=B13,"OTR Cukup","OTR Belum Cukup")</f>
        <v>OTR Belum Cukup</v>
      </c>
      <c r="C14" s="1"/>
      <c r="D14" s="1"/>
      <c r="E14" s="1" t="s">
        <v>283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EF1E-B4A8-47B8-B9C5-F568F8A29062}">
  <dimension ref="A1:D14"/>
  <sheetViews>
    <sheetView workbookViewId="0"/>
  </sheetViews>
  <sheetFormatPr defaultRowHeight="15" x14ac:dyDescent="0.25"/>
  <cols>
    <col min="1" max="1" width="17.28515625" bestFit="1" customWidth="1"/>
    <col min="2" max="2" width="34" bestFit="1" customWidth="1"/>
    <col min="3" max="3" width="25.140625" bestFit="1" customWidth="1"/>
    <col min="4" max="4" width="28.5703125" bestFit="1" customWidth="1"/>
  </cols>
  <sheetData>
    <row r="1" spans="1:4" x14ac:dyDescent="0.25">
      <c r="A1" t="s">
        <v>284</v>
      </c>
      <c r="B1" t="s">
        <v>285</v>
      </c>
      <c r="C1" t="s">
        <v>286</v>
      </c>
      <c r="D1" t="s">
        <v>249</v>
      </c>
    </row>
    <row r="2" spans="1:4" x14ac:dyDescent="0.25">
      <c r="A2" s="1" t="s">
        <v>287</v>
      </c>
      <c r="B2" s="1" t="s">
        <v>288</v>
      </c>
      <c r="C2" s="1" t="s">
        <v>289</v>
      </c>
      <c r="D2" s="1" t="s">
        <v>290</v>
      </c>
    </row>
    <row r="3" spans="1:4" x14ac:dyDescent="0.25">
      <c r="A3" s="1" t="s">
        <v>291</v>
      </c>
      <c r="B3" s="1" t="s">
        <v>292</v>
      </c>
      <c r="C3" s="1" t="s">
        <v>293</v>
      </c>
      <c r="D3" s="1" t="s">
        <v>294</v>
      </c>
    </row>
    <row r="4" spans="1:4" x14ac:dyDescent="0.25">
      <c r="A4" s="1" t="s">
        <v>295</v>
      </c>
      <c r="B4" s="1" t="s">
        <v>296</v>
      </c>
      <c r="C4" s="1" t="s">
        <v>297</v>
      </c>
      <c r="D4" s="1" t="s">
        <v>298</v>
      </c>
    </row>
    <row r="5" spans="1:4" x14ac:dyDescent="0.25">
      <c r="A5" s="1" t="s">
        <v>299</v>
      </c>
      <c r="B5" s="1" t="s">
        <v>300</v>
      </c>
      <c r="C5" s="1" t="s">
        <v>301</v>
      </c>
      <c r="D5" s="1" t="s">
        <v>302</v>
      </c>
    </row>
    <row r="6" spans="1:4" x14ac:dyDescent="0.25">
      <c r="A6" s="1" t="s">
        <v>303</v>
      </c>
      <c r="B6" s="1" t="s">
        <v>304</v>
      </c>
      <c r="C6" s="1" t="s">
        <v>305</v>
      </c>
      <c r="D6" s="1" t="s">
        <v>306</v>
      </c>
    </row>
    <row r="7" spans="1:4" x14ac:dyDescent="0.25">
      <c r="A7" s="1" t="s">
        <v>307</v>
      </c>
      <c r="B7" s="1" t="s">
        <v>308</v>
      </c>
      <c r="C7" s="1" t="s">
        <v>309</v>
      </c>
      <c r="D7" s="1" t="s">
        <v>310</v>
      </c>
    </row>
    <row r="8" spans="1:4" x14ac:dyDescent="0.25">
      <c r="A8" s="1" t="s">
        <v>311</v>
      </c>
      <c r="B8" s="1" t="s">
        <v>312</v>
      </c>
      <c r="C8" s="1" t="s">
        <v>313</v>
      </c>
      <c r="D8" s="1" t="s">
        <v>314</v>
      </c>
    </row>
    <row r="9" spans="1:4" x14ac:dyDescent="0.25">
      <c r="A9" s="1" t="s">
        <v>315</v>
      </c>
      <c r="B9" s="1" t="s">
        <v>316</v>
      </c>
      <c r="C9" s="1" t="s">
        <v>313</v>
      </c>
      <c r="D9" s="1" t="s">
        <v>317</v>
      </c>
    </row>
    <row r="10" spans="1:4" x14ac:dyDescent="0.25">
      <c r="A10" s="1" t="s">
        <v>318</v>
      </c>
      <c r="B10" s="1" t="s">
        <v>319</v>
      </c>
      <c r="C10" s="1" t="s">
        <v>305</v>
      </c>
      <c r="D10" s="1" t="s">
        <v>320</v>
      </c>
    </row>
    <row r="11" spans="1:4" x14ac:dyDescent="0.25">
      <c r="A11" s="1" t="s">
        <v>321</v>
      </c>
      <c r="B11" s="1" t="s">
        <v>322</v>
      </c>
      <c r="C11" s="1" t="s">
        <v>323</v>
      </c>
      <c r="D11" s="1" t="s">
        <v>324</v>
      </c>
    </row>
    <row r="12" spans="1:4" x14ac:dyDescent="0.25">
      <c r="A12" s="1" t="s">
        <v>325</v>
      </c>
      <c r="B12" s="1" t="s">
        <v>326</v>
      </c>
      <c r="C12" s="1" t="s">
        <v>327</v>
      </c>
      <c r="D12" s="1" t="s">
        <v>328</v>
      </c>
    </row>
    <row r="13" spans="1:4" x14ac:dyDescent="0.25">
      <c r="A13" s="1" t="s">
        <v>329</v>
      </c>
      <c r="B13" s="1" t="s">
        <v>330</v>
      </c>
      <c r="C13" s="1" t="s">
        <v>331</v>
      </c>
      <c r="D13" s="1" t="s">
        <v>332</v>
      </c>
    </row>
    <row r="14" spans="1:4" x14ac:dyDescent="0.25">
      <c r="A14" s="1" t="s">
        <v>333</v>
      </c>
      <c r="B14" s="1" t="s">
        <v>334</v>
      </c>
      <c r="C14" s="1" t="s">
        <v>335</v>
      </c>
      <c r="D14" s="1" t="s">
        <v>336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011-0AB4-4CC1-9E30-8F6F8517DE2A}">
  <dimension ref="A1:D20"/>
  <sheetViews>
    <sheetView workbookViewId="0">
      <selection activeCell="B39" sqref="B39"/>
    </sheetView>
  </sheetViews>
  <sheetFormatPr defaultRowHeight="15" x14ac:dyDescent="0.25"/>
  <cols>
    <col min="1" max="1" width="26.140625" bestFit="1" customWidth="1"/>
    <col min="2" max="2" width="22" style="2" bestFit="1" customWidth="1"/>
    <col min="3" max="3" width="10.140625" bestFit="1" customWidth="1"/>
    <col min="4" max="4" width="8.7109375" bestFit="1" customWidth="1"/>
  </cols>
  <sheetData>
    <row r="1" spans="1:4" x14ac:dyDescent="0.25">
      <c r="A1" t="s">
        <v>337</v>
      </c>
      <c r="B1" s="2" t="s">
        <v>338</v>
      </c>
      <c r="C1" t="s">
        <v>4</v>
      </c>
      <c r="D1" t="s">
        <v>203</v>
      </c>
    </row>
    <row r="2" spans="1:4" x14ac:dyDescent="0.25">
      <c r="A2" s="1" t="s">
        <v>18</v>
      </c>
      <c r="B2" s="4">
        <f>INPUT!B5</f>
        <v>2.5132741228718345</v>
      </c>
      <c r="C2" s="1" t="s">
        <v>20</v>
      </c>
      <c r="D2" s="1" t="s">
        <v>124</v>
      </c>
    </row>
    <row r="3" spans="1:4" x14ac:dyDescent="0.25">
      <c r="A3" s="1" t="s">
        <v>36</v>
      </c>
      <c r="B3" s="4">
        <f>INPUT!B9</f>
        <v>37.699111843077517</v>
      </c>
      <c r="C3" s="1" t="s">
        <v>38</v>
      </c>
      <c r="D3" s="1" t="s">
        <v>124</v>
      </c>
    </row>
    <row r="4" spans="1:4" x14ac:dyDescent="0.25">
      <c r="A4" s="1" t="s">
        <v>45</v>
      </c>
      <c r="B4" s="4">
        <f>INPUT!B11</f>
        <v>1.1309733552923256</v>
      </c>
      <c r="C4" s="1" t="s">
        <v>47</v>
      </c>
      <c r="D4" s="1" t="s">
        <v>124</v>
      </c>
    </row>
    <row r="5" spans="1:4" x14ac:dyDescent="0.25">
      <c r="A5" s="1" t="s">
        <v>58</v>
      </c>
      <c r="B5" s="4">
        <f>INPUT!B14</f>
        <v>0.11309733552923257</v>
      </c>
      <c r="C5" s="1" t="s">
        <v>47</v>
      </c>
      <c r="D5" s="1" t="s">
        <v>124</v>
      </c>
    </row>
    <row r="6" spans="1:4" x14ac:dyDescent="0.25">
      <c r="A6" s="1" t="s">
        <v>339</v>
      </c>
      <c r="B6" s="3">
        <f>NERACA_O2!B11</f>
        <v>0.90321638478422028</v>
      </c>
      <c r="C6" s="1" t="s">
        <v>145</v>
      </c>
      <c r="D6" s="1" t="s">
        <v>124</v>
      </c>
    </row>
    <row r="7" spans="1:4" x14ac:dyDescent="0.25">
      <c r="A7" s="1" t="s">
        <v>166</v>
      </c>
      <c r="B7" s="3">
        <f>NERACA_O2!B12</f>
        <v>1.3548245771763305</v>
      </c>
      <c r="C7" s="1" t="s">
        <v>145</v>
      </c>
      <c r="D7" s="1" t="s">
        <v>124</v>
      </c>
    </row>
    <row r="8" spans="1:4" x14ac:dyDescent="0.25">
      <c r="A8" s="1" t="s">
        <v>170</v>
      </c>
      <c r="B8" s="3">
        <f>NERACA_O2!B14</f>
        <v>0.1016118432882248</v>
      </c>
      <c r="C8" s="1" t="s">
        <v>139</v>
      </c>
      <c r="D8" s="1" t="s">
        <v>124</v>
      </c>
    </row>
    <row r="9" spans="1:4" x14ac:dyDescent="0.25">
      <c r="A9" s="1" t="s">
        <v>340</v>
      </c>
      <c r="B9" s="4">
        <f>BLOWER_DIFUSER!B7</f>
        <v>120</v>
      </c>
      <c r="C9" s="1" t="s">
        <v>175</v>
      </c>
      <c r="D9" s="1" t="s">
        <v>124</v>
      </c>
    </row>
    <row r="10" spans="1:4" x14ac:dyDescent="0.25">
      <c r="A10" s="1" t="s">
        <v>341</v>
      </c>
      <c r="B10" s="4">
        <f>BLOWER_DIFUSER!B8</f>
        <v>140</v>
      </c>
      <c r="C10" s="1" t="s">
        <v>175</v>
      </c>
      <c r="D10" s="1" t="s">
        <v>124</v>
      </c>
    </row>
    <row r="11" spans="1:4" x14ac:dyDescent="0.25">
      <c r="A11" s="1" t="s">
        <v>342</v>
      </c>
      <c r="B11" s="4">
        <f>BLOWER_DIFUSER!B9</f>
        <v>72</v>
      </c>
      <c r="C11" s="1" t="s">
        <v>175</v>
      </c>
      <c r="D11" s="1" t="s">
        <v>124</v>
      </c>
    </row>
    <row r="12" spans="1:4" x14ac:dyDescent="0.25">
      <c r="A12" s="1" t="s">
        <v>343</v>
      </c>
      <c r="B12" s="4">
        <f>BLOWER_DIFUSER!B10</f>
        <v>84</v>
      </c>
      <c r="C12" s="1" t="s">
        <v>175</v>
      </c>
      <c r="D12" s="1" t="s">
        <v>124</v>
      </c>
    </row>
    <row r="13" spans="1:4" x14ac:dyDescent="0.25">
      <c r="A13" s="1" t="s">
        <v>344</v>
      </c>
      <c r="B13" s="4">
        <f>BLOWER_DIFUSER!B11</f>
        <v>36</v>
      </c>
      <c r="C13" s="1" t="s">
        <v>175</v>
      </c>
      <c r="D13" s="1" t="s">
        <v>124</v>
      </c>
    </row>
    <row r="14" spans="1:4" x14ac:dyDescent="0.25">
      <c r="A14" s="1" t="s">
        <v>345</v>
      </c>
      <c r="B14" s="4">
        <f>BLOWER_DIFUSER!B12</f>
        <v>48</v>
      </c>
      <c r="C14" s="1" t="s">
        <v>175</v>
      </c>
      <c r="D14" s="1" t="s">
        <v>124</v>
      </c>
    </row>
    <row r="15" spans="1:4" x14ac:dyDescent="0.25">
      <c r="A15" s="1" t="s">
        <v>214</v>
      </c>
      <c r="B15" s="3" t="str">
        <f>ARUS_AIRLIFT!B4</f>
        <v>0.05</v>
      </c>
      <c r="C15" s="1" t="s">
        <v>216</v>
      </c>
      <c r="D15" s="1" t="s">
        <v>124</v>
      </c>
    </row>
    <row r="16" spans="1:4" x14ac:dyDescent="0.25">
      <c r="A16" s="1" t="s">
        <v>218</v>
      </c>
      <c r="B16" s="3" t="str">
        <f>ARUS_AIRLIFT!B5</f>
        <v>0.12</v>
      </c>
      <c r="C16" s="1" t="s">
        <v>216</v>
      </c>
      <c r="D16" s="1" t="s">
        <v>124</v>
      </c>
    </row>
    <row r="17" spans="1:4" x14ac:dyDescent="0.25">
      <c r="A17" s="1" t="s">
        <v>346</v>
      </c>
      <c r="B17" s="3" t="str">
        <f>ARUS_AIRLIFT!B6</f>
        <v>0.15</v>
      </c>
      <c r="C17" s="1" t="s">
        <v>216</v>
      </c>
      <c r="D17" s="1" t="s">
        <v>124</v>
      </c>
    </row>
    <row r="18" spans="1:4" x14ac:dyDescent="0.25">
      <c r="A18" s="1" t="s">
        <v>347</v>
      </c>
      <c r="B18" s="3">
        <f>OUR_OTR!B7</f>
        <v>6.0318578948924074E-3</v>
      </c>
      <c r="C18" s="1" t="s">
        <v>139</v>
      </c>
      <c r="D18" s="1" t="s">
        <v>124</v>
      </c>
    </row>
    <row r="19" spans="1:4" x14ac:dyDescent="0.25">
      <c r="A19" s="1" t="s">
        <v>348</v>
      </c>
      <c r="B19" s="3">
        <f>OUR_OTR!B12</f>
        <v>1.0555751316061714E-2</v>
      </c>
      <c r="C19" s="1" t="s">
        <v>139</v>
      </c>
      <c r="D19" s="1" t="s">
        <v>124</v>
      </c>
    </row>
    <row r="20" spans="1:4" x14ac:dyDescent="0.25">
      <c r="A20" s="1" t="s">
        <v>282</v>
      </c>
      <c r="B20" s="3" t="str">
        <f>OUR_OTR!B14</f>
        <v>OTR Belum Cukup</v>
      </c>
      <c r="C20" s="1" t="s">
        <v>144</v>
      </c>
      <c r="D20" s="1" t="s">
        <v>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21502-D41E-4A67-8FC6-07880CAEF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</vt:lpstr>
      <vt:lpstr>NERACA_O2</vt:lpstr>
      <vt:lpstr>BLOWER_DIFUSER</vt:lpstr>
      <vt:lpstr>AERATOR_AOTR</vt:lpstr>
      <vt:lpstr>ARUS_AIRLIFT</vt:lpstr>
      <vt:lpstr>SIFON_DRAIN</vt:lpstr>
      <vt:lpstr>OUR_OTR</vt:lpstr>
      <vt:lpstr>PAKET_PRODUK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Oxo Nusantara</dc:creator>
  <cp:lastModifiedBy>Petro Oxo Nusantara</cp:lastModifiedBy>
  <dcterms:created xsi:type="dcterms:W3CDTF">2026-05-14T06:36:01Z</dcterms:created>
  <dcterms:modified xsi:type="dcterms:W3CDTF">2026-05-14T09:12:50Z</dcterms:modified>
</cp:coreProperties>
</file>