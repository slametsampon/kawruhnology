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cea5639e7945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sign_2_ID" sheetId="1" r:id="Rf6437e0e2f844ae7"/>
    <x:sheet xmlns:r="http://schemas.openxmlformats.org/officeDocument/2006/relationships" name="Alpha_Regime_2_ID" sheetId="2" r:id="R3da7e32245c54470"/>
    <x:sheet xmlns:r="http://schemas.openxmlformats.org/officeDocument/2006/relationships" name="Model_Notes" sheetId="3" r:id="R3e13d39583de4f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"/>
    <x:numFmt numFmtId="201" formatCode="0.000000"/>
    <x:numFmt numFmtId="202" formatCode="0.00"/>
    <x:numFmt numFmtId="203" formatCode="0.000"/>
    <x:numFmt numFmtId="204" formatCode="0"/>
  </x:numFmts>
  <x:fonts count="6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1"/>
      <x:color rgb="FF2E7D32"/>
      <x:name val="Carlito"/>
    </x:font>
    <x:font>
      <x:i/>
      <x:sz val="11"/>
      <x:color rgb="FF7F6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AF3F8"/>
      </x:patternFill>
    </x:fill>
    <x:fill>
      <x:patternFill patternType="solid">
        <x:fgColor rgb="FFE2F0D9"/>
      </x:patternFill>
    </x:fill>
  </x:fills>
  <x:borders count="22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  <x:bottom/>
    </x:border>
    <x:border>
      <x:right/>
      <x:top/>
      <x:bottom/>
    </x:border>
    <x:border>
      <x:left/>
      <x:top/>
      <x:bottom/>
    </x:border>
    <x:border>
      <x:right/>
      <x:top/>
      <x:bottom/>
    </x:border>
  </x:borders>
  <x:cellStyleXfs count="1">
    <x:xf numFmtId="0" fontId="0" fillId="0" borderId="0"/>
  </x:cellStyleXfs>
  <x:cellXfs count="10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horizontal="center" vertic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2" fillId="3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0" fillId="5" borderId="8" xfId="0" applyNumberFormat="1" applyFont="1" applyFill="1" applyBorder="1"/>
    <x:xf numFmtId="0" fontId="0" fillId="5" borderId="1" xfId="0" applyNumberFormat="1" applyFont="1" applyFill="1" applyBorder="1"/>
    <x:xf numFmtId="0" fontId="0" fillId="5" borderId="16" xfId="0" applyNumberFormat="1" applyFont="1" applyFill="1" applyBorder="1"/>
    <x:xf numFmtId="0" fontId="0" fillId="6" borderId="0" xfId="0" applyNumberFormat="1" applyFont="1" applyFill="1" applyBorder="1"/>
    <x:xf numFmtId="0" fontId="0" fillId="6" borderId="8" xfId="0" applyNumberFormat="1" applyFont="1" applyFill="1" applyBorder="1"/>
    <x:xf numFmtId="0" fontId="0" fillId="6" borderId="1" xfId="0" applyNumberFormat="1" applyFont="1" applyFill="1" applyBorder="1"/>
    <x:xf numFmtId="0" fontId="0" fillId="6" borderId="16" xfId="0" applyNumberFormat="1" applyFont="1" applyFill="1" applyBorder="1"/>
    <x:xf numFmtId="200" fontId="0" fillId="5" borderId="0" xfId="0" applyNumberFormat="1" applyFont="1" applyFill="1" applyBorder="1"/>
    <x:xf numFmtId="200" fontId="0" fillId="5" borderId="8" xfId="0" applyNumberFormat="1" applyFont="1" applyFill="1" applyBorder="1"/>
    <x:xf numFmtId="200" fontId="0" fillId="5" borderId="1" xfId="0" applyNumberFormat="1" applyFont="1" applyFill="1" applyBorder="1"/>
    <x:xf numFmtId="200" fontId="0" fillId="5" borderId="16" xfId="0" applyNumberFormat="1" applyFont="1" applyFill="1" applyBorder="1"/>
    <x:xf numFmtId="201" fontId="0" fillId="6" borderId="0" xfId="0" applyNumberFormat="1" applyFont="1" applyFill="1" applyBorder="1"/>
    <x:xf numFmtId="201" fontId="0" fillId="6" borderId="1" xfId="0" applyNumberFormat="1" applyFont="1" applyFill="1" applyBorder="1"/>
    <x:xf numFmtId="202" fontId="0" fillId="6" borderId="0" xfId="0" applyNumberFormat="1" applyFont="1" applyFill="1" applyBorder="1"/>
    <x:xf numFmtId="202" fontId="0" fillId="6" borderId="1" xfId="0" applyNumberFormat="1" applyFont="1" applyFill="1" applyBorder="1"/>
    <x:xf numFmtId="203" fontId="0" fillId="6" borderId="0" xfId="0" applyNumberFormat="1" applyFont="1" applyFill="1" applyBorder="1"/>
    <x:xf numFmtId="203" fontId="0" fillId="6" borderId="1" xfId="0" applyNumberFormat="1" applyFont="1" applyFill="1" applyBorder="1"/>
    <x:xf numFmtId="0" fontId="0" fillId="7" borderId="8" xfId="0" applyNumberFormat="1" applyFont="1" applyFill="1" applyBorder="1"/>
    <x:xf numFmtId="0" fontId="4" fillId="7" borderId="8" xfId="0" applyNumberFormat="1" applyFont="1" applyFill="1" applyBorder="1"/>
    <x:xf numFmtId="0" fontId="4" fillId="7" borderId="18" xfId="0" applyNumberFormat="1" applyFont="1" applyFill="1" applyBorder="1"/>
    <x:xf numFmtId="0" fontId="4" fillId="7" borderId="19" xfId="0" applyNumberFormat="1" applyFont="1" applyFill="1" applyBorder="1"/>
    <x:xf numFmtId="0" fontId="4" fillId="7" borderId="18" xfId="0" applyNumberFormat="1" applyFont="1" applyFill="1" applyBorder="1" applyAlignment="1">
      <x:alignment wrapText="1"/>
    </x:xf>
    <x:xf numFmtId="0" fontId="4" fillId="7" borderId="19" xfId="0" applyNumberFormat="1" applyFont="1" applyFill="1" applyBorder="1" applyAlignment="1">
      <x:alignment wrapText="1"/>
    </x:xf>
    <x:xf numFmtId="0" fontId="4" fillId="7" borderId="18" xfId="0" applyNumberFormat="1" applyFont="1" applyFill="1" applyBorder="1" applyAlignment="1">
      <x:alignment horizontal="center" wrapText="1"/>
    </x:xf>
    <x:xf numFmtId="0" fontId="4" fillId="7" borderId="19" xfId="0" applyNumberFormat="1" applyFont="1" applyFill="1" applyBorder="1" applyAlignment="1">
      <x:alignment horizontal="center" wrapText="1"/>
    </x:xf>
    <x:xf numFmtId="0" fontId="4" fillId="7" borderId="18" xfId="0" applyNumberFormat="1" applyFont="1" applyFill="1" applyBorder="1" applyAlignment="1">
      <x:alignment horizontal="center" vertical="center" wrapText="1"/>
    </x:xf>
    <x:xf numFmtId="0" fontId="4" fillId="7" borderId="19" xfId="0" applyNumberFormat="1" applyFont="1" applyFill="1" applyBorder="1" applyAlignment="1">
      <x:alignment horizontal="center" vertical="center" wrapText="1"/>
    </x:xf>
    <x:xf numFmtId="0" fontId="0" fillId="7" borderId="16" xfId="0" applyNumberFormat="1" applyFont="1" applyFill="1" applyBorder="1"/>
    <x:xf numFmtId="0" fontId="4" fillId="7" borderId="16" xfId="0" applyNumberFormat="1" applyFont="1" applyFill="1" applyBorder="1"/>
    <x:xf numFmtId="0" fontId="4" fillId="7" borderId="20" xfId="0" applyNumberFormat="1" applyFont="1" applyFill="1" applyBorder="1"/>
    <x:xf numFmtId="0" fontId="4" fillId="7" borderId="21" xfId="0" applyNumberFormat="1" applyFont="1" applyFill="1" applyBorder="1"/>
    <x:xf numFmtId="0" fontId="4" fillId="7" borderId="20" xfId="0" applyNumberFormat="1" applyFont="1" applyFill="1" applyBorder="1" applyAlignment="1">
      <x:alignment wrapText="1"/>
    </x:xf>
    <x:xf numFmtId="0" fontId="4" fillId="7" borderId="21" xfId="0" applyNumberFormat="1" applyFont="1" applyFill="1" applyBorder="1" applyAlignment="1">
      <x:alignment wrapText="1"/>
    </x:xf>
    <x:xf numFmtId="0" fontId="4" fillId="7" borderId="20" xfId="0" applyNumberFormat="1" applyFont="1" applyFill="1" applyBorder="1" applyAlignment="1">
      <x:alignment horizontal="center" wrapText="1"/>
    </x:xf>
    <x:xf numFmtId="0" fontId="4" fillId="7" borderId="21" xfId="0" applyNumberFormat="1" applyFont="1" applyFill="1" applyBorder="1" applyAlignment="1">
      <x:alignment horizontal="center" wrapText="1"/>
    </x:xf>
    <x:xf numFmtId="0" fontId="4" fillId="7" borderId="20" xfId="0" applyNumberFormat="1" applyFont="1" applyFill="1" applyBorder="1" applyAlignment="1">
      <x:alignment horizontal="center" vertical="center" wrapText="1"/>
    </x:xf>
    <x:xf numFmtId="0" fontId="4" fillId="7" borderId="21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left" wrapText="1"/>
    </x:xf>
    <x:xf numFmtId="0" fontId="5" fillId="5" borderId="0" xfId="0" applyNumberFormat="1" applyFont="1" applyFill="1" applyBorder="1" applyAlignment="1">
      <x:alignment horizontal="left" vertical="center" wrapText="1"/>
    </x:xf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horizontal="left" wrapText="1"/>
    </x:xf>
    <x:xf numFmtId="0" fontId="5" fillId="5" borderId="1" xfId="0" applyNumberFormat="1" applyFont="1" applyFill="1" applyBorder="1" applyAlignment="1">
      <x:alignment horizontal="left" vertical="center" wrapText="1"/>
    </x:xf>
    <x:xf numFmtId="204" fontId="0" fillId="0" borderId="5" xfId="0" applyNumberFormat="1" applyFont="1" applyFill="1" applyBorder="1"/>
    <x:xf numFmtId="204" fontId="0" fillId="0" borderId="7" xfId="0" applyNumberFormat="1" applyFont="1" applyFill="1" applyBorder="1"/>
    <x:xf numFmtId="204" fontId="0" fillId="0" borderId="13" xfId="0" applyNumberFormat="1" applyFont="1" applyFill="1" applyBorder="1"/>
    <x:xf numFmtId="204" fontId="0" fillId="0" borderId="15" xfId="0" applyNumberFormat="1" applyFont="1" applyFill="1" applyBorder="1"/>
    <x:xf numFmtId="203" fontId="0" fillId="0" borderId="0" xfId="0" applyNumberFormat="1" applyFont="1" applyFill="1" applyBorder="1"/>
    <x:xf numFmtId="203" fontId="0" fillId="0" borderId="8" xfId="0" applyNumberFormat="1" applyFont="1" applyFill="1" applyBorder="1"/>
    <x:xf numFmtId="203" fontId="0" fillId="0" borderId="1" xfId="0" applyNumberFormat="1" applyFont="1" applyFill="1" applyBorder="1"/>
    <x:xf numFmtId="203" fontId="0" fillId="0" borderId="16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  <x:dxfs count="10">
    <x:dxf>
      <x:fill>
        <x:patternFill patternType="solid">
          <x:bgColor rgb="FFD9EAF7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f0a10440ff4a3f" /><Relationship Type="http://schemas.openxmlformats.org/officeDocument/2006/relationships/theme" Target="/xl/theme/theme1.xml" Id="R0cd25cee045b49fd" /><Relationship Type="http://schemas.openxmlformats.org/officeDocument/2006/relationships/sharedStrings" Target="/xl/sharedStrings.xml" Id="R93601d0bc23b4552" /><Relationship Type="http://schemas.openxmlformats.org/officeDocument/2006/relationships/worksheet" Target="/xl/worksheets/sheet1.xml" Id="Rf6437e0e2f844ae7" /><Relationship Type="http://schemas.openxmlformats.org/officeDocument/2006/relationships/worksheet" Target="/xl/worksheets/sheet2.xml" Id="R3da7e32245c54470" /><Relationship Type="http://schemas.openxmlformats.org/officeDocument/2006/relationships/worksheet" Target="/xl/worksheets/sheet3.xml" Id="R3e13d39583de4f1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6d0922f74654d0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Perbandingan α terhadap Jumlah Bore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</c:ser>
        <c:ser>
          <c:idx val="1"/>
          <c:order val="1"/>
          <c:tx>
            <c:v>α ID 37.4 mm</c:v>
          </c:tx>
          <c:cat>
            <c:strRef>
              <c:f>'Alpha_Regime_2_ID'!$A$4:$A$103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'Alpha_Regime_2_ID'!$C$4:$C$103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α ID 55.4 mm</c:v>
          </c:tx>
          <c:cat>
            <c:strRef>
              <c:f>'Alpha_Regime_2_ID'!$A$4:$A$103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'Alpha_Regime_2_ID'!$F$4:$F$103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2</xdr:row>
      <xdr:rowOff>0</xdr:rowOff>
    </xdr:from>
    <xdr:to>
      <xdr:col>19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6d0922f74654d0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d3ae98c90a1d4bba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8" hidden="0" customWidth="1"/>
    <x:col min="3" max="3" width="18" hidden="0" customWidth="1"/>
    <x:col min="4" max="4" width="18" hidden="0" customWidth="1"/>
    <x:col min="5" max="5" width="13" hidden="0" customWidth="1"/>
  </x:cols>
  <x:sheetData>
    <x:row r="1" ht="25" customHeight="1">
      <x:c r="A1" s="5" t="str">
        <x:v>INPUT DESIGN DIFFUSER — KOMPARASI DUA ID RISER</x:v>
      </x:c>
      <x:c r="B1" s="5"/>
      <x:c r="C1" s="5"/>
      <x:c r="D1" s="5"/>
      <x:c r="E1" s="5"/>
    </x:row>
    <x:row r="2">
      <x:c r="A2" s="20" t="str">
        <x:v>No</x:v>
      </x:c>
      <x:c r="B2" s="21" t="str">
        <x:v>Parameter</x:v>
      </x:c>
      <x:c r="C2" s="21" t="str">
        <x:v>ID 37.4 mm</x:v>
      </x:c>
      <x:c r="D2" s="21" t="str">
        <x:v>ID 55.4 mm</x:v>
      </x:c>
      <x:c r="E2" s="22" t="str">
        <x:v>Satuan</x:v>
      </x:c>
    </x:row>
    <x:row r="3">
      <x:c r="A3" s="23" t="n">
        <x:v>1</x:v>
      </x:c>
      <x:c r="B3" s="24" t="str">
        <x:v>ID riser, D</x:v>
      </x:c>
      <x:c r="C3" s="53" t="n">
        <x:v>0.0374</x:v>
      </x:c>
      <x:c r="D3" s="53" t="n">
        <x:v>0.0554</x:v>
      </x:c>
      <x:c r="E3" s="25" t="str">
        <x:v>m</x:v>
      </x:c>
    </x:row>
    <x:row r="4">
      <x:c r="A4" s="23" t="n">
        <x:v>2</x:v>
      </x:c>
      <x:c r="B4" s="24" t="str">
        <x:v>Kedalaman injeksi, Hs</x:v>
      </x:c>
      <x:c r="C4" s="53" t="n">
        <x:v>0.6</x:v>
      </x:c>
      <x:c r="D4" s="53" t="n">
        <x:v>0.6</x:v>
      </x:c>
      <x:c r="E4" s="25" t="str">
        <x:v>m</x:v>
      </x:c>
    </x:row>
    <x:row r="5">
      <x:c r="A5" s="23" t="n">
        <x:v>3</x:v>
      </x:c>
      <x:c r="B5" s="24" t="str">
        <x:v>Panjang jalur campuran, L</x:v>
      </x:c>
      <x:c r="C5" s="53" t="n">
        <x:v>1</x:v>
      </x:c>
      <x:c r="D5" s="53" t="n">
        <x:v>1</x:v>
      </x:c>
      <x:c r="E5" s="25" t="str">
        <x:v>m</x:v>
      </x:c>
    </x:row>
    <x:row r="6">
      <x:c r="A6" s="23" t="n">
        <x:v>4</x:v>
      </x:c>
      <x:c r="B6" s="24" t="str">
        <x:v>Diameter bore, dh</x:v>
      </x:c>
      <x:c r="C6" s="53" t="n">
        <x:v>0.001</x:v>
      </x:c>
      <x:c r="D6" s="53" t="n">
        <x:v>0.001</x:v>
      </x:c>
      <x:c r="E6" s="25" t="str">
        <x:v>m</x:v>
      </x:c>
    </x:row>
    <x:row r="7">
      <x:c r="A7" s="23" t="n">
        <x:v>5</x:v>
      </x:c>
      <x:c r="B7" s="24" t="str">
        <x:v>Tebal PVC, t</x:v>
      </x:c>
      <x:c r="C7" s="53" t="n">
        <x:v>0.002</x:v>
      </x:c>
      <x:c r="D7" s="53" t="n">
        <x:v>0.002</x:v>
      </x:c>
      <x:c r="E7" s="25" t="str">
        <x:v>m</x:v>
      </x:c>
    </x:row>
    <x:row r="8">
      <x:c r="A8" s="23" t="n">
        <x:v>6</x:v>
      </x:c>
      <x:c r="B8" s="24" t="str">
        <x:v>Koefisien discharge, Cd</x:v>
      </x:c>
      <x:c r="C8" s="53" t="n">
        <x:v>0.75</x:v>
      </x:c>
      <x:c r="D8" s="53" t="n">
        <x:v>0.75</x:v>
      </x:c>
      <x:c r="E8" s="25" t="str">
        <x:v>-</x:v>
      </x:c>
    </x:row>
    <x:row r="9">
      <x:c r="A9" s="23" t="n">
        <x:v>7</x:v>
      </x:c>
      <x:c r="B9" s="24" t="str">
        <x:v>Surface tension, σ</x:v>
      </x:c>
      <x:c r="C9" s="53" t="n">
        <x:v>0.072</x:v>
      </x:c>
      <x:c r="D9" s="53" t="n">
        <x:v>0.072</x:v>
      </x:c>
      <x:c r="E9" s="25" t="str">
        <x:v>N/m</x:v>
      </x:c>
    </x:row>
    <x:row r="10">
      <x:c r="A10" s="23" t="n">
        <x:v>8</x:v>
      </x:c>
      <x:c r="B10" s="24" t="str">
        <x:v>cos θ (basis ideal)</x:v>
      </x:c>
      <x:c r="C10" s="53" t="n">
        <x:v>1</x:v>
      </x:c>
      <x:c r="D10" s="53" t="n">
        <x:v>1</x:v>
      </x:c>
      <x:c r="E10" s="25" t="str">
        <x:v>-</x:v>
      </x:c>
    </x:row>
    <x:row r="11">
      <x:c r="A11" s="23" t="n">
        <x:v>9</x:v>
      </x:c>
      <x:c r="B11" s="24" t="str">
        <x:v>Densitas udara lokal, ρg</x:v>
      </x:c>
      <x:c r="C11" s="53" t="n">
        <x:v>1.27</x:v>
      </x:c>
      <x:c r="D11" s="53" t="n">
        <x:v>1.27</x:v>
      </x:c>
      <x:c r="E11" s="25" t="str">
        <x:v>kg/m³</x:v>
      </x:c>
    </x:row>
    <x:row r="12">
      <x:c r="A12" s="23" t="n">
        <x:v>10</x:v>
      </x:c>
      <x:c r="B12" s="24" t="str">
        <x:v>Densitas air, ρl</x:v>
      </x:c>
      <x:c r="C12" s="53" t="n">
        <x:v>997</x:v>
      </x:c>
      <x:c r="D12" s="53" t="n">
        <x:v>997</x:v>
      </x:c>
      <x:c r="E12" s="25" t="str">
        <x:v>kg/m³</x:v>
      </x:c>
    </x:row>
    <x:row r="13">
      <x:c r="A13" s="23" t="n">
        <x:v>11</x:v>
      </x:c>
      <x:c r="B13" s="24" t="str">
        <x:v>Viskositas air, μl</x:v>
      </x:c>
      <x:c r="C13" s="53" t="n">
        <x:v>0.00089</x:v>
      </x:c>
      <x:c r="D13" s="53" t="n">
        <x:v>0.00089</x:v>
      </x:c>
      <x:c r="E13" s="25" t="str">
        <x:v>Pa·s</x:v>
      </x:c>
    </x:row>
    <x:row r="14">
      <x:c r="A14" s="23" t="n">
        <x:v>12</x:v>
      </x:c>
      <x:c r="B14" s="24" t="str">
        <x:v>ΔP diffuser</x:v>
      </x:c>
      <x:c r="C14" s="53" t="n">
        <x:v>60</x:v>
      </x:c>
      <x:c r="D14" s="53" t="n">
        <x:v>60</x:v>
      </x:c>
      <x:c r="E14" s="25" t="str">
        <x:v>mmH₂O</x:v>
      </x:c>
    </x:row>
    <x:row r="15">
      <x:c r="A15" s="26" t="n">
        <x:v>13</x:v>
      </x:c>
      <x:c r="B15" s="27" t="str">
        <x:v>Jumlah bore, N</x:v>
      </x:c>
      <x:c r="C15" s="54" t="n">
        <x:v>40</x:v>
      </x:c>
      <x:c r="D15" s="54" t="n">
        <x:v>40</x:v>
      </x:c>
      <x:c r="E15" s="28" t="str">
        <x:v>bore</x:v>
      </x:c>
    </x:row>
    <x:row r="17">
      <x:c r="A17" s="40" t="str">
        <x:v>HASIL DESAIN TERPILIH — DIHITUNG ULANG UNTUK MASING-MASING ID RISER</x:v>
      </x:c>
      <x:c r="B17" s="40"/>
      <x:c r="C17" s="40"/>
      <x:c r="D17" s="40"/>
      <x:c r="E17" s="40"/>
    </x:row>
    <x:row r="18">
      <x:c r="A18" s="20" t="str">
        <x:v>No</x:v>
      </x:c>
      <x:c r="B18" s="21" t="str">
        <x:v>Parameter</x:v>
      </x:c>
      <x:c r="C18" s="21" t="str">
        <x:v>Hasil ID 37.4 mm</x:v>
      </x:c>
      <x:c r="D18" s="21" t="str">
        <x:v>Hasil ID 55.4 mm</x:v>
      </x:c>
      <x:c r="E18" s="22" t="str">
        <x:v>Satuan</x:v>
      </x:c>
    </x:row>
    <x:row r="19">
      <x:c r="A19" s="23" t="n">
        <x:v>14</x:v>
      </x:c>
      <x:c r="B19" s="24" t="str">
        <x:v>Luas riser, Ar</x:v>
      </x:c>
      <x:c r="C19" s="57" t="n">
        <x:v>0.001098583535033815</x:v>
      </x:c>
      <x:c r="D19" s="57" t="n">
        <x:v>0.002410512627172912</x:v>
      </x:c>
      <x:c r="E19" s="25" t="str">
        <x:v>m²</x:v>
      </x:c>
    </x:row>
    <x:row r="20">
      <x:c r="A20" s="23" t="n">
        <x:v>15</x:v>
      </x:c>
      <x:c r="B20" s="24" t="str">
        <x:v>ΔP capillary</x:v>
      </x:c>
      <x:c r="C20" s="59" t="n">
        <x:v>29.367826933764334</x:v>
      </x:c>
      <x:c r="D20" s="59" t="n">
        <x:v>29.367826933764334</x:v>
      </x:c>
      <x:c r="E20" s="25" t="str">
        <x:v>mmH₂O</x:v>
      </x:c>
    </x:row>
    <x:row r="21">
      <x:c r="A21" s="23" t="n">
        <x:v>16</x:v>
      </x:c>
      <x:c r="B21" s="24" t="str">
        <x:v>ΔP aliran bore</x:v>
      </x:c>
      <x:c r="C21" s="59" t="n">
        <x:v>30.632173066235666</x:v>
      </x:c>
      <x:c r="D21" s="59" t="n">
        <x:v>30.632173066235666</x:v>
      </x:c>
      <x:c r="E21" s="25" t="str">
        <x:v>mmH₂O</x:v>
      </x:c>
    </x:row>
    <x:row r="22">
      <x:c r="A22" s="23" t="n">
        <x:v>17</x:v>
      </x:c>
      <x:c r="B22" s="24" t="str">
        <x:v>Luas satu bore, Ah</x:v>
      </x:c>
      <x:c r="C22" s="57" t="n">
        <x:v>7.853981633974482e-7</x:v>
      </x:c>
      <x:c r="D22" s="57" t="n">
        <x:v>7.853981633974482e-7</x:v>
      </x:c>
      <x:c r="E22" s="25" t="str">
        <x:v>m²</x:v>
      </x:c>
    </x:row>
    <x:row r="23">
      <x:c r="A23" s="23" t="n">
        <x:v>18</x:v>
      </x:c>
      <x:c r="B23" s="24" t="str">
        <x:v>Flow tiap bore (lokal)</x:v>
      </x:c>
      <x:c r="C23" s="61" t="n">
        <x:v>0.7687139702380522</x:v>
      </x:c>
      <x:c r="D23" s="61" t="n">
        <x:v>0.7687139702380522</x:v>
      </x:c>
      <x:c r="E23" s="25" t="str">
        <x:v>L/min</x:v>
      </x:c>
    </x:row>
    <x:row r="24">
      <x:c r="A24" s="23" t="n">
        <x:v>19</x:v>
      </x:c>
      <x:c r="B24" s="24" t="str">
        <x:v>Flow udara total (lokal)</x:v>
      </x:c>
      <x:c r="C24" s="61" t="n">
        <x:v>30.748558809522088</x:v>
      </x:c>
      <x:c r="D24" s="61" t="n">
        <x:v>30.748558809522088</x:v>
      </x:c>
      <x:c r="E24" s="25" t="str">
        <x:v>L/min</x:v>
      </x:c>
    </x:row>
    <x:row r="25">
      <x:c r="A25" s="23" t="n">
        <x:v>20</x:v>
      </x:c>
      <x:c r="B25" s="24" t="str">
        <x:v>Jg (diagnostik, bukan dasar regime)</x:v>
      </x:c>
      <x:c r="C25" s="61" t="n">
        <x:v>0.46648794908702795</x:v>
      </x:c>
      <x:c r="D25" s="61" t="n">
        <x:v>0.21260041303319846</x:v>
      </x:c>
      <x:c r="E25" s="25" t="str">
        <x:v>m/s</x:v>
      </x:c>
    </x:row>
    <x:row r="26">
      <x:c r="A26" s="23" t="n">
        <x:v>21</x:v>
      </x:c>
      <x:c r="B26" s="24" t="str">
        <x:v>Jl hasil model</x:v>
      </x:c>
      <x:c r="C26" s="61" t="n">
        <x:v>0.235205968182553</x:v>
      </x:c>
      <x:c r="D26" s="61" t="n">
        <x:v>0.014221837556413132</x:v>
      </x:c>
      <x:c r="E26" s="25" t="str">
        <x:v>m/s</x:v>
      </x:c>
    </x:row>
    <x:row r="27">
      <x:c r="A27" s="23" t="n">
        <x:v>22</x:v>
      </x:c>
      <x:c r="B27" s="24" t="str">
        <x:v>Qw hasil model</x:v>
      </x:c>
      <x:c r="C27" s="61" t="n">
        <x:v>15.503604239222403</x:v>
      </x:c>
      <x:c r="D27" s="61" t="n">
        <x:v>2.0569151406801485</x:v>
      </x:c>
      <x:c r="E27" s="25" t="str">
        <x:v>L/min</x:v>
      </x:c>
    </x:row>
    <x:row r="28">
      <x:c r="A28" s="23" t="n">
        <x:v>23</x:v>
      </x:c>
      <x:c r="B28" s="24" t="str">
        <x:v>Slip ratio, s</x:v>
      </x:c>
      <x:c r="C28" s="61" t="n">
        <x:v>2.4978522855510126</x:v>
      </x:c>
      <x:c r="D28" s="61" t="n">
        <x:v>22.329367682319656</x:v>
      </x:c>
      <x:c r="E28" s="25" t="str">
        <x:v>-</x:v>
      </x:c>
    </x:row>
    <x:row r="29">
      <x:c r="A29" s="23" t="n">
        <x:v>24</x:v>
      </x:c>
      <x:c r="B29" s="24" t="str">
        <x:v>Void fraction, α</x:v>
      </x:c>
      <x:c r="C29" s="61" t="n">
        <x:v>0.4425891467920013</x:v>
      </x:c>
      <x:c r="D29" s="61" t="n">
        <x:v>0.40100797261305415</x:v>
      </x:c>
      <x:c r="E29" s="25" t="str">
        <x:v>-</x:v>
      </x:c>
    </x:row>
    <x:row r="30">
      <x:c r="A30" s="26" t="n">
        <x:v>25</x:v>
      </x:c>
      <x:c r="B30" s="27" t="str">
        <x:v>Rezim berdasarkan α</x:v>
      </x:c>
      <x:c r="C30" s="71" t="str">
        <x:v>Slug / intermittent</x:v>
      </x:c>
      <x:c r="D30" s="72" t="str">
        <x:v>Slug / intermittent</x:v>
      </x:c>
      <x:c r="E30" s="28" t="str"/>
    </x:row>
    <x:row r="31" ht="40" customHeight="1">
      <x:c r="A31" s="86" t="str">
        <x:v>Kriteria regime model: α &lt; 0.20 bubbly dominan; 0.20–&lt;0.30 transisi; 0.30–&lt;0.52 slug/intermittent; 0.52–&lt;0.70 churn; α ≥ 0.70 churn tinggi/menuju annular. Nilai untuk setiap kolom telah dihitung ulang terhadap ID riser masing-masing.</x:v>
      </x:c>
      <x:c r="B31" s="86"/>
      <x:c r="C31" s="86"/>
      <x:c r="D31" s="86"/>
      <x:c r="E31" s="86"/>
    </x:row>
  </x:sheetData>
  <x:mergeCells>
    <x:mergeCell ref="A1:E1"/>
    <x:mergeCell ref="A17:E17"/>
    <x:mergeCell ref="A31:E3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6" hidden="0" customWidth="1"/>
    <x:col min="4" max="4" width="27" hidden="0" customWidth="1"/>
    <x:col min="5" max="5" width="17" hidden="0" customWidth="1"/>
    <x:col min="6" max="6" width="16" hidden="0" customWidth="1"/>
    <x:col min="7" max="7" width="27" hidden="0" customWidth="1"/>
    <x:col min="8" max="8" width="17" hidden="0" customWidth="1"/>
    <x:col min="9" max="9" width="27" hidden="0" customWidth="1"/>
  </x:cols>
  <x:sheetData>
    <x:row r="1" ht="25" customHeight="1">
      <x:c r="A1" s="5" t="str">
        <x:v>TABEL α vs REZIM — KOMPARASI ID RISER 37.4 mm DAN 55.4 mm</x:v>
      </x:c>
      <x:c r="B1" s="5"/>
      <x:c r="C1" s="5"/>
      <x:c r="D1" s="5"/>
      <x:c r="E1" s="5"/>
      <x:c r="F1" s="5"/>
      <x:c r="G1" s="5"/>
      <x:c r="H1" s="5"/>
      <x:c r="I1" s="5"/>
    </x:row>
    <x:row r="3">
      <x:c r="A3" s="20" t="str">
        <x:v>N bore</x:v>
      </x:c>
      <x:c r="B3" s="21" t="str">
        <x:v>Qg lokal
(L/min)</x:v>
      </x:c>
      <x:c r="C3" s="21" t="str">
        <x:v>α — ID 37.4 mm</x:v>
      </x:c>
      <x:c r="D3" s="21" t="str">
        <x:v>Rezim — ID 37.4 mm</x:v>
      </x:c>
      <x:c r="E3" s="21" t="str">
        <x:v>Qw — ID 37.4 mm
(L/min)</x:v>
      </x:c>
      <x:c r="F3" s="21" t="str">
        <x:v>α — ID 55.4 mm</x:v>
      </x:c>
      <x:c r="G3" s="21" t="str">
        <x:v>Rezim — ID 55.4 mm</x:v>
      </x:c>
      <x:c r="H3" s="21" t="str">
        <x:v>Qw — ID 55.4 mm
(L/min)</x:v>
      </x:c>
      <x:c r="I3" s="22" t="str">
        <x:v>Catatan</x:v>
      </x:c>
    </x:row>
    <x:row r="4">
      <x:c r="A4" s="91" t="n">
        <x:v>1</x:v>
      </x:c>
      <x:c r="B4" s="95" t="n">
        <x:v>0.7687139702380522</x:v>
      </x:c>
      <x:c r="C4" s="95"/>
      <x:c r="D4" s="99" t="str">
        <x:v>Di luar domain model</x:v>
      </x:c>
      <x:c r="E4" s="95"/>
      <x:c r="F4" s="95"/>
      <x:c r="G4" s="99" t="str">
        <x:v>Di luar domain model</x:v>
      </x:c>
      <x:c r="H4" s="95"/>
      <x:c r="I4" s="25" t="str"/>
    </x:row>
    <x:row r="5">
      <x:c r="A5" s="91" t="n">
        <x:v>2</x:v>
      </x:c>
      <x:c r="B5" s="95" t="n">
        <x:v>1.5374279404761044</x:v>
      </x:c>
      <x:c r="C5" s="95"/>
      <x:c r="D5" s="99" t="str">
        <x:v>Di luar domain model</x:v>
      </x:c>
      <x:c r="E5" s="95"/>
      <x:c r="F5" s="95"/>
      <x:c r="G5" s="99" t="str">
        <x:v>Di luar domain model</x:v>
      </x:c>
      <x:c r="H5" s="95"/>
      <x:c r="I5" s="25" t="str"/>
    </x:row>
    <x:row r="6">
      <x:c r="A6" s="91" t="n">
        <x:v>3</x:v>
      </x:c>
      <x:c r="B6" s="95" t="n">
        <x:v>2.3061419107141568</x:v>
      </x:c>
      <x:c r="C6" s="95"/>
      <x:c r="D6" s="99" t="str">
        <x:v>Di luar domain model</x:v>
      </x:c>
      <x:c r="E6" s="95"/>
      <x:c r="F6" s="95"/>
      <x:c r="G6" s="99" t="str">
        <x:v>Di luar domain model</x:v>
      </x:c>
      <x:c r="H6" s="95"/>
      <x:c r="I6" s="25" t="str"/>
    </x:row>
    <x:row r="7">
      <x:c r="A7" s="91" t="n">
        <x:v>4</x:v>
      </x:c>
      <x:c r="B7" s="95" t="n">
        <x:v>3.074855880952209</x:v>
      </x:c>
      <x:c r="C7" s="95"/>
      <x:c r="D7" s="99" t="str">
        <x:v>Di luar domain model</x:v>
      </x:c>
      <x:c r="E7" s="95"/>
      <x:c r="F7" s="95"/>
      <x:c r="G7" s="99" t="str">
        <x:v>Di luar domain model</x:v>
      </x:c>
      <x:c r="H7" s="95"/>
      <x:c r="I7" s="25" t="str"/>
    </x:row>
    <x:row r="8">
      <x:c r="A8" s="91" t="n">
        <x:v>5</x:v>
      </x:c>
      <x:c r="B8" s="95" t="n">
        <x:v>3.843569851190261</x:v>
      </x:c>
      <x:c r="C8" s="95"/>
      <x:c r="D8" s="99" t="str">
        <x:v>Di luar domain model</x:v>
      </x:c>
      <x:c r="E8" s="95"/>
      <x:c r="F8" s="95"/>
      <x:c r="G8" s="99" t="str">
        <x:v>Di luar domain model</x:v>
      </x:c>
      <x:c r="H8" s="95"/>
      <x:c r="I8" s="25" t="str"/>
    </x:row>
    <x:row r="9">
      <x:c r="A9" s="91" t="n">
        <x:v>6</x:v>
      </x:c>
      <x:c r="B9" s="95" t="n">
        <x:v>4.6122838214283135</x:v>
      </x:c>
      <x:c r="C9" s="95"/>
      <x:c r="D9" s="99" t="str">
        <x:v>Di luar domain model</x:v>
      </x:c>
      <x:c r="E9" s="95"/>
      <x:c r="F9" s="95"/>
      <x:c r="G9" s="99" t="str">
        <x:v>Di luar domain model</x:v>
      </x:c>
      <x:c r="H9" s="95"/>
      <x:c r="I9" s="25" t="str"/>
    </x:row>
    <x:row r="10">
      <x:c r="A10" s="91" t="n">
        <x:v>7</x:v>
      </x:c>
      <x:c r="B10" s="95" t="n">
        <x:v>5.380997791666365</x:v>
      </x:c>
      <x:c r="C10" s="95"/>
      <x:c r="D10" s="99" t="str">
        <x:v>Di luar domain model</x:v>
      </x:c>
      <x:c r="E10" s="95"/>
      <x:c r="F10" s="95"/>
      <x:c r="G10" s="99" t="str">
        <x:v>Di luar domain model</x:v>
      </x:c>
      <x:c r="H10" s="95"/>
      <x:c r="I10" s="25" t="str"/>
    </x:row>
    <x:row r="11">
      <x:c r="A11" s="91" t="n">
        <x:v>8</x:v>
      </x:c>
      <x:c r="B11" s="95" t="n">
        <x:v>6.149711761904418</x:v>
      </x:c>
      <x:c r="C11" s="95"/>
      <x:c r="D11" s="99" t="str">
        <x:v>Di luar domain model</x:v>
      </x:c>
      <x:c r="E11" s="95"/>
      <x:c r="F11" s="95"/>
      <x:c r="G11" s="99" t="str">
        <x:v>Di luar domain model</x:v>
      </x:c>
      <x:c r="H11" s="95"/>
      <x:c r="I11" s="25" t="str"/>
    </x:row>
    <x:row r="12">
      <x:c r="A12" s="91" t="n">
        <x:v>9</x:v>
      </x:c>
      <x:c r="B12" s="95" t="n">
        <x:v>6.91842573214247</x:v>
      </x:c>
      <x:c r="C12" s="95"/>
      <x:c r="D12" s="99" t="str">
        <x:v>Di luar domain model</x:v>
      </x:c>
      <x:c r="E12" s="95"/>
      <x:c r="F12" s="95"/>
      <x:c r="G12" s="99" t="str">
        <x:v>Di luar domain model</x:v>
      </x:c>
      <x:c r="H12" s="95"/>
      <x:c r="I12" s="25" t="str"/>
    </x:row>
    <x:row r="13">
      <x:c r="A13" s="91" t="n">
        <x:v>10</x:v>
      </x:c>
      <x:c r="B13" s="95" t="n">
        <x:v>7.687139702380522</x:v>
      </x:c>
      <x:c r="C13" s="95"/>
      <x:c r="D13" s="99" t="str">
        <x:v>Di luar domain model</x:v>
      </x:c>
      <x:c r="E13" s="95"/>
      <x:c r="F13" s="95"/>
      <x:c r="G13" s="99" t="str">
        <x:v>Di luar domain model</x:v>
      </x:c>
      <x:c r="H13" s="95"/>
      <x:c r="I13" s="25" t="str"/>
    </x:row>
    <x:row r="14">
      <x:c r="A14" s="91" t="n">
        <x:v>11</x:v>
      </x:c>
      <x:c r="B14" s="95" t="n">
        <x:v>8.455853672618574</x:v>
      </x:c>
      <x:c r="C14" s="95"/>
      <x:c r="D14" s="99" t="str">
        <x:v>Di luar domain model</x:v>
      </x:c>
      <x:c r="E14" s="95"/>
      <x:c r="F14" s="95"/>
      <x:c r="G14" s="99" t="str">
        <x:v>Di luar domain model</x:v>
      </x:c>
      <x:c r="H14" s="95"/>
      <x:c r="I14" s="25" t="str"/>
    </x:row>
    <x:row r="15">
      <x:c r="A15" s="91" t="n">
        <x:v>12</x:v>
      </x:c>
      <x:c r="B15" s="95" t="n">
        <x:v>9.224567642856627</x:v>
      </x:c>
      <x:c r="C15" s="95"/>
      <x:c r="D15" s="99" t="str">
        <x:v>Di luar domain model</x:v>
      </x:c>
      <x:c r="E15" s="95"/>
      <x:c r="F15" s="95"/>
      <x:c r="G15" s="99" t="str">
        <x:v>Di luar domain model</x:v>
      </x:c>
      <x:c r="H15" s="95"/>
      <x:c r="I15" s="25" t="str"/>
    </x:row>
    <x:row r="16">
      <x:c r="A16" s="91" t="n">
        <x:v>13</x:v>
      </x:c>
      <x:c r="B16" s="95" t="n">
        <x:v>9.993281613094679</x:v>
      </x:c>
      <x:c r="C16" s="95"/>
      <x:c r="D16" s="99" t="str">
        <x:v>Di luar domain model</x:v>
      </x:c>
      <x:c r="E16" s="95"/>
      <x:c r="F16" s="95"/>
      <x:c r="G16" s="99" t="str">
        <x:v>Di luar domain model</x:v>
      </x:c>
      <x:c r="H16" s="95"/>
      <x:c r="I16" s="25" t="str"/>
    </x:row>
    <x:row r="17">
      <x:c r="A17" s="91" t="n">
        <x:v>14</x:v>
      </x:c>
      <x:c r="B17" s="95" t="n">
        <x:v>10.76199558333273</x:v>
      </x:c>
      <x:c r="C17" s="95"/>
      <x:c r="D17" s="99" t="str">
        <x:v>Di luar domain model</x:v>
      </x:c>
      <x:c r="E17" s="95"/>
      <x:c r="F17" s="95"/>
      <x:c r="G17" s="99" t="str">
        <x:v>Di luar domain model</x:v>
      </x:c>
      <x:c r="H17" s="95"/>
      <x:c r="I17" s="25" t="str"/>
    </x:row>
    <x:row r="18">
      <x:c r="A18" s="91" t="n">
        <x:v>15</x:v>
      </x:c>
      <x:c r="B18" s="95" t="n">
        <x:v>11.530709553570784</x:v>
      </x:c>
      <x:c r="C18" s="95" t="n">
        <x:v>0.4010338002981436</x:v>
      </x:c>
      <x:c r="D18" s="99" t="str">
        <x:v>Slug / intermittent</x:v>
      </x:c>
      <x:c r="E18" s="95" t="n">
        <x:v>0.7866126858539111</x:v>
      </x:c>
      <x:c r="F18" s="95"/>
      <x:c r="G18" s="99" t="str">
        <x:v>Di luar domain model</x:v>
      </x:c>
      <x:c r="H18" s="95"/>
      <x:c r="I18" s="25" t="str"/>
    </x:row>
    <x:row r="19">
      <x:c r="A19" s="91" t="n">
        <x:v>16</x:v>
      </x:c>
      <x:c r="B19" s="95" t="n">
        <x:v>12.299423523808835</x:v>
      </x:c>
      <x:c r="C19" s="95" t="n">
        <x:v>0.40200155160365475</x:v>
      </x:c>
      <x:c r="D19" s="99" t="str">
        <x:v>Slug / intermittent</x:v>
      </x:c>
      <x:c r="E19" s="95" t="n">
        <x:v>1.5537317937884156</x:v>
      </x:c>
      <x:c r="F19" s="95"/>
      <x:c r="G19" s="99" t="str">
        <x:v>Di luar domain model</x:v>
      </x:c>
      <x:c r="H19" s="95"/>
      <x:c r="I19" s="25" t="str"/>
    </x:row>
    <x:row r="20">
      <x:c r="A20" s="91" t="n">
        <x:v>17</x:v>
      </x:c>
      <x:c r="B20" s="95" t="n">
        <x:v>13.068137494046887</x:v>
      </x:c>
      <x:c r="C20" s="95" t="n">
        <x:v>0.4030477552652352</x:v>
      </x:c>
      <x:c r="D20" s="99" t="str">
        <x:v>Slug / intermittent</x:v>
      </x:c>
      <x:c r="E20" s="95" t="n">
        <x:v>2.308213845586808</x:v>
      </x:c>
      <x:c r="F20" s="95"/>
      <x:c r="G20" s="99" t="str">
        <x:v>Di luar domain model</x:v>
      </x:c>
      <x:c r="H20" s="95"/>
      <x:c r="I20" s="25" t="str"/>
    </x:row>
    <x:row r="21">
      <x:c r="A21" s="91" t="n">
        <x:v>18</x:v>
      </x:c>
      <x:c r="B21" s="95" t="n">
        <x:v>13.83685146428494</x:v>
      </x:c>
      <x:c r="C21" s="95" t="n">
        <x:v>0.4041802742314617</x:v>
      </x:c>
      <x:c r="D21" s="99" t="str">
        <x:v>Slug / intermittent</x:v>
      </x:c>
      <x:c r="E21" s="95" t="n">
        <x:v>3.048714980848307</x:v>
      </x:c>
      <x:c r="F21" s="95"/>
      <x:c r="G21" s="99" t="str">
        <x:v>Di luar domain model</x:v>
      </x:c>
      <x:c r="H21" s="95"/>
      <x:c r="I21" s="25" t="str"/>
    </x:row>
    <x:row r="22">
      <x:c r="A22" s="91" t="n">
        <x:v>19</x:v>
      </x:c>
      <x:c r="B22" s="95" t="n">
        <x:v>14.605565434522992</x:v>
      </x:c>
      <x:c r="C22" s="95" t="n">
        <x:v>0.40539746236418395</x:v>
      </x:c>
      <x:c r="D22" s="99" t="str">
        <x:v>Slug / intermittent</x:v>
      </x:c>
      <x:c r="E22" s="95" t="n">
        <x:v>3.774510279650666</x:v>
      </x:c>
      <x:c r="F22" s="95"/>
      <x:c r="G22" s="99" t="str">
        <x:v>Di luar domain model</x:v>
      </x:c>
      <x:c r="H22" s="95"/>
      <x:c r="I22" s="25" t="str"/>
    </x:row>
    <x:row r="23">
      <x:c r="A23" s="91" t="n">
        <x:v>20</x:v>
      </x:c>
      <x:c r="B23" s="95" t="n">
        <x:v>15.374279404761044</x:v>
      </x:c>
      <x:c r="C23" s="95" t="n">
        <x:v>0.40669510180673873</x:v>
      </x:c>
      <x:c r="D23" s="99" t="str">
        <x:v>Slug / intermittent</x:v>
      </x:c>
      <x:c r="E23" s="95" t="n">
        <x:v>4.48512508086494</x:v>
      </x:c>
      <x:c r="F23" s="95"/>
      <x:c r="G23" s="99" t="str">
        <x:v>Di luar domain model</x:v>
      </x:c>
      <x:c r="H23" s="95"/>
      <x:c r="I23" s="25" t="str"/>
    </x:row>
    <x:row r="24">
      <x:c r="A24" s="91" t="n">
        <x:v>21</x:v>
      </x:c>
      <x:c r="B24" s="95" t="n">
        <x:v>16.142993374999097</x:v>
      </x:c>
      <x:c r="C24" s="95" t="n">
        <x:v>0.4080681491212038</x:v>
      </x:c>
      <x:c r="D24" s="99" t="str">
        <x:v>Slug / intermittent</x:v>
      </x:c>
      <x:c r="E24" s="95" t="n">
        <x:v>5.180236692579484</x:v>
      </x:c>
      <x:c r="F24" s="95"/>
      <x:c r="G24" s="99" t="str">
        <x:v>Di luar domain model</x:v>
      </x:c>
      <x:c r="H24" s="95"/>
      <x:c r="I24" s="25" t="str"/>
    </x:row>
    <x:row r="25">
      <x:c r="A25" s="91" t="n">
        <x:v>22</x:v>
      </x:c>
      <x:c r="B25" s="95" t="n">
        <x:v>16.911707345237147</x:v>
      </x:c>
      <x:c r="C25" s="95" t="n">
        <x:v>0.4095113451049784</x:v>
      </x:c>
      <x:c r="D25" s="99" t="str">
        <x:v>Slug / intermittent</x:v>
      </x:c>
      <x:c r="E25" s="95" t="n">
        <x:v>5.859634379145389</x:v>
      </x:c>
      <x:c r="F25" s="95"/>
      <x:c r="G25" s="99" t="str">
        <x:v>Di luar domain model</x:v>
      </x:c>
      <x:c r="H25" s="95"/>
      <x:c r="I25" s="25" t="str"/>
    </x:row>
    <x:row r="26">
      <x:c r="A26" s="91" t="n">
        <x:v>23</x:v>
      </x:c>
      <x:c r="B26" s="95" t="n">
        <x:v>17.6804213154752</x:v>
      </x:c>
      <x:c r="C26" s="95" t="n">
        <x:v>0.41101946887165675</x:v>
      </x:c>
      <x:c r="D26" s="99" t="str">
        <x:v>Slug / intermittent</x:v>
      </x:c>
      <x:c r="E26" s="95" t="n">
        <x:v>6.523197556471881</x:v>
      </x:c>
      <x:c r="F26" s="95"/>
      <x:c r="G26" s="99" t="str">
        <x:v>Di luar domain model</x:v>
      </x:c>
      <x:c r="H26" s="95"/>
      <x:c r="I26" s="25" t="str"/>
    </x:row>
    <x:row r="27">
      <x:c r="A27" s="91" t="n">
        <x:v>24</x:v>
      </x:c>
      <x:c r="B27" s="95" t="n">
        <x:v>18.449135285713254</x:v>
      </x:c>
      <x:c r="C27" s="95" t="n">
        <x:v>0.41258745520686607</x:v>
      </x:c>
      <x:c r="D27" s="99" t="str">
        <x:v>Slug / intermittent</x:v>
      </x:c>
      <x:c r="E27" s="95" t="n">
        <x:v>7.170881150908905</x:v>
      </x:c>
      <x:c r="F27" s="95"/>
      <x:c r="G27" s="99" t="str">
        <x:v>Di luar domain model</x:v>
      </x:c>
      <x:c r="H27" s="95"/>
      <x:c r="I27" s="25" t="str"/>
    </x:row>
    <x:row r="28">
      <x:c r="A28" s="91" t="n">
        <x:v>25</x:v>
      </x:c>
      <x:c r="B28" s="95" t="n">
        <x:v>19.217849255951304</x:v>
      </x:c>
      <x:c r="C28" s="95" t="n">
        <x:v>0.41421045143506674</x:v>
      </x:c>
      <x:c r="D28" s="99" t="str">
        <x:v>Slug / intermittent</x:v>
      </x:c>
      <x:c r="E28" s="95" t="n">
        <x:v>7.802704358531558</x:v>
      </x:c>
      <x:c r="F28" s="95"/>
      <x:c r="G28" s="99" t="str">
        <x:v>Di luar domain model</x:v>
      </x:c>
      <x:c r="H28" s="95"/>
      <x:c r="I28" s="25" t="str"/>
    </x:row>
    <x:row r="29">
      <x:c r="A29" s="91" t="n">
        <x:v>26</x:v>
      </x:c>
      <x:c r="B29" s="95" t="n">
        <x:v>19.986563226189357</x:v>
      </x:c>
      <x:c r="C29" s="95" t="n">
        <x:v>0.4158838445299493</x:v>
      </x:c>
      <x:c r="D29" s="99" t="str">
        <x:v>Slug / intermittent</x:v>
      </x:c>
      <x:c r="E29" s="95" t="n">
        <x:v>8.418741329076177</x:v>
      </x:c>
      <x:c r="F29" s="95"/>
      <x:c r="G29" s="99" t="str">
        <x:v>Di luar domain model</x:v>
      </x:c>
      <x:c r="H29" s="95"/>
      <x:c r="I29" s="25" t="str"/>
    </x:row>
    <x:row r="30">
      <x:c r="A30" s="91" t="n">
        <x:v>27</x:v>
      </x:c>
      <x:c r="B30" s="95" t="n">
        <x:v>20.75527719642741</x:v>
      </x:c>
      <x:c r="C30" s="95" t="n">
        <x:v>0.4176032723070504</x:v>
      </x:c>
      <x:c r="D30" s="99" t="str">
        <x:v>Slug / intermittent</x:v>
      </x:c>
      <x:c r="E30" s="95" t="n">
        <x:v>9.019113130705744</x:v>
      </x:c>
      <x:c r="F30" s="95"/>
      <x:c r="G30" s="99" t="str">
        <x:v>Di luar domain model</x:v>
      </x:c>
      <x:c r="H30" s="95"/>
      <x:c r="I30" s="25" t="str"/>
    </x:row>
    <x:row r="31">
      <x:c r="A31" s="91" t="n">
        <x:v>28</x:v>
      </x:c>
      <x:c r="B31" s="95" t="n">
        <x:v>21.52399116666546</x:v>
      </x:c>
      <x:c r="C31" s="95" t="n">
        <x:v>0.41936462552130366</x:v>
      </x:c>
      <x:c r="D31" s="99" t="str">
        <x:v>Slug / intermittent</x:v>
      </x:c>
      <x:c r="E31" s="95" t="n">
        <x:v>9.603980685672187</x:v>
      </x:c>
      <x:c r="F31" s="95"/>
      <x:c r="G31" s="99" t="str">
        <x:v>Di luar domain model</x:v>
      </x:c>
      <x:c r="H31" s="95"/>
      <x:c r="I31" s="25" t="str"/>
    </x:row>
    <x:row r="32">
      <x:c r="A32" s="91" t="n">
        <x:v>29</x:v>
      </x:c>
      <x:c r="B32" s="95" t="n">
        <x:v>22.292705136903514</x:v>
      </x:c>
      <x:c r="C32" s="95" t="n">
        <x:v>0.4211640445090969</x:v>
      </x:c>
      <x:c r="D32" s="99" t="str">
        <x:v>Slug / intermittent</x:v>
      </x:c>
      <x:c r="E32" s="95" t="n">
        <x:v>10.173538510129964</x:v>
      </x:c>
      <x:c r="F32" s="95"/>
      <x:c r="G32" s="99" t="str">
        <x:v>Di luar domain model</x:v>
      </x:c>
      <x:c r="H32" s="95"/>
      <x:c r="I32" s="25" t="str"/>
    </x:row>
    <x:row r="33">
      <x:c r="A33" s="91" t="n">
        <x:v>30</x:v>
      </x:c>
      <x:c r="B33" s="95" t="n">
        <x:v>23.061419107141568</x:v>
      </x:c>
      <x:c r="C33" s="95" t="n">
        <x:v>0.4229979124574978</x:v>
      </x:c>
      <x:c r="D33" s="99" t="str">
        <x:v>Slug / intermittent</x:v>
      </x:c>
      <x:c r="E33" s="95" t="n">
        <x:v>10.728009155592634</x:v>
      </x:c>
      <x:c r="F33" s="95"/>
      <x:c r="G33" s="99" t="str">
        <x:v>Di luar domain model</x:v>
      </x:c>
      <x:c r="H33" s="95"/>
      <x:c r="I33" s="25" t="str"/>
    </x:row>
    <x:row r="34">
      <x:c r="A34" s="91" t="n">
        <x:v>31</x:v>
      </x:c>
      <x:c r="B34" s="95" t="n">
        <x:v>23.830133077379617</x:v>
      </x:c>
      <x:c r="C34" s="95" t="n">
        <x:v>0.42486284656993845</x:v>
      </x:c>
      <x:c r="D34" s="99" t="str">
        <x:v>Slug / intermittent</x:v>
      </x:c>
      <x:c r="E34" s="95" t="n">
        <x:v>11.267638279180083</x:v>
      </x:c>
      <x:c r="F34" s="95"/>
      <x:c r="G34" s="99" t="str">
        <x:v>Di luar domain model</x:v>
      </x:c>
      <x:c r="H34" s="95"/>
      <x:c r="I34" s="25" t="str"/>
    </x:row>
    <x:row r="35">
      <x:c r="A35" s="91" t="n">
        <x:v>32</x:v>
      </x:c>
      <x:c r="B35" s="95" t="n">
        <x:v>24.59884704761767</x:v>
      </x:c>
      <x:c r="C35" s="95" t="n">
        <x:v>0.4267556879446556</x:v>
      </x:c>
      <x:c r="D35" s="99" t="str">
        <x:v>Slug / intermittent</x:v>
      </x:c>
      <x:c r="E35" s="95" t="n">
        <x:v>11.79269028399604</x:v>
      </x:c>
      <x:c r="F35" s="95"/>
      <x:c r="G35" s="99" t="str">
        <x:v>Di luar domain model</x:v>
      </x:c>
      <x:c r="H35" s="95"/>
      <x:c r="I35" s="25" t="str"/>
    </x:row>
    <x:row r="36">
      <x:c r="A36" s="91" t="n">
        <x:v>33</x:v>
      </x:c>
      <x:c r="B36" s="95" t="n">
        <x:v>25.367561017855724</x:v>
      </x:c>
      <x:c r="C36" s="95" t="n">
        <x:v>0.4286734907146827</x:v>
      </x:c>
      <x:c r="D36" s="99" t="str">
        <x:v>Slug / intermittent</x:v>
      </x:c>
      <x:c r="E36" s="95" t="n">
        <x:v>12.303444478158783</x:v>
      </x:c>
      <x:c r="F36" s="95"/>
      <x:c r="G36" s="99" t="str">
        <x:v>Di luar domain model</x:v>
      </x:c>
      <x:c r="H36" s="95"/>
      <x:c r="I36" s="25" t="str"/>
    </x:row>
    <x:row r="37">
      <x:c r="A37" s="91" t="n">
        <x:v>34</x:v>
      </x:c>
      <x:c r="B37" s="95" t="n">
        <x:v>26.136274988093774</x:v>
      </x:c>
      <x:c r="C37" s="95" t="n">
        <x:v>0.4306135108304646</x:v>
      </x:c>
      <x:c r="D37" s="99" t="str">
        <x:v>Slug / intermittent</x:v>
      </x:c>
      <x:c r="E37" s="95" t="n">
        <x:v>12.800191705191153</x:v>
      </x:c>
      <x:c r="F37" s="95"/>
      <x:c r="G37" s="99" t="str">
        <x:v>Di luar domain model</x:v>
      </x:c>
      <x:c r="H37" s="95"/>
      <x:c r="I37" s="25" t="str"/>
    </x:row>
    <x:row r="38">
      <x:c r="A38" s="91" t="n">
        <x:v>35</x:v>
      </x:c>
      <x:c r="B38" s="95" t="n">
        <x:v>26.904988958331828</x:v>
      </x:c>
      <x:c r="C38" s="95" t="n">
        <x:v>0.4325731947556029</x:v>
      </x:c>
      <x:c r="D38" s="99" t="str">
        <x:v>Slug / intermittent</x:v>
      </x:c>
      <x:c r="E38" s="95" t="n">
        <x:v>13.283231401430134</x:v>
      </x:c>
      <x:c r="F38" s="95"/>
      <x:c r="G38" s="99" t="str">
        <x:v>Di luar domain model</x:v>
      </x:c>
      <x:c r="H38" s="95"/>
      <x:c r="I38" s="25" t="str"/>
    </x:row>
    <x:row r="39">
      <x:c r="A39" s="91" t="n">
        <x:v>36</x:v>
      </x:c>
      <x:c r="B39" s="95" t="n">
        <x:v>27.67370292856988</x:v>
      </x:c>
      <x:c r="C39" s="95" t="n">
        <x:v>0.43455016826971793</x:v>
      </x:c>
      <x:c r="D39" s="99" t="str">
        <x:v>Slug / intermittent</x:v>
      </x:c>
      <x:c r="E39" s="95" t="n">
        <x:v>13.752869038698822</x:v>
      </x:c>
      <x:c r="F39" s="95"/>
      <x:c r="G39" s="99" t="str">
        <x:v>Di luar domain model</x:v>
      </x:c>
      <x:c r="H39" s="95"/>
      <x:c r="I39" s="25" t="str"/>
    </x:row>
    <x:row r="40">
      <x:c r="A40" s="91" t="n">
        <x:v>37</x:v>
      </x:c>
      <x:c r="B40" s="95" t="n">
        <x:v>28.44241689880793</x:v>
      </x:c>
      <x:c r="C40" s="95" t="n">
        <x:v>0.43654222551754246</x:v>
      </x:c>
      <x:c r="D40" s="99" t="str">
        <x:v>Slug / intermittent</x:v>
      </x:c>
      <x:c r="E40" s="95" t="n">
        <x:v>14.209413913016787</x:v>
      </x:c>
      <x:c r="F40" s="95"/>
      <x:c r="G40" s="99" t="str">
        <x:v>Di luar domain model</x:v>
      </x:c>
      <x:c r="H40" s="95"/>
      <x:c r="I40" s="25" t="str"/>
    </x:row>
    <x:row r="41">
      <x:c r="A41" s="91" t="n">
        <x:v>38</x:v>
      </x:c>
      <x:c r="B41" s="95" t="n">
        <x:v>29.211130869045984</x:v>
      </x:c>
      <x:c r="C41" s="95" t="n">
        <x:v>0.4385473184027712</x:v>
      </x:c>
      <x:c r="D41" s="99" t="str">
        <x:v>Slug / intermittent</x:v>
      </x:c>
      <x:c r="E41" s="95" t="n">
        <x:v>14.653177242730502</x:v>
      </x:c>
      <x:c r="F41" s="95" t="n">
        <x:v>0.4002917635799443</x:v>
      </x:c>
      <x:c r="G41" s="99" t="str">
        <x:v>Slug / intermittent</x:v>
      </x:c>
      <x:c r="H41" s="95" t="n">
        <x:v>0.5080310561595898</x:v>
      </x:c>
      <x:c r="I41" s="25" t="str"/>
    </x:row>
    <x:row r="42">
      <x:c r="A42" s="91" t="n">
        <x:v>39</x:v>
      </x:c>
      <x:c r="B42" s="95" t="n">
        <x:v>29.979844839284038</x:v>
      </x:c>
      <x:c r="C42" s="95" t="n">
        <x:v>0.4405635463946586</x:v>
      </x:c>
      <x:c r="D42" s="99" t="str">
        <x:v>Slug / intermittent</x:v>
      </x:c>
      <x:c r="E42" s="95" t="n">
        <x:v>15.084470542116716</x:v>
      </x:c>
      <x:c r="F42" s="95" t="n">
        <x:v>0.4006527708784515</x:v>
      </x:c>
      <x:c r="G42" s="99" t="str">
        <x:v>Slug / intermittent</x:v>
      </x:c>
      <x:c r="H42" s="95" t="n">
        <x:v>1.2834006028883727</x:v>
      </x:c>
      <x:c r="I42" s="25" t="str"/>
    </x:row>
    <x:row r="43">
      <x:c r="A43" s="91" t="n">
        <x:v>40</x:v>
      </x:c>
      <x:c r="B43" s="95" t="n">
        <x:v>30.748558809522088</x:v>
      </x:c>
      <x:c r="C43" s="95" t="n">
        <x:v>0.4425891467920013</x:v>
      </x:c>
      <x:c r="D43" s="99" t="str">
        <x:v>Slug / intermittent</x:v>
      </x:c>
      <x:c r="E43" s="95" t="n">
        <x:v>15.503604239222403</x:v>
      </x:c>
      <x:c r="F43" s="95" t="n">
        <x:v>0.40100797261305415</x:v>
      </x:c>
      <x:c r="G43" s="99" t="str">
        <x:v>Slug / intermittent</x:v>
      </x:c>
      <x:c r="H43" s="95" t="n">
        <x:v>2.0569151406801485</x:v>
      </x:c>
      <x:c r="I43" s="25" t="str"/>
    </x:row>
    <x:row r="44">
      <x:c r="A44" s="91" t="n">
        <x:v>41</x:v>
      </x:c>
      <x:c r="B44" s="95" t="n">
        <x:v>31.51727277976014</x:v>
      </x:c>
      <x:c r="C44" s="95" t="n">
        <x:v>0.44462248547132255</x:v>
      </x:c>
      <x:c r="D44" s="99" t="str">
        <x:v>Slug / intermittent</x:v>
      </x:c>
      <x:c r="E44" s="95" t="n">
        <x:v>15.910886509384907</x:v>
      </x:c>
      <x:c r="F44" s="95" t="n">
        <x:v>0.4013697233491496</x:v>
      </x:c>
      <x:c r="G44" s="99" t="str">
        <x:v>Slug / intermittent</x:v>
      </x:c>
      <x:c r="H44" s="95" t="n">
        <x:v>2.826632242650037</x:v>
      </x:c>
      <x:c r="I44" s="25" t="str"/>
    </x:row>
    <x:row r="45">
      <x:c r="A45" s="91" t="n">
        <x:v>42</x:v>
      </x:c>
      <x:c r="B45" s="95" t="n">
        <x:v>32.285986749998195</x:v>
      </x:c>
      <x:c r="C45" s="95" t="n">
        <x:v>0.44666204813222626</x:v>
      </x:c>
      <x:c r="D45" s="99" t="str">
        <x:v>Slug / intermittent</x:v>
      </x:c>
      <x:c r="E45" s="95" t="n">
        <x:v>16.306622298513034</x:v>
      </x:c>
      <x:c r="F45" s="95" t="n">
        <x:v>0.4017419763230416</x:v>
      </x:c>
      <x:c r="G45" s="99" t="str">
        <x:v>Slug / intermittent</x:v>
      </x:c>
      <x:c r="H45" s="95" t="n">
        <x:v>3.5918279149498082</x:v>
      </x:c>
      <x:c r="I45" s="25" t="str"/>
    </x:row>
    <x:row r="46">
      <x:c r="A46" s="91" t="n">
        <x:v>43</x:v>
      </x:c>
      <x:c r="B46" s="95" t="n">
        <x:v>33.05470072023625</x:v>
      </x:c>
      <x:c r="C46" s="95" t="n">
        <x:v>0.4487064320425624</x:v>
      </x:c>
      <x:c r="D46" s="99" t="str">
        <x:v>Slug / intermittent</x:v>
      </x:c>
      <x:c r="E46" s="95" t="n">
        <x:v>16.691112512706564</x:v>
      </x:c>
      <x:c r="F46" s="95" t="n">
        <x:v>0.4021264058684851</x:v>
      </x:c>
      <x:c r="G46" s="99" t="str">
        <x:v>Slug / intermittent</x:v>
      </x:c>
      <x:c r="H46" s="95" t="n">
        <x:v>4.352109317640385</x:v>
      </x:c>
      <x:c r="I46" s="25" t="str"/>
    </x:row>
    <x:row r="47">
      <x:c r="A47" s="91" t="n">
        <x:v>44</x:v>
      </x:c>
      <x:c r="B47" s="95" t="n">
        <x:v>33.823414690474294</x:v>
      </x:c>
      <x:c r="C47" s="95" t="n">
        <x:v>0.45075433827797673</x:v>
      </x:c>
      <x:c r="D47" s="99" t="str">
        <x:v>Slug / intermittent</x:v>
      </x:c>
      <x:c r="E47" s="95" t="n">
        <x:v>17.06465335319118</x:v>
      </x:c>
      <x:c r="F47" s="95" t="n">
        <x:v>0.4025237718913387</x:v>
      </x:c>
      <x:c r="G47" s="99" t="str">
        <x:v>Slug / intermittent</x:v>
      </x:c>
      <x:c r="H47" s="95" t="n">
        <x:v>5.10721957704472</x:v>
      </x:c>
      <x:c r="I47" s="25" t="str"/>
    </x:row>
    <x:row r="48">
      <x:c r="A48" s="91" t="n">
        <x:v>45</x:v>
      </x:c>
      <x:c r="B48" s="95" t="n">
        <x:v>34.59212866071235</x:v>
      </x:c>
      <x:c r="C48" s="95" t="n">
        <x:v>0.4528045644445871</x:v>
      </x:c>
      <x:c r="D48" s="99" t="str">
        <x:v>Slug / intermittent</x:v>
      </x:c>
      <x:c r="E48" s="95" t="n">
        <x:v>17.427535777764394</x:v>
      </x:c>
      <x:c r="F48" s="95" t="n">
        <x:v>0.4029343907600265</x:v>
      </x:c>
      <x:c r="G48" s="99" t="str">
        <x:v>Slug / intermittent</x:v>
      </x:c>
      <x:c r="H48" s="95" t="n">
        <x:v>5.856971049797365</x:v>
      </x:c>
      <x:c r="I48" s="25" t="str"/>
    </x:row>
    <x:row r="49">
      <x:c r="A49" s="91" t="n">
        <x:v>46</x:v>
      </x:c>
      <x:c r="B49" s="95" t="n">
        <x:v>35.3608426309504</x:v>
      </x:c>
      <x:c r="C49" s="95" t="n">
        <x:v>0.45485599786928654</x:v>
      </x:c>
      <x:c r="D49" s="99" t="str">
        <x:v>Slug / intermittent</x:v>
      </x:c>
      <x:c r="E49" s="95" t="n">
        <x:v>17.780045072002093</x:v>
      </x:c>
      <x:c r="F49" s="95" t="n">
        <x:v>0.4033583376199294</x:v>
      </x:c>
      <x:c r="G49" s="99" t="str">
        <x:v>Slug / intermittent</x:v>
      </x:c>
      <x:c r="H49" s="95" t="n">
        <x:v>6.6012168182209106</x:v>
      </x:c>
      <x:c r="I49" s="25" t="str"/>
    </x:row>
    <x:row r="50">
      <x:c r="A50" s="91" t="n">
        <x:v>47</x:v>
      </x:c>
      <x:c r="B50" s="95" t="n">
        <x:v>36.129556601188455</x:v>
      </x:c>
      <x:c r="C50" s="95" t="n">
        <x:v>0.456907609239058</x:v>
      </x:c>
      <x:c r="D50" s="99" t="str">
        <x:v>Slug / intermittent</x:v>
      </x:c>
      <x:c r="E50" s="95" t="n">
        <x:v>18.1224605153816</x:v>
      </x:c>
      <x:c r="F50" s="95" t="n">
        <x:v>0.4037955461195451</x:v>
      </x:c>
      <x:c r="G50" s="99" t="str">
        <x:v>Slug / intermittent</x:v>
      </x:c>
      <x:c r="H50" s="95" t="n">
        <x:v>7.339836661997021</x:v>
      </x:c>
      <x:c r="I50" s="25" t="str"/>
    </x:row>
    <x:row r="51">
      <x:c r="A51" s="91" t="n">
        <x:v>48</x:v>
      </x:c>
      <x:c r="B51" s="95" t="n">
        <x:v>36.89827057142651</x:v>
      </x:c>
      <x:c r="C51" s="95" t="n">
        <x:v>0.4589584466687962</x:v>
      </x:c>
      <x:c r="D51" s="99" t="str">
        <x:v>Slug / intermittent</x:v>
      </x:c>
      <x:c r="E51" s="95" t="n">
        <x:v>18.455055129183446</x:v>
      </x:c>
      <x:c r="F51" s="95" t="n">
        <x:v>0.40424586250272215</x:v>
      </x:c>
      <x:c r="G51" s="99" t="str">
        <x:v>Slug / intermittent</x:v>
      </x:c>
      <x:c r="H51" s="95" t="n">
        <x:v>8.072729418127064</x:v>
      </x:c>
      <x:c r="I51" s="25" t="str"/>
    </x:row>
    <x:row r="52">
      <x:c r="A52" s="91" t="n">
        <x:v>49</x:v>
      </x:c>
      <x:c r="B52" s="95" t="n">
        <x:v>37.66698454166456</x:v>
      </x:c>
      <x:c r="C52" s="95" t="n">
        <x:v>0.4610076301758875</x:v>
      </x:c>
      <x:c r="D52" s="99" t="str">
        <x:v>Slug / intermittent</x:v>
      </x:c>
      <x:c r="E52" s="95" t="n">
        <x:v>18.77809549459874</x:v>
      </x:c>
      <x:c r="F52" s="95" t="n">
        <x:v>0.40470907710701204</x:v>
      </x:c>
      <x:c r="G52" s="99" t="str">
        <x:v>Slug / intermittent</x:v>
      </x:c>
      <x:c r="H52" s="95" t="n">
        <x:v>8.799808480549752</x:v>
      </x:c>
      <x:c r="I52" s="25" t="str"/>
    </x:row>
    <x:row r="53">
      <x:c r="A53" s="91" t="n">
        <x:v>50</x:v>
      </x:c>
      <x:c r="B53" s="95" t="n">
        <x:v>38.43569851190261</x:v>
      </x:c>
      <x:c r="C53" s="95" t="n">
        <x:v>0.4630543465391639</x:v>
      </x:c>
      <x:c r="D53" s="99" t="str">
        <x:v>Slug / intermittent</x:v>
      </x:c>
      <x:c r="E53" s="95" t="n">
        <x:v>19.091841630877934</x:v>
      </x:c>
      <x:c r="F53" s="95" t="n">
        <x:v>0.40518494374342334</x:v>
      </x:c>
      <x:c r="G53" s="99" t="str">
        <x:v>Slug / intermittent</x:v>
      </x:c>
      <x:c r="H53" s="95" t="n">
        <x:v>9.520998972199342</x:v>
      </x:c>
      <x:c r="I53" s="25" t="str"/>
    </x:row>
    <x:row r="54">
      <x:c r="A54" s="91" t="n">
        <x:v>51</x:v>
      </x:c>
      <x:c r="B54" s="95" t="n">
        <x:v>39.20441248214066</x:v>
      </x:c>
      <x:c r="C54" s="95" t="n">
        <x:v>0.46509784451989394</x:v>
      </x:c>
      <x:c r="D54" s="99" t="str">
        <x:v>Slug / intermittent</x:v>
      </x:c>
      <x:c r="E54" s="95" t="n">
        <x:v>19.396546924590517</x:v>
      </x:c>
      <x:c r="F54" s="95" t="n">
        <x:v>0.4056731921571833</x:v>
      </x:c>
      <x:c r="G54" s="99" t="str">
        <x:v>Slug / intermittent</x:v>
      </x:c>
      <x:c r="H54" s="95" t="n">
        <x:v>10.236235865824098</x:v>
      </x:c>
      <x:c r="I54" s="25" t="str"/>
    </x:row>
    <x:row r="55">
      <x:c r="A55" s="91" t="n">
        <x:v>52</x:v>
      </x:c>
      <x:c r="B55" s="95" t="n">
        <x:v>39.973126452378715</x:v>
      </x:c>
      <x:c r="C55" s="95" t="n">
        <x:v>0.4671374304225371</x:v>
      </x:c>
      <x:c r="D55" s="99" t="str">
        <x:v>Slug / intermittent</x:v>
      </x:c>
      <x:c r="E55" s="95" t="n">
        <x:v>19.69245810221288</x:v>
      </x:c>
      <x:c r="F55" s="95" t="n">
        <x:v>0.40617353633453257</x:v>
      </x:c>
      <x:c r="G55" s="99" t="str">
        <x:v>Slug / intermittent</x:v>
      </x:c>
      <x:c r="H55" s="95" t="n">
        <x:v>10.945462671079353</x:v>
      </x:c>
      <x:c r="I55" s="25" t="str"/>
    </x:row>
    <x:row r="56">
      <x:c r="A56" s="91" t="n">
        <x:v>53</x:v>
      </x:c>
      <x:c r="B56" s="95" t="n">
        <x:v>40.74184042261677</x:v>
      </x:c>
      <x:c r="C56" s="95" t="n">
        <x:v>0.46917246397364076</x:v>
      </x:c>
      <x:c r="D56" s="99" t="str">
        <x:v>Slug / intermittent</x:v>
      </x:c>
      <x:c r="E56" s="95" t="n">
        <x:v>19.97981523923832</x:v>
      </x:c>
      <x:c r="F56" s="95" t="n">
        <x:v>0.40668568020988116</x:v>
      </x:c>
      <x:c r="G56" s="99" t="str">
        <x:v>Slug / intermittent</x:v>
      </x:c>
      <x:c r="H56" s="95" t="n">
        <x:v>11.648630474195121</x:v>
      </x:c>
      <x:c r="I56" s="25" t="str"/>
    </x:row>
    <x:row r="57">
      <x:c r="A57" s="91" t="n">
        <x:v>54</x:v>
      </x:c>
      <x:c r="B57" s="95" t="n">
        <x:v>41.51055439285482</x:v>
      </x:c>
      <x:c r="C57" s="95" t="n">
        <x:v>0.47120235449797926</x:v>
      </x:c>
      <x:c r="D57" s="99" t="str">
        <x:v>Slug / intermittent</x:v>
      </x:c>
      <x:c r="E57" s="95" t="n">
        <x:v>20.2588517998843</x:v>
      </x:c>
      <x:c r="F57" s="95" t="n">
        <x:v>0.4072093216880878</x:v>
      </x:c>
      <x:c r="G57" s="99" t="str">
        <x:v>Slug / intermittent</x:v>
      </x:c>
      <x:c r="H57" s="95" t="n">
        <x:v>12.345697205238775</x:v>
      </x:c>
      <x:c r="I57" s="25" t="str"/>
    </x:row>
    <x:row r="58">
      <x:c r="A58" s="91" t="n">
        <x:v>55</x:v>
      </x:c>
      <x:c r="B58" s="95" t="n">
        <x:v>42.279268363092875</x:v>
      </x:c>
      <x:c r="C58" s="95" t="n">
        <x:v>0.47322655737177677</x:v>
      </x:c>
      <x:c r="D58" s="99" t="str">
        <x:v>Slug / intermittent</x:v>
      </x:c>
      <x:c r="E58" s="95" t="n">
        <x:v>20.52979470226783</x:v>
      </x:c>
      <x:c r="F58" s="95" t="n">
        <x:v>0.4077441555413262</x:v>
      </x:c>
      <x:c r="G58" s="99" t="str">
        <x:v>Slug / intermittent</x:v>
      </x:c>
      <x:c r="H58" s="95" t="n">
        <x:v>13.036627057054414</x:v>
      </x:c>
      <x:c r="I58" s="25" t="str"/>
    </x:row>
    <x:row r="59">
      <x:c r="A59" s="91" t="n">
        <x:v>56</x:v>
      </x:c>
      <x:c r="B59" s="95" t="n">
        <x:v>43.04798233333092</x:v>
      </x:c>
      <x:c r="C59" s="95" t="n">
        <x:v>0.4752445707339702</x:v>
      </x:c>
      <x:c r="D59" s="99" t="str">
        <x:v>Slug / intermittent</x:v>
      </x:c>
      <x:c r="E59" s="95" t="n">
        <x:v>20.792864404580808</x:v>
      </x:c>
      <x:c r="F59" s="95" t="n">
        <x:v>0.4082898755341667</x:v>
      </x:c>
      <x:c r="G59" s="99" t="str">
        <x:v>Slug / intermittent</x:v>
      </x:c>
      <x:c r="H59" s="95" t="n">
        <x:v>13.721390008252941</x:v>
      </x:c>
      <x:c r="I59" s="25" t="str"/>
    </x:row>
    <x:row r="60">
      <x:c r="A60" s="91" t="n">
        <x:v>57</x:v>
      </x:c>
      <x:c r="B60" s="95" t="n">
        <x:v>43.816696303568975</x:v>
      </x:c>
      <x:c r="C60" s="95" t="n">
        <x:v>0.4772559324373076</x:v>
      </x:c>
      <x:c r="D60" s="99" t="str">
        <x:v>Slug / intermittent</x:v>
      </x:c>
      <x:c r="E60" s="95" t="n">
        <x:v>21.048275008423886</x:v>
      </x:c>
      <x:c r="F60" s="95" t="n">
        <x:v>0.40884617600750006</x:v>
      </x:c>
      <x:c r="G60" s="99" t="str">
        <x:v>Slug / intermittent</x:v>
      </x:c>
      <x:c r="H60" s="95" t="n">
        <x:v>14.399961419406107</x:v>
      </x:c>
      <x:c r="I60" s="25" t="str"/>
    </x:row>
    <x:row r="61">
      <x:c r="A61" s="91" t="n">
        <x:v>58</x:v>
      </x:c>
      <x:c r="B61" s="95" t="n">
        <x:v>44.58541027380703</x:v>
      </x:c>
      <x:c r="C61" s="95" t="n">
        <x:v>0.4792602172222043</x:v>
      </x:c>
      <x:c r="D61" s="99" t="str">
        <x:v>Slug / intermittent</x:v>
      </x:c>
      <x:c r="E61" s="95" t="n">
        <x:v>21.296234375971345</x:v>
      </x:c>
      <x:c r="F61" s="95" t="n">
        <x:v>0.4094127530734923</x:v>
      </x:c>
      <x:c r="G61" s="99" t="str">
        <x:v>Slug / intermittent</x:v>
      </x:c>
      <x:c r="H61" s="95" t="n">
        <x:v>15.072321682419766</x:v>
      </x:c>
      <x:c r="I61" s="25" t="str"/>
    </x:row>
    <x:row r="62">
      <x:c r="A62" s="91" t="n">
        <x:v>59</x:v>
      </x:c>
      <x:c r="B62" s="95" t="n">
        <x:v>45.35412424404508</x:v>
      </x:c>
      <x:c r="C62" s="95" t="n">
        <x:v>0.48125703409726295</x:v>
      </x:c>
      <x:c r="D62" s="99" t="str">
        <x:v>Slug / intermittent</x:v>
      </x:c>
      <x:c r="E62" s="95" t="n">
        <x:v>21.53694425810845</x:v>
      </x:c>
      <x:c r="F62" s="95" t="n">
        <x:v>0.40998930552747237</x:v>
      </x:c>
      <x:c r="G62" s="99" t="str">
        <x:v>Slug / intermittent</x:v>
      </x:c>
      <x:c r="H62" s="95" t="n">
        <x:v>15.73845590914116</x:v>
      </x:c>
      <x:c r="I62" s="25" t="str"/>
    </x:row>
    <x:row r="63">
      <x:c r="A63" s="91" t="n">
        <x:v>60</x:v>
      </x:c>
      <x:c r="B63" s="95" t="n">
        <x:v>46.122838214283135</x:v>
      </x:c>
      <x:c r="C63" s="95" t="n">
        <x:v>0.4832460239113635</x:v>
      </x:c>
      <x:c r="D63" s="99" t="str">
        <x:v>Slug / intermittent</x:v>
      </x:c>
      <x:c r="E63" s="95" t="n">
        <x:v>21.77060043109054</x:v>
      </x:c>
      <x:c r="F63" s="95" t="n">
        <x:v>0.41057553554915827</x:v>
      </x:c>
      <x:c r="G63" s="99" t="str">
        <x:v>Slug / intermittent</x:v>
      </x:c>
      <x:c r="H63" s="95" t="n">
        <x:v>16.398353649888612</x:v>
      </x:c>
      <x:c r="I63" s="25" t="str"/>
    </x:row>
    <x:row r="64">
      <x:c r="A64" s="91" t="n">
        <x:v>61</x:v>
      </x:c>
      <x:c r="B64" s="95" t="n">
        <x:v>46.89155218452119</x:v>
      </x:c>
      <x:c r="C64" s="95" t="n">
        <x:v>0.48522685710327706</x:v>
      </x:c>
      <x:c r="D64" s="99" t="str">
        <x:v>Slug / intermittent</x:v>
      </x:c>
      <x:c r="E64" s="95" t="n">
        <x:v>21.997392839615504</x:v>
      </x:c>
      <x:c r="F64" s="95" t="n">
        <x:v>0.411171149244135</x:v>
      </x:c>
      <x:c r="G64" s="99" t="str">
        <x:v>Slug / intermittent</x:v>
      </x:c>
      <x:c r="H64" s="95" t="n">
        <x:v>17.05200863550549</x:v>
      </x:c>
      <x:c r="I64" s="25" t="str"/>
    </x:row>
    <x:row r="65">
      <x:c r="A65" s="91" t="n">
        <x:v>62</x:v>
      </x:c>
      <x:c r="B65" s="95" t="n">
        <x:v>47.660266154759235</x:v>
      </x:c>
      <x:c r="C65" s="95" t="n">
        <x:v>0.4871992316156038</x:v>
      </x:c>
      <x:c r="D65" s="99" t="str">
        <x:v>Slug / intermittent</x:v>
      </x:c>
      <x:c r="E65" s="95" t="n">
        <x:v>22.21750574452732</x:v>
      </x:c>
      <x:c r="F65" s="95" t="n">
        <x:v>0.4117758570637279</x:v>
      </x:c>
      <x:c r="G65" s="99" t="str">
        <x:v>Slug / intermittent</x:v>
      </x:c>
      <x:c r="H65" s="95" t="n">
        <x:v>17.69941853808308</x:v>
      </x:c>
      <x:c r="I65" s="25" t="str"/>
    </x:row>
    <x:row r="66">
      <x:c r="A66" s="91" t="n">
        <x:v>63</x:v>
      </x:c>
      <x:c r="B66" s="95" t="n">
        <x:v>48.42898012499729</x:v>
      </x:c>
      <x:c r="C66" s="95" t="n">
        <x:v>0.489162870960865</x:v>
      </x:c>
      <x:c r="D66" s="99" t="str">
        <x:v>Slug / intermittent</x:v>
      </x:c>
      <x:c r="E66" s="95" t="n">
        <x:v>22.431117873616007</x:v>
      </x:c>
      <x:c r="F66" s="95" t="n">
        <x:v>0.4123893741296647</x:v>
      </x:c>
      <x:c r="G66" s="99" t="str">
        <x:v>Slug / intermittent</x:v>
      </x:c>
      <x:c r="H66" s="95" t="n">
        <x:v>18.340584747205675</x:v>
      </x:c>
      <x:c r="I66" s="25" t="str"/>
    </x:row>
    <x:row r="67">
      <x:c r="A67" s="91" t="n">
        <x:v>64</x:v>
      </x:c>
      <x:c r="B67" s="95" t="n">
        <x:v>49.19769409523534</x:v>
      </x:c>
      <x:c r="C67" s="95" t="n">
        <x:v>0.491117522428327</x:v>
      </x:c>
      <x:c r="D67" s="99" t="str">
        <x:v>Slug / intermittent</x:v>
      </x:c>
      <x:c r="E67" s="95" t="n">
        <x:v>22.638402574232227</x:v>
      </x:c>
      <x:c r="F67" s="95" t="n">
        <x:v>0.413011420484146</x:v>
      </x:c>
      <x:c r="G67" s="99" t="str">
        <x:v>Slug / intermittent</x:v>
      </x:c>
      <x:c r="H67" s="95" t="n">
        <x:v>18.97551215920371</x:v>
      </x:c>
      <x:c r="I67" s="25" t="str"/>
    </x:row>
    <x:row r="68">
      <x:c r="A68" s="91" t="n">
        <x:v>65</x:v>
      </x:c>
      <x:c r="B68" s="95" t="n">
        <x:v>49.966408065473395</x:v>
      </x:c>
      <x:c r="C68" s="95" t="n">
        <x:v>0.4930629554210213</x:v>
      </x:c>
      <x:c r="D68" s="99" t="str">
        <x:v>Slug / intermittent</x:v>
      </x:c>
      <x:c r="E68" s="95" t="n">
        <x:v>22.839527966625276</x:v>
      </x:c>
      <x:c r="F68" s="95" t="n">
        <x:v>0.4136417212801168</x:v>
      </x:c>
      <x:c r="G68" s="99" t="str">
        <x:v>Slug / intermittent</x:v>
      </x:c>
      <x:c r="H68" s="95" t="n">
        <x:v>19.60420897773079</x:v>
      </x:c>
      <x:c r="I68" s="25" t="str"/>
    </x:row>
    <x:row r="69">
      <x:c r="A69" s="91" t="n">
        <x:v>66</x:v>
      </x:c>
      <x:c r="B69" s="95" t="n">
        <x:v>50.73512203571145</x:v>
      </x:c>
      <x:c r="C69" s="95" t="n">
        <x:v>0.49499895991346726</x:v>
      </x:c>
      <x:c r="D69" s="99" t="str">
        <x:v>Slug / intermittent</x:v>
      </x:c>
      <x:c r="E69" s="95" t="n">
        <x:v>23.034657097041705</x:v>
      </x:c>
      <x:c r="F69" s="95" t="n">
        <x:v>0.41428000692377587</x:v>
      </x:c>
      <x:c r="G69" s="99" t="str">
        <x:v>Slug / intermittent</x:v>
      </x:c>
      <x:c r="H69" s="95" t="n">
        <x:v>20.22668652423368</x:v>
      </x:c>
      <x:c r="I69" s="25" t="str"/>
    </x:row>
    <x:row r="70">
      <x:c r="A70" s="91" t="n">
        <x:v>67</x:v>
      </x:c>
      <x:c r="B70" s="95" t="n">
        <x:v>51.503836005949495</x:v>
      </x:c>
      <x:c r="C70" s="95" t="n">
        <x:v>0.4969253450200963</x:v>
      </x:c>
      <x:c r="D70" s="99" t="str">
        <x:v>Slug / intermittent</x:v>
      </x:c>
      <x:c r="E70" s="95" t="n">
        <x:v>23.22394808998479</x:v>
      </x:c>
      <x:c r="F70" s="95" t="n">
        <x:v>0.41492601317766653</x:v>
      </x:c>
      <x:c r="G70" s="99" t="str">
        <x:v>Slug / intermittent</x:v>
      </x:c>
      <x:c r="H70" s="95" t="n">
        <x:v>20.842959057458355</x:v>
      </x:c>
      <x:c r="I70" s="25" t="str"/>
    </x:row>
    <x:row r="71">
      <x:c r="A71" s="91" t="n">
        <x:v>68</x:v>
      </x:c>
      <x:c r="B71" s="95" t="n">
        <x:v>52.27254997618755</x:v>
      </x:c>
      <x:c r="C71" s="95" t="n">
        <x:v>0.4988419376676127</x:v>
      </x:c>
      <x:c r="D71" s="99" t="str">
        <x:v>Slug / intermittent</x:v>
      </x:c>
      <x:c r="E71" s="95" t="n">
        <x:v>23.407554298726268</x:v>
      </x:c>
      <x:c r="F71" s="95" t="n">
        <x:v>0.4155794812317616</x:v>
      </x:c>
      <x:c r="G71" s="99" t="str">
        <x:v>Slug / intermittent</x:v>
      </x:c>
      <x:c r="H71" s="95" t="n">
        <x:v>21.453043601125213</x:v>
      </x:c>
      <x:c r="I71" s="25" t="str"/>
    </x:row>
    <x:row r="72">
      <x:c r="A72" s="91" t="n">
        <x:v>69</x:v>
      </x:c>
      <x:c r="B72" s="95" t="n">
        <x:v>53.0412639464256</x:v>
      </x:c>
      <x:c r="C72" s="95" t="n">
        <x:v>0.5007485813619414</x:v>
      </x:c>
      <x:c r="D72" s="99" t="str">
        <x:v>Slug / intermittent</x:v>
      </x:c>
      <x:c r="E72" s="95" t="n">
        <x:v>23.585624453826846</x:v>
      </x:c>
      <x:c r="F72" s="95" t="n">
        <x:v>0.41624015774799494</x:v>
      </x:c>
      <x:c r="G72" s="99" t="str">
        <x:v>Slug / intermittent</x:v>
      </x:c>
      <x:c r="H72" s="95" t="n">
        <x:v>22.05695977919043</x:v>
      </x:c>
      <x:c r="I72" s="25" t="str"/>
    </x:row>
    <x:row r="73">
      <x:c r="A73" s="91" t="n">
        <x:v>70</x:v>
      </x:c>
      <x:c r="B73" s="95" t="n">
        <x:v>53.809977916663655</x:v>
      </x:c>
      <x:c r="C73" s="95" t="n">
        <x:v>0.5026451350435563</x:v>
      </x:c>
      <x:c r="D73" s="99" t="str">
        <x:v>Slug / intermittent</x:v>
      </x:c>
      <x:c r="E73" s="95" t="n">
        <x:v>23.75830280908055</x:v>
      </x:c>
      <x:c r="F73" s="95" t="n">
        <x:v>0.4169077948823633</x:v>
      </x:c>
      <x:c r="G73" s="99" t="str">
        <x:v>Slug / intermittent</x:v>
      </x:c>
      <x:c r="H73" s="95" t="n">
        <x:v>22.654729658293068</x:v>
      </x:c>
      <x:c r="I73" s="25" t="str"/>
    </x:row>
    <x:row r="74">
      <x:c r="A74" s="91" t="n">
        <x:v>71</x:v>
      </x:c>
      <x:c r="B74" s="95" t="n">
        <x:v>54.57869188690171</x:v>
      </x:c>
      <x:c r="C74" s="95" t="n">
        <x:v>0.5045314720242842</x:v>
      </x:c>
      <x:c r="D74" s="99" t="str">
        <x:v>Slug / intermittent</x:v>
      </x:c>
      <x:c r="E74" s="95" t="n">
        <x:v>23.92572928459442</x:v>
      </x:c>
      <x:c r="F74" s="95" t="n">
        <x:v>0.41758215028847656</x:v>
      </x:c>
      <x:c r="G74" s="99" t="str">
        <x:v>Slug / intermittent</x:v>
      </x:c>
      <x:c r="H74" s="95" t="n">
        <x:v>23.24637759692512</x:v>
      </x:c>
      <x:c r="I74" s="25" t="str"/>
    </x:row>
    <x:row r="75">
      <x:c r="A75" s="91" t="n">
        <x:v>72</x:v>
      </x:c>
      <x:c r="B75" s="95" t="n">
        <x:v>55.34740585713976</x:v>
      </x:c>
      <x:c r="C75" s="95" t="n">
        <x:v>0.5064074789995096</x:v>
      </x:c>
      <x:c r="D75" s="99" t="str">
        <x:v>Slug / intermittent</x:v>
      </x:c>
      <x:c r="E75" s="95" t="n">
        <x:v>24.088039606732334</x:v>
      </x:c>
      <x:c r="F75" s="95" t="n">
        <x:v>0.41826298710531623</x:v>
      </x:c>
      <x:c r="G75" s="99" t="str">
        <x:v>Slug / intermittent</x:v>
      </x:c>
      <x:c r="H75" s="95" t="n">
        <x:v>23.831930101042875</x:v>
      </x:c>
      <x:c r="I75" s="25" t="str"/>
    </x:row>
    <x:row r="76">
      <x:c r="A76" s="91" t="n">
        <x:v>73</x:v>
      </x:c>
      <x:c r="B76" s="95" t="n">
        <x:v>56.11611982737781</x:v>
      </x:c>
      <x:c r="C76" s="95" t="n">
        <x:v>0.5082730551301368</x:v>
      </x:c>
      <x:c r="D76" s="99" t="str">
        <x:v>Slug / intermittent</x:v>
      </x:c>
      <x:c r="E76" s="95" t="n">
        <x:v>24.245365444718185</x:v>
      </x:c>
      <x:c r="F76" s="95" t="n">
        <x:v>0.4189500739316174</x:v>
      </x:c>
      <x:c r="G76" s="99" t="str">
        <x:v>Slug / intermittent</x:v>
      </x:c>
      <x:c r="H76" s="95" t="n">
        <x:v>24.41141568584432</x:v>
      </x:c>
      <x:c r="I76" s="25" t="str"/>
    </x:row>
    <x:row r="77">
      <x:c r="A77" s="91" t="n">
        <x:v>74</x:v>
      </x:c>
      <x:c r="B77" s="95" t="n">
        <x:v>56.88483379761586</x:v>
      </x:c>
      <x:c r="C77" s="95" t="n">
        <x:v>0.5101281111891427</x:v>
      </x:c>
      <x:c r="D77" s="99" t="str">
        <x:v>Slug / intermittent</x:v>
      </x:c>
      <x:c r="E77" s="95" t="n">
        <x:v>24.39783454373904</x:v>
      </x:c>
      <x:c r="F77" s="95" t="n">
        <x:v>0.419643184788888</x:v>
      </x:c>
      <x:c r="G77" s="99" t="str">
        <x:v>Slug / intermittent</x:v>
      </x:c>
      <x:c r="H77" s="95" t="n">
        <x:v>24.98486474347169</x:v>
      </x:c>
      <x:c r="I77" s="25" t="str"/>
    </x:row>
    <x:row r="78">
      <x:c r="A78" s="91" t="n">
        <x:v>75</x:v>
      </x:c>
      <x:c r="B78" s="95" t="n">
        <x:v>57.653547767853915</x:v>
      </x:c>
      <x:c r="C78" s="95" t="n">
        <x:v>0.51197256876789</x:v>
      </x:c>
      <x:c r="D78" s="99" t="str">
        <x:v>Slug / intermittent</x:v>
      </x:c>
      <x:c r="E78" s="95" t="n">
        <x:v>24.5455708544449</x:v>
      </x:c>
      <x:c r="F78" s="95" t="n">
        <x:v>0.420342099074743</x:v>
      </x:c>
      <x:c r="G78" s="99" t="str">
        <x:v>Slug / intermittent</x:v>
      </x:c>
      <x:c r="H78" s="95" t="n">
        <x:v>25.552309416427306</x:v>
      </x:c>
      <x:c r="I78" s="25" t="str"/>
    </x:row>
    <x:row r="79">
      <x:c r="A79" s="91" t="n">
        <x:v>76</x:v>
      </x:c>
      <x:c r="B79" s="95" t="n">
        <x:v>58.42226173809197</x:v>
      </x:c>
      <x:c r="C79" s="95" t="n">
        <x:v>0.5138063595378396</x:v>
      </x:c>
      <x:c r="D79" s="99" t="str">
        <x:v>Slug / intermittent</x:v>
      </x:c>
      <x:c r="E79" s="95" t="n">
        <x:v>24.6886946587607</x:v>
      </x:c>
      <x:c r="F79" s="95" t="n">
        <x:v>0.4210466015079789</x:v>
      </x:c>
      <x:c r="G79" s="99" t="str">
        <x:v>Slug / intermittent</x:v>
      </x:c>
      <x:c r="H79" s="95" t="n">
        <x:v>26.113783476508342</x:v>
      </x:c>
      <x:c r="I79" s="25" t="str"/>
    </x:row>
    <x:row r="80">
      <x:c r="A80" s="91" t="n">
        <x:v>77</x:v>
      </x:c>
      <x:c r="B80" s="95" t="n">
        <x:v>59.19097570833002</x:v>
      </x:c>
      <x:c r="C80" s="95" t="n">
        <x:v>0.5156294245631562</x:v>
      </x:c>
      <x:c r="D80" s="99" t="str">
        <x:v>Slug / intermittent</x:v>
      </x:c>
      <x:c r="E80" s="95" t="n">
        <x:v>24.827322692049243</x:v>
      </x:c>
      <x:c r="F80" s="95" t="n">
        <x:v>0.4217564820666115</x:v>
      </x:c>
      <x:c r="G80" s="99" t="str">
        <x:v>Slug / intermittent</x:v>
      </x:c>
      <x:c r="H80" s="95" t="n">
        <x:v>26.669322209078114</x:v>
      </x:c>
      <x:c r="I80" s="25" t="str"/>
    </x:row>
    <x:row r="81">
      <x:c r="A81" s="91" t="n">
        <x:v>78</x:v>
      </x:c>
      <x:c r="B81" s="95" t="n">
        <x:v>59.959689678568076</x:v>
      </x:c>
      <x:c r="C81" s="95" t="n">
        <x:v>0.5174417136617296</x:v>
      </x:c>
      <x:c r="D81" s="99" t="str">
        <x:v>Slug / intermittent</x:v>
      </x:c>
      <x:c r="E81" s="95" t="n">
        <x:v>24.96156826137262</x:v>
      </x:c>
      <x:c r="F81" s="95" t="n">
        <x:v>0.4224715359199231</x:v>
      </x:c>
      <x:c r="G81" s="99" t="str">
        <x:v>Slug / intermittent</x:v>
      </x:c>
      <x:c r="H81" s="95" t="n">
        <x:v>27.21896230250223</x:v>
      </x:c>
      <x:c r="I81" s="25" t="str"/>
    </x:row>
    <x:row r="82">
      <x:c r="A82" s="91" t="n">
        <x:v>79</x:v>
      </x:c>
      <x:c r="B82" s="95" t="n">
        <x:v>60.72840364880612</x:v>
      </x:c>
      <x:c r="C82" s="95" t="n">
        <x:v>0.5192431848089459</x:v>
      </x:c>
      <x:c r="D82" s="99" t="str">
        <x:v>Slug / intermittent</x:v>
      </x:c>
      <x:c r="E82" s="95" t="n">
        <x:v>25.091541360265424</x:v>
      </x:c>
      <x:c r="F82" s="95" t="n">
        <x:v>0.423191563355425</x:v>
      </x:c>
      <x:c r="G82" s="99" t="str">
        <x:v>Slug / intermittent</x:v>
      </x:c>
      <x:c r="H82" s="95" t="n">
        <x:v>27.76274174258566</x:v>
      </x:c>
      <x:c r="I82" s="25" t="str"/>
    </x:row>
    <x:row r="83">
      <x:c r="A83" s="91" t="n">
        <x:v>80</x:v>
      </x:c>
      <x:c r="B83" s="95" t="n">
        <x:v>61.497117619044175</x:v>
      </x:c>
      <x:c r="C83" s="95" t="n">
        <x:v>0.5210338035832367</x:v>
      </x:c>
      <x:c r="D83" s="99" t="str">
        <x:v>Churn</x:v>
      </x:c>
      <x:c r="E83" s="95" t="n">
        <x:v>25.217348779634644</x:v>
      </x:c>
      <x:c r="F83" s="95" t="n">
        <x:v>0.42391636970155816</x:v>
      </x:c>
      <x:c r="G83" s="99" t="str">
        <x:v>Slug / intermittent</x:v>
      </x:c>
      <x:c r="H83" s="95" t="n">
        <x:v>28.30069971184236</x:v>
      </x:c>
      <x:c r="I83" s="25" t="str">
        <x:v>Slug–churn pada α = 0.52</x:v>
      </x:c>
    </x:row>
    <x:row r="84">
      <x:c r="A84" s="91" t="n">
        <x:v>81</x:v>
      </x:c>
      <x:c r="B84" s="95" t="n">
        <x:v>62.26583158928223</x:v>
      </x:c>
      <x:c r="C84" s="95" t="n">
        <x:v>0.5228135426488034</x:v>
      </x:c>
      <x:c r="D84" s="99" t="str">
        <x:v>Churn</x:v>
      </x:c>
      <x:c r="E84" s="95" t="n">
        <x:v>25.339094215132274</x:v>
      </x:c>
      <x:c r="F84" s="95" t="n">
        <x:v>0.42464576524676856</x:v>
      </x:c>
      <x:c r="G84" s="99" t="str">
        <x:v>Slug / intermittent</x:v>
      </x:c>
      <x:c r="H84" s="95" t="n">
        <x:v>28.832876493456546</x:v>
      </x:c>
      <x:c r="I84" s="25" t="str">
        <x:v>Slug–churn pada α = 0.52</x:v>
      </x:c>
    </x:row>
    <x:row r="85">
      <x:c r="A85" s="91" t="n">
        <x:v>82</x:v>
      </x:c>
      <x:c r="B85" s="95" t="n">
        <x:v>63.03454555952028</x:v>
      </x:c>
      <x:c r="C85" s="95" t="n">
        <x:v>0.5245823812741659</x:v>
      </x:c>
      <x:c r="D85" s="99" t="str">
        <x:v>Churn</x:v>
      </x:c>
      <x:c r="E85" s="95" t="n">
        <x:v>25.456878370798382</x:v>
      </x:c>
      <x:c r="F85" s="95" t="n">
        <x:v>0.4253795651556335</x:v>
      </x:c>
      <x:c r="G85" s="99" t="str">
        <x:v>Slug / intermittent</x:v>
      </x:c>
      <x:c r="H85" s="95" t="n">
        <x:v>29.35931337976553</x:v>
      </x:c>
      <x:c r="I85" s="25" t="str">
        <x:v>Slug–churn pada α = 0.52</x:v>
      </x:c>
    </x:row>
    <x:row r="86">
      <x:c r="A86" s="91" t="n">
        <x:v>83</x:v>
      </x:c>
      <x:c r="B86" s="95" t="n">
        <x:v>63.803259529758336</x:v>
      </x:c>
      <x:c r="C86" s="95" t="n">
        <x:v>0.5263403048823662</x:v>
      </x:c>
      <x:c r="D86" s="99" t="str">
        <x:v>Churn</x:v>
      </x:c>
      <x:c r="E86" s="95" t="n">
        <x:v>25.570799059348722</x:v>
      </x:c>
      <x:c r="F86" s="95" t="n">
        <x:v>0.42611758938253513</x:v>
      </x:c>
      <x:c r="G86" s="99" t="str">
        <x:v>Slug / intermittent</x:v>
      </x:c>
      <x:c r="H86" s="95" t="n">
        <x:v>29.880052585124236</x:v>
      </x:c>
      <x:c r="I86" s="25" t="str">
        <x:v>Slug–churn pada α = 0.52</x:v>
      </x:c>
    </x:row>
    <x:row r="87">
      <x:c r="A87" s="91" t="n">
        <x:v>84</x:v>
      </x:c>
      <x:c r="B87" s="95" t="n">
        <x:v>64.57197349999639</x:v>
      </x:c>
      <x:c r="C87" s="95" t="n">
        <x:v>0.528087304632073</x:v>
      </x:c>
      <x:c r="D87" s="99" t="str">
        <x:v>Churn</x:v>
      </x:c>
      <x:c r="E87" s="95" t="n">
        <x:v>25.68095129888433</x:v>
      </x:c>
      <x:c r="F87" s="95" t="n">
        <x:v>0.4268596625833906</x:v>
      </x:c>
      <x:c r="G87" s="99" t="str">
        <x:v>Slug / intermittent</x:v>
      </x:c>
      <x:c r="H87" s="95" t="n">
        <x:v>30.39513716299502</x:v>
      </x:c>
      <x:c r="I87" s="25" t="str">
        <x:v>Slug–churn pada α = 0.52</x:v>
      </x:c>
    </x:row>
    <x:row r="88">
      <x:c r="A88" s="91" t="n">
        <x:v>85</x:v>
      </x:c>
      <x:c r="B88" s="95" t="n">
        <x:v>65.34068747023444</x:v>
      </x:c>
      <x:c r="C88" s="95" t="n">
        <x:v>0.5298233770264199</x:v>
      </x:c>
      <x:c r="D88" s="99" t="str">
        <x:v>Churn</x:v>
      </x:c>
      <x:c r="E88" s="95" t="n">
        <x:v>25.78742740629358</x:v>
      </x:c>
      <x:c r="F88" s="95" t="n">
        <x:v>0.42760561402583025</x:v>
      </x:c>
      <x:c r="G88" s="99" t="str">
        <x:v>Slug / intermittent</x:v>
      </x:c>
      <x:c r="H88" s="95" t="n">
        <x:v>30.904610927125606</x:v>
      </x:c>
      <x:c r="I88" s="25" t="str">
        <x:v>Slug–churn pada α = 0.52</x:v>
      </x:c>
    </x:row>
    <x:row r="89">
      <x:c r="A89" s="91" t="n">
        <x:v>86</x:v>
      </x:c>
      <x:c r="B89" s="95" t="n">
        <x:v>66.1094014404725</x:v>
      </x:c>
      <x:c r="C89" s="95" t="n">
        <x:v>0.531548523548102</x:v>
      </x:c>
      <x:c r="D89" s="99" t="str">
        <x:v>Churn</x:v>
      </x:c>
      <x:c r="E89" s="95" t="n">
        <x:v>25.89031708733393</x:v>
      </x:c>
      <x:c r="F89" s="95" t="n">
        <x:v>0.4283552774982418</x:v>
      </x:c>
      <x:c r="G89" s="99" t="str">
        <x:v>Slug / intermittent</x:v>
      </x:c>
      <x:c r="H89" s="95" t="n">
        <x:v>31.4085183766594</x:v>
      </x:c>
      <x:c r="I89" s="25" t="str">
        <x:v>Slug–churn pada α = 0.52</x:v>
      </x:c>
    </x:row>
    <x:row r="90">
      <x:c r="A90" s="91" t="n">
        <x:v>87</x:v>
      </x:c>
      <x:c r="B90" s="95" t="n">
        <x:v>66.87811541071055</x:v>
      </x:c>
      <x:c r="C90" s="95" t="n">
        <x:v>0.5332627503184864</x:v>
      </x:c>
      <x:c r="D90" s="99" t="str">
        <x:v>Churn</x:v>
      </x:c>
      <x:c r="E90" s="95" t="n">
        <x:v>25.98970752355985</x:v>
      </x:c>
      <x:c r="F90" s="95" t="n">
        <x:v>0.429108491217988</x:v>
      </x:c>
      <x:c r="G90" s="99" t="str">
        <x:v>Slug / intermittent</x:v>
      </x:c>
      <x:c r="H90" s="95" t="n">
        <x:v>31.906904625044234</x:v>
      </x:c>
      <x:c r="I90" s="25" t="str">
        <x:v>Slug–churn pada α = 0.52</x:v>
      </x:c>
    </x:row>
    <x:row r="91">
      <x:c r="A91" s="91" t="n">
        <x:v>88</x:v>
      </x:c>
      <x:c r="B91" s="95" t="n">
        <x:v>67.64682938094859</x:v>
      </x:c>
      <x:c r="C91" s="95" t="n">
        <x:v>0.5349660677793935</x:v>
      </x:c>
      <x:c r="D91" s="99" t="str">
        <x:v>Churn</x:v>
      </x:c>
      <x:c r="E91" s="95" t="n">
        <x:v>26.085683456118126</x:v>
      </x:c>
      <x:c r="F91" s="95" t="n">
        <x:v>0.4298650977391146</x:v>
      </x:c>
      <x:c r="G91" s="99" t="str">
        <x:v>Slug / intermittent</x:v>
      </x:c>
      <x:c r="H91" s="95" t="n">
        <x:v>32.399815332595054</x:v>
      </x:c>
      <x:c r="I91" s="25" t="str">
        <x:v>Slug–churn pada α = 0.52</x:v>
      </x:c>
    </x:row>
    <x:row r="92">
      <x:c r="A92" s="91" t="n">
        <x:v>89</x:v>
      </x:c>
      <x:c r="B92" s="95" t="n">
        <x:v>68.41554335118664</x:v>
      </x:c>
      <x:c r="C92" s="95" t="n">
        <x:v>0.5366584903957463</x:v>
      </x:c>
      <x:c r="D92" s="99" t="str">
        <x:v>Churn</x:v>
      </x:c>
      <x:c r="E92" s="95" t="n">
        <x:v>26.178327266548113</x:v>
      </x:c>
      <x:c r="F92" s="95" t="n">
        <x:v>0.43062494385981664</x:v>
      </x:c>
      <x:c r="G92" s="99" t="str">
        <x:v>Slug / intermittent</x:v>
      </x:c>
      <x:c r="H92" s="95" t="n">
        <x:v>32.88729664257256</x:v>
      </x:c>
      <x:c r="I92" s="25" t="str">
        <x:v>Slug–churn pada α = 0.52</x:v>
      </x:c>
    </x:row>
    <x:row r="93">
      <x:c r="A93" s="91" t="n">
        <x:v>90</x:v>
      </x:c>
      <x:c r="B93" s="95" t="n">
        <x:v>69.1842573214247</x:v>
      </x:c>
      <x:c r="C93" s="95" t="n">
        <x:v>0.5383400363776923</x:v>
      </x:c>
      <x:c r="D93" s="99" t="str">
        <x:v>Churn</x:v>
      </x:c>
      <x:c r="E93" s="95" t="n">
        <x:v>26.267719054667747</x:v>
      </x:c>
      <x:c r="F93" s="95" t="n">
        <x:v>0.43138788052989174</x:v>
      </x:c>
      <x:c r="G93" s="99" t="str">
        <x:v>Slug / intermittent</x:v>
      </x:c>
      <x:c r="H93" s="95" t="n">
        <x:v>33.36939512064551</x:v>
      </x:c>
      <x:c r="I93" s="25" t="str">
        <x:v>Slug–churn pada α = 0.52</x:v>
      </x:c>
    </x:row>
    <x:row r="94">
      <x:c r="A94" s="91" t="n">
        <x:v>91</x:v>
      </x:c>
      <x:c r="B94" s="95" t="n">
        <x:v>69.95297129166275</x:v>
      </x:c>
      <x:c r="C94" s="95" t="n">
        <x:v>0.540010727420947</x:v>
      </x:c>
      <x:c r="D94" s="99" t="str">
        <x:v>Churn</x:v>
      </x:c>
      <x:c r="E94" s="95" t="n">
        <x:v>26.35393671362004</x:v>
      </x:c>
      <x:c r="F94" s="95" t="n">
        <x:v>0.4321537627584128</x:v>
      </x:c>
      <x:c r="G94" s="99" t="str">
        <x:v>Slug / intermittent</x:v>
      </x:c>
      <x:c r="H94" s="95" t="n">
        <x:v>33.84615769759879</x:v>
      </x:c>
      <x:c r="I94" s="25" t="str">
        <x:v>Slug–churn pada α = 0.52</x:v>
      </x:c>
    </x:row>
    <x:row r="95">
      <x:c r="A95" s="91" t="n">
        <x:v>92</x:v>
      </x:c>
      <x:c r="B95" s="95" t="n">
        <x:v>70.7216852619008</x:v>
      </x:c>
      <x:c r="C95" s="95" t="n">
        <x:v>0.5416705884637482</x:v>
      </x:c>
      <x:c r="D95" s="99" t="str">
        <x:v>Churn</x:v>
      </x:c>
      <x:c r="E95" s="95" t="n">
        <x:v>26.43705600224487</x:v>
      </x:c>
      <x:c r="F95" s="95" t="n">
        <x:v>0.432922449521799</x:v>
      </x:c>
      <x:c r="G95" s="99" t="str">
        <x:v>Slug / intermittent</x:v>
      </x:c>
      <x:c r="H95" s="95" t="n">
        <x:v>34.317631615159634</x:v>
      </x:c>
      <x:c r="I95" s="25" t="str">
        <x:v>Slug–churn pada α = 0.52</x:v>
      </x:c>
    </x:row>
    <x:row r="96">
      <x:c r="A96" s="91" t="n">
        <x:v>93</x:v>
      </x:c>
      <x:c r="B96" s="95" t="n">
        <x:v>71.49039923213886</x:v>
      </x:c>
      <x:c r="C96" s="95" t="n">
        <x:v>0.5433196474598734</x:v>
      </x:c>
      <x:c r="D96" s="99" t="str">
        <x:v>Churn</x:v>
      </x:c>
      <x:c r="E96" s="95" t="n">
        <x:v>26.51715061474734</x:v>
      </x:c>
      <x:c r="F96" s="95" t="n">
        <x:v>0.43369380367251115</x:v>
      </x:c>
      <x:c r="G96" s="99" t="str">
        <x:v>Slug / intermittent</x:v>
      </x:c>
      <x:c r="H96" s="95" t="n">
        <x:v>34.78386437479772</x:v>
      </x:c>
      <x:c r="I96" s="25" t="str">
        <x:v>Slug–churn pada α = 0.52</x:v>
      </x:c>
    </x:row>
    <x:row r="97">
      <x:c r="A97" s="91" t="n">
        <x:v>94</x:v>
      </x:c>
      <x:c r="B97" s="95" t="n">
        <x:v>72.25911320237691</x:v>
      </x:c>
      <x:c r="C97" s="95" t="n">
        <x:v>0.5449579351660236</x:v>
      </x:c>
      <x:c r="D97" s="99" t="str">
        <x:v>Churn</x:v>
      </x:c>
      <x:c r="E97" s="95" t="n">
        <x:v>26.594292247878197</x:v>
      </x:c>
      <x:c r="F97" s="95" t="n">
        <x:v>0.43446769184809797</x:v>
      </x:c>
      <x:c r="G97" s="99" t="str">
        <x:v>Slug / intermittent</x:v>
      </x:c>
      <x:c r="H97" s="95" t="n">
        <x:v>35.24490368950866</x:v>
      </x:c>
      <x:c r="I97" s="25" t="str">
        <x:v>Slug–churn pada α = 0.52</x:v>
      </x:c>
    </x:row>
    <x:row r="98">
      <x:c r="A98" s="91" t="n">
        <x:v>95</x:v>
      </x:c>
      <x:c r="B98" s="95" t="n">
        <x:v>73.02782717261496</x:v>
      </x:c>
      <x:c r="C98" s="95" t="n">
        <x:v>0.5465854849428934</x:v>
      </x:c>
      <x:c r="D98" s="99" t="str">
        <x:v>Churn</x:v>
      </x:c>
      <x:c r="E98" s="95" t="n">
        <x:v>26.668550665653537</x:v>
      </x:c>
      <x:c r="F98" s="95" t="n">
        <x:v>0.4352439843820447</x:v>
      </x:c>
      <x:c r="G98" s="99" t="str">
        <x:v>Slug / intermittent</x:v>
      </x:c>
      <x:c r="H98" s="95" t="n">
        <x:v>35.700797438041796</x:v>
      </x:c>
      <x:c r="I98" s="25" t="str">
        <x:v>Slug–churn pada α = 0.52</x:v>
      </x:c>
    </x:row>
    <x:row r="99">
      <x:c r="A99" s="91" t="n">
        <x:v>96</x:v>
      </x:c>
      <x:c r="B99" s="95" t="n">
        <x:v>73.79654114285302</x:v>
      </x:c>
      <x:c r="C99" s="95" t="n">
        <x:v>0.5482023325693525</x:v>
      </x:c>
      <x:c r="D99" s="99" t="str">
        <x:v>Churn</x:v>
      </x:c>
      <x:c r="E99" s="95" t="n">
        <x:v>26.739993761630537</x:v>
      </x:c>
      <x:c r="F99" s="95" t="n">
        <x:v>0.43602255521431893</x:v>
      </x:c>
      <x:c r="G99" s="99" t="str">
        <x:v>Slug / intermittent</x:v>
      </x:c>
      <x:c r="H99" s="95" t="n">
        <x:v>36.15159362215895</x:v>
      </x:c>
      <x:c r="I99" s="25" t="str">
        <x:v>Slug–churn pada α = 0.52</x:v>
      </x:c>
    </x:row>
    <x:row r="100">
      <x:c r="A100" s="91" t="n">
        <x:v>97</x:v>
      </x:c>
      <x:c r="B100" s="95" t="n">
        <x:v>74.56525511309107</x:v>
      </x:c>
      <x:c r="C100" s="95" t="n">
        <x:v>0.5498085160673999</x:v>
      </x:c>
      <x:c r="D100" s="99" t="str">
        <x:v>Churn</x:v>
      </x:c>
      <x:c r="E100" s="95" t="n">
        <x:v>26.80868761912706</x:v>
      </x:c>
      <x:c r="F100" s="95" t="n">
        <x:v>0.43680328180394395</x:v>
      </x:c>
      <x:c r="G100" s="99" t="str">
        <x:v>Slug / intermittent</x:v>
      </x:c>
      <x:c r="H100" s="95" t="n">
        <x:v>36.59734032610341</x:v>
      </x:c>
      <x:c r="I100" s="25" t="str">
        <x:v>Slug–churn pada α = 0.52</x:v>
      </x:c>
    </x:row>
    <x:row r="101">
      <x:c r="A101" s="91" t="n">
        <x:v>98</x:v>
      </x:c>
      <x:c r="B101" s="95" t="n">
        <x:v>75.33396908332912</x:v>
      </x:c>
      <x:c r="C101" s="95" t="n">
        <x:v>0.5514040755397076</x:v>
      </x:c>
      <x:c r="D101" s="99" t="str">
        <x:v>Churn</x:v>
      </x:c>
      <x:c r="E101" s="95" t="n">
        <x:v>26.874696568937672</x:v>
      </x:c>
      <x:c r="F101" s="95" t="n">
        <x:v>0.4375860450423621</x:v>
      </x:c>
      <x:c r="G101" s="99" t="str">
        <x:v>Slug / intermittent</x:v>
      </x:c>
      <x:c r="H101" s="95" t="n">
        <x:v>37.03808567858818</x:v>
      </x:c>
      <x:c r="I101" s="25" t="str">
        <x:v>Slug–churn pada α = 0.52</x:v>
      </x:c>
    </x:row>
    <x:row r="102">
      <x:c r="A102" s="91" t="n">
        <x:v>99</x:v>
      </x:c>
      <x:c r="B102" s="95" t="n">
        <x:v>76.10268305356716</x:v>
      </x:c>
      <x:c r="C102" s="95" t="n">
        <x:v>0.5529890530162853</x:v>
      </x:c>
      <x:c r="D102" s="99" t="str">
        <x:v>Churn</x:v>
      </x:c>
      <x:c r="E102" s="95" t="n">
        <x:v>26.938083245183194</x:v>
      </x:c>
      <x:c r="F102" s="95" t="n">
        <x:v>0.43837072916808706</x:v>
      </x:c>
      <x:c r="G102" s="99" t="str">
        <x:v>Slug / intermittent</x:v>
      </x:c>
      <x:c r="H102" s="95" t="n">
        <x:v>37.473877817062714</x:v>
      </x:c>
      <x:c r="I102" s="25" t="str">
        <x:v>Slug–churn pada α = 0.52</x:v>
      </x:c>
    </x:row>
    <x:row r="103">
      <x:c r="A103" s="92" t="n">
        <x:v>100</x:v>
      </x:c>
      <x:c r="B103" s="96" t="n">
        <x:v>76.87139702380522</x:v>
      </x:c>
      <x:c r="C103" s="96" t="n">
        <x:v>0.5545634923111307</x:v>
      </x:c>
      <x:c r="D103" s="100" t="str">
        <x:v>Churn</x:v>
      </x:c>
      <x:c r="E103" s="96" t="n">
        <x:v>26.998908639059007</x:v>
      </x:c>
      <x:c r="F103" s="96" t="n">
        <x:v>0.4391572216826822</x:v>
      </x:c>
      <x:c r="G103" s="100" t="str">
        <x:v>Slug / intermittent</x:v>
      </x:c>
      <x:c r="H103" s="96" t="n">
        <x:v>37.90476485416281</x:v>
      </x:c>
      <x:c r="I103" s="28" t="str">
        <x:v>Slug–churn pada α = 0.52</x:v>
      </x:c>
    </x:row>
  </x:sheetData>
  <x:mergeCells>
    <x:mergeCell ref="A1:I1"/>
  </x:mergeCells>
  <x:conditionalFormatting sqref="C4:C103">
    <x:cfRule type="expression" dxfId="0" priority="1">
      <x:formula>C4&lt;0.20</x:formula>
    </x:cfRule>
    <x:cfRule type="expression" dxfId="1" priority="2">
      <x:formula>AND(C4&gt;=0.20,C4&lt;0.30)</x:formula>
    </x:cfRule>
    <x:cfRule type="expression" dxfId="2" priority="3">
      <x:formula>AND(C4&gt;=0.30,C4&lt;0.52)</x:formula>
    </x:cfRule>
    <x:cfRule type="expression" dxfId="3" priority="4">
      <x:formula>AND(C4&gt;=0.52,C4&lt;0.70)</x:formula>
    </x:cfRule>
    <x:cfRule type="expression" dxfId="4" priority="5">
      <x:formula>C4&gt;=0.70</x:formula>
    </x:cfRule>
  </x:conditionalFormatting>
  <x:conditionalFormatting sqref="F4:F103">
    <x:cfRule type="expression" dxfId="5" priority="6">
      <x:formula>F4&lt;0.20</x:formula>
    </x:cfRule>
    <x:cfRule type="expression" dxfId="6" priority="7">
      <x:formula>AND(F4&gt;=0.20,F4&lt;0.30)</x:formula>
    </x:cfRule>
    <x:cfRule type="expression" dxfId="7" priority="8">
      <x:formula>AND(F4&gt;=0.30,F4&lt;0.52)</x:formula>
    </x:cfRule>
    <x:cfRule type="expression" dxfId="8" priority="9">
      <x:formula>AND(F4&gt;=0.52,F4&lt;0.70)</x:formula>
    </x:cfRule>
    <x:cfRule type="expression" dxfId="9" priority="10">
      <x:formula>F4&gt;=0.70</x:formula>
    </x:cfRule>
  </x:conditionalFormatting>
  <x:pageMargins left="0.7" right="0.7" top="0.75" bottom="0.75" header="0.3" footer="0.3"/>
  <x:drawing xmlns:r="http://schemas.openxmlformats.org/officeDocument/2006/relationships" r:id="Rd3ae98c90a1d4bba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6" hidden="0" customWidth="1"/>
    <x:col min="3" max="3" width="18" hidden="0" customWidth="1"/>
    <x:col min="4" max="4" width="42" hidden="0" customWidth="1"/>
  </x:cols>
  <x:sheetData>
    <x:row r="1">
      <x:c r="A1" s="5" t="str">
        <x:v>MODEL NOTES — KOMPARASI DUA ID RISER</x:v>
      </x:c>
      <x:c r="B1" s="5"/>
      <x:c r="C1" s="5"/>
      <x:c r="D1" s="5"/>
    </x:row>
    <x:row r="3">
      <x:c r="A3" s="20" t="str">
        <x:v>Item</x:v>
      </x:c>
      <x:c r="B3" s="21" t="str">
        <x:v>Penjelasan</x:v>
      </x:c>
      <x:c r="C3" s="21" t="str">
        <x:v>Status</x:v>
      </x:c>
      <x:c r="D3" s="22" t="str">
        <x:v>Rujukan / Catatan</x:v>
      </x:c>
    </x:row>
    <x:row r="4" ht="44" customHeight="1">
      <x:c r="A4" s="103" t="str">
        <x:v>Scope</x:v>
      </x:c>
      <x:c r="B4" s="99" t="str">
        <x:v>Model sampai diffuser → Qg → α → regime. Tidak memasukkan kurva blower, hose, check valve, atau loss outlet.</x:v>
      </x:c>
      <x:c r="C4" s="99" t="str">
        <x:v>Batas model</x:v>
      </x:c>
      <x:c r="D4" s="104" t="str"/>
    </x:row>
    <x:row r="5" ht="44" customHeight="1">
      <x:c r="A5" s="103" t="str">
        <x:v>ΔP capillary</x:v>
      </x:c>
      <x:c r="B5" s="99" t="str">
        <x:v>ΔPcap = 4σcosθ/d sebagai basis ideal; kondisi aktual dipengaruhi wettability, burr, fouling, dan air proses.</x:v>
      </x:c>
      <x:c r="C5" s="99" t="str">
        <x:v>Input model</x:v>
      </x:c>
      <x:c r="D5" s="104" t="str">
        <x:v>Young–Laplace</x:v>
      </x:c>
    </x:row>
    <x:row r="6" ht="44" customHeight="1">
      <x:c r="A6" s="103" t="str">
        <x:v>Flow per bore</x:v>
      </x:c>
      <x:c r="B6" s="99" t="str">
        <x:v>q = Cd A √(2ΔPflow/ρg). Parameter yang dipakai: bore 1 mm, t = 2 mm, Cd = 0.75, ΔP diffuser = 60 mmH₂O.</x:v>
      </x:c>
      <x:c r="C6" s="99" t="str">
        <x:v>Input model</x:v>
      </x:c>
      <x:c r="D6" s="104" t="str">
        <x:v>Short-tube/orifice</x:v>
      </x:c>
    </x:row>
    <x:row r="7" ht="44" customHeight="1">
      <x:c r="A7" s="103" t="str">
        <x:v>Model α</x:v>
      </x:c>
      <x:c r="B7" s="99" t="str">
        <x:v>Jl, slip ratio, Qw, dan α diselesaikan ulang secara numerik untuk setiap diameter riser.</x:v>
      </x:c>
      <x:c r="C7" s="99" t="str">
        <x:v>Model numerik</x:v>
      </x:c>
      <x:c r="D7" s="104" t="str">
        <x:v>Bukhari / Griffith–Wallis basis</x:v>
      </x:c>
    </x:row>
    <x:row r="8" ht="44" customHeight="1">
      <x:c r="A8" s="105" t="str">
        <x:v>Kriteria regime</x:v>
      </x:c>
      <x:c r="B8" s="100" t="str">
        <x:v>Slug–churn menggunakan α = 0.52. Rentang α lain adalah klasifikasi kerja agar tabel dapat dibaca konsisten.</x:v>
      </x:c>
      <x:c r="C8" s="100" t="str">
        <x:v>Kriteria model</x:v>
      </x:c>
      <x:c r="D8" s="106" t="str">
        <x:v>Brauner–Barnea / Bukhari</x:v>
      </x:c>
    </x:row>
  </x:sheetData>
  <x:mergeCells>
    <x:mergeCell ref="A1:D1"/>
  </x:mergeCells>
  <x:pageMargins left="0.7" right="0.7" top="0.75" bottom="0.75" header="0.3" footer="0.3"/>
</x:worksheet>
</file>