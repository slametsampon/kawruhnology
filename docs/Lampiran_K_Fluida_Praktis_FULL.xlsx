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f8cf967f6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Water Flow" sheetId="1" r:id="Rb3145ec9e95d4709"/>
    <x:sheet xmlns:r="http://schemas.openxmlformats.org/officeDocument/2006/relationships" name="02 Water PD" sheetId="2" r:id="R1dedebd45f204b57"/>
    <x:sheet xmlns:r="http://schemas.openxmlformats.org/officeDocument/2006/relationships" name="03 Air Flow" sheetId="3" r:id="Rf7a24d39a25f461a"/>
    <x:sheet xmlns:r="http://schemas.openxmlformats.org/officeDocument/2006/relationships" name="04 Air PD" sheetId="4" r:id="R51655169e70b4d5e"/>
    <x:sheet xmlns:r="http://schemas.openxmlformats.org/officeDocument/2006/relationships" name="05 Orifice" sheetId="5" r:id="R8b20c5e51f3f43fa"/>
    <x:sheet xmlns:r="http://schemas.openxmlformats.org/officeDocument/2006/relationships" name="06 Diffuser" sheetId="6" r:id="R0362f2a3a88745b6"/>
    <x:sheet xmlns:r="http://schemas.openxmlformats.org/officeDocument/2006/relationships" name="07 Pipe Sizing" sheetId="7" r:id="R7b14c1d4ca954e65"/>
    <x:sheet xmlns:r="http://schemas.openxmlformats.org/officeDocument/2006/relationships" name="08 Reynolds" sheetId="8" r:id="R6b021980df934e4f"/>
    <x:sheet xmlns:r="http://schemas.openxmlformats.org/officeDocument/2006/relationships" name="09 Unit Converter" sheetId="9" r:id="R19c52c7d1e4c4126"/>
    <x:sheet xmlns:r="http://schemas.openxmlformats.org/officeDocument/2006/relationships" name="10 Practical Tables" sheetId="10" r:id="Rd298e1eef63a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489900cdd42a0" /><Relationship Type="http://schemas.openxmlformats.org/officeDocument/2006/relationships/theme" Target="/xl/theme/theme1.xml" Id="R4a95312dc27b4017" /><Relationship Type="http://schemas.openxmlformats.org/officeDocument/2006/relationships/sharedStrings" Target="/xl/sharedStrings.xml" Id="R9411bf152c3647f1" /><Relationship Type="http://schemas.openxmlformats.org/officeDocument/2006/relationships/worksheet" Target="/xl/worksheets/sheet1.xml" Id="Rb3145ec9e95d4709" /><Relationship Type="http://schemas.openxmlformats.org/officeDocument/2006/relationships/worksheet" Target="/xl/worksheets/sheet2.xml" Id="R1dedebd45f204b57" /><Relationship Type="http://schemas.openxmlformats.org/officeDocument/2006/relationships/worksheet" Target="/xl/worksheets/sheet3.xml" Id="Rf7a24d39a25f461a" /><Relationship Type="http://schemas.openxmlformats.org/officeDocument/2006/relationships/worksheet" Target="/xl/worksheets/sheet4.xml" Id="R51655169e70b4d5e" /><Relationship Type="http://schemas.openxmlformats.org/officeDocument/2006/relationships/worksheet" Target="/xl/worksheets/sheet5.xml" Id="R8b20c5e51f3f43fa" /><Relationship Type="http://schemas.openxmlformats.org/officeDocument/2006/relationships/worksheet" Target="/xl/worksheets/sheet6.xml" Id="R0362f2a3a88745b6" /><Relationship Type="http://schemas.openxmlformats.org/officeDocument/2006/relationships/worksheet" Target="/xl/worksheets/sheet7.xml" Id="R7b14c1d4ca954e65" /><Relationship Type="http://schemas.openxmlformats.org/officeDocument/2006/relationships/worksheet" Target="/xl/worksheets/sheet8.xml" Id="R6b021980df934e4f" /><Relationship Type="http://schemas.openxmlformats.org/officeDocument/2006/relationships/worksheet" Target="/xl/worksheets/sheet9.xml" Id="R19c52c7d1e4c4126" /><Relationship Type="http://schemas.openxmlformats.org/officeDocument/2006/relationships/worksheet" Target="/xl/worksheets/sheet10.xml" Id="Rd298e1eef63a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Sheet-01 Water Flow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debit air dari diameter dan kecepatan, termasuk Reynolds Number dan klasifikasi aliran.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pipa</x:v>
      </x:c>
      <x:c r="B5" s="35" t="n">
        <x:v>25</x:v>
      </x:c>
      <x:c r="C5" s="33" t="str">
        <x:v>mm</x:v>
      </x:c>
      <x:c r="D5" s="33" t="str">
        <x:v>Gunakan diameter dalam pipa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Velocity</x:v>
      </x:c>
      <x:c r="B6" s="35" t="n">
        <x:v>1</x:v>
      </x:c>
      <x:c r="C6" s="33" t="str">
        <x:v>m/s</x:v>
      </x:c>
      <x:c r="D6" s="33" t="str">
        <x:v>Kecepatan desain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Densitas air</x:v>
      </x:c>
      <x:c r="B7" s="35" t="n">
        <x:v>1000</x:v>
      </x:c>
      <x:c r="C7" s="33" t="str">
        <x:v>kg/m³</x:v>
      </x:c>
      <x:c r="D7" s="33" t="str">
        <x:v>Nilai praktis air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Viskositas air</x:v>
      </x:c>
      <x:c r="B8" s="35" t="n">
        <x:v>0.001</x:v>
      </x:c>
      <x:c r="C8" s="33" t="str">
        <x:v>Pa·s</x:v>
      </x:c>
      <x:c r="D8" s="33" t="str">
        <x:v>Air 20°C</x:v>
      </x:c>
      <x:c r="E8" s="33"/>
      <x:c r="F8" s="33"/>
      <x:c r="G8" s="33"/>
      <x:c r="H8" s="33"/>
      <x:c r="I8" s="33"/>
      <x:c r="J8" s="33"/>
      <x:c r="K8" s="33"/>
      <x:c r="L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</x:row>
    <x:row r="10">
      <x:c r="A10" s="34" t="str">
        <x:v>Calculation / Output</x:v>
      </x:c>
      <x:c r="B10" s="34" t="str">
        <x:v>Value</x:v>
      </x:c>
      <x:c r="C10" s="34" t="str">
        <x:v>Unit</x:v>
      </x:c>
      <x:c r="D10" s="34" t="str">
        <x:v>Formula</x:v>
      </x:c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Diameter meter</x:v>
      </x:c>
      <x:c r="B11" s="36" t="n">
        <x:f>B5/1000</x:f>
        <x:v>0.025</x:v>
      </x:c>
      <x:c r="C11" s="33" t="str">
        <x:v>m</x:v>
      </x:c>
      <x:c r="D11" s="33" t="str">
        <x:v>=B5/1000</x:v>
      </x:c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Area</x:v>
      </x:c>
      <x:c r="B12" s="36" t="n">
        <x:f>PI()*B11^2/4</x:f>
        <x:v>0.0004908738521234052</x:v>
      </x:c>
      <x:c r="C12" s="33" t="str">
        <x:v>m²</x:v>
      </x:c>
      <x:c r="D12" s="33" t="str">
        <x:v>=PI()*B11^2/4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Q</x:v>
      </x:c>
      <x:c r="B13" s="36" t="n">
        <x:f>B12*B6</x:f>
        <x:v>0.0004908738521234052</x:v>
      </x:c>
      <x:c r="C13" s="33" t="str">
        <x:v>m³/s</x:v>
      </x:c>
      <x:c r="D13" s="33" t="str">
        <x:v>=B12*B6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Q</x:v>
      </x:c>
      <x:c r="B14" s="36" t="n">
        <x:f>B13*1000</x:f>
        <x:v>0.49087385212340523</x:v>
      </x:c>
      <x:c r="C14" s="33" t="str">
        <x:v>L/s</x:v>
      </x:c>
      <x:c r="D14" s="33" t="str">
        <x:v>=B13*1000</x:v>
      </x:c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 t="str">
        <x:v>Q</x:v>
      </x:c>
      <x:c r="B15" s="36" t="n">
        <x:f>B13*1000*60</x:f>
        <x:v>29.452431127404314</x:v>
      </x:c>
      <x:c r="C15" s="33" t="str">
        <x:v>L/min</x:v>
      </x:c>
      <x:c r="D15" s="33" t="str">
        <x:v>=B13*1000*60</x:v>
      </x:c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Reynolds</x:v>
      </x:c>
      <x:c r="B16" s="36" t="n">
        <x:f>B7*B6*B11/B8</x:f>
        <x:v>25000</x:v>
      </x:c>
      <x:c r="C16" s="33" t="str">
        <x:v>-</x:v>
      </x:c>
      <x:c r="D16" s="33" t="str">
        <x:v>=B7*B6*B11/B8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Flow Regime</x:v>
      </x:c>
      <x:c r="B17" s="37" t="str">
        <x:f>IF(B16&lt;2000,"Laminar",IF(B16&lt;4000,"Transitional","Turbulent"))</x:f>
        <x:v>Turbulent</x:v>
      </x:c>
      <x:c r="C17" s="33" t="str">
        <x:v>-</x:v>
      </x:c>
      <x:c r="D17" s="33" t="str">
        <x:v>=IF(B16&lt;2000,"Laminar",IF(B16&lt;4000,"Transitional","Turbulent"))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Sheet-02 Water Pressure Drop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head loss dan pressure drop air menggunakan Darcy-Weisbach, termasuk major loss dan minor loss.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pipa</x:v>
      </x:c>
      <x:c r="B5" s="35" t="n">
        <x:v>25</x:v>
      </x:c>
      <x:c r="C5" s="33" t="str">
        <x:v>mm</x:v>
      </x:c>
      <x:c r="D5" s="33" t="str">
        <x:v>Diameter dalam pipa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Panjang pipa</x:v>
      </x:c>
      <x:c r="B6" s="35" t="n">
        <x:v>20</x:v>
      </x:c>
      <x:c r="C6" s="33" t="str">
        <x:v>m</x:v>
      </x:c>
      <x:c r="D6" s="33" t="str">
        <x:v>Panjang aktual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Debit</x:v>
      </x:c>
      <x:c r="B7" s="35" t="n">
        <x:v>30</x:v>
      </x:c>
      <x:c r="C7" s="33" t="str">
        <x:v>L/min</x:v>
      </x:c>
      <x:c r="D7" s="33" t="str">
        <x:v>Debit target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Densitas air</x:v>
      </x:c>
      <x:c r="B8" s="35" t="n">
        <x:v>1000</x:v>
      </x:c>
      <x:c r="C8" s="33" t="str">
        <x:v>kg/m³</x:v>
      </x:c>
      <x:c r="D8" s="33" t="str"/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Viskositas air</x:v>
      </x:c>
      <x:c r="B9" s="35" t="n">
        <x:v>0.001</x:v>
      </x:c>
      <x:c r="C9" s="33" t="str">
        <x:v>Pa·s</x:v>
      </x:c>
      <x:c r="D9" s="33" t="str"/>
      <x:c r="E9" s="33"/>
      <x:c r="F9" s="33"/>
      <x:c r="G9" s="33"/>
      <x:c r="H9" s="33"/>
      <x:c r="I9" s="33"/>
      <x:c r="J9" s="33"/>
      <x:c r="K9" s="33"/>
      <x:c r="L9" s="33"/>
    </x:row>
    <x:row r="10">
      <x:c r="A10" s="33" t="str">
        <x:v>Kekasaran PVC</x:v>
      </x:c>
      <x:c r="B10" s="35" t="n">
        <x:v>0.0015</x:v>
      </x:c>
      <x:c r="C10" s="33" t="str">
        <x:v>mm</x:v>
      </x:c>
      <x:c r="D10" s="33" t="str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Elbow qty</x:v>
      </x:c>
      <x:c r="B11" s="35" t="n">
        <x:v>4</x:v>
      </x:c>
      <x:c r="C11" s="33" t="str">
        <x:v>pcs</x:v>
      </x:c>
      <x:c r="D11" s="33" t="str"/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K elbow</x:v>
      </x:c>
      <x:c r="B12" s="35" t="n">
        <x:v>0.9</x:v>
      </x:c>
      <x:c r="C12" s="33" t="str">
        <x:v>-</x:v>
      </x:c>
      <x:c r="D12" s="33" t="str">
        <x:v>Standard elbow 90°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Tee qty</x:v>
      </x:c>
      <x:c r="B13" s="35" t="n">
        <x:v>1</x:v>
      </x:c>
      <x:c r="C13" s="33" t="str">
        <x:v>pcs</x:v>
      </x:c>
      <x:c r="D13" s="33" t="str"/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K tee</x:v>
      </x:c>
      <x:c r="B14" s="35" t="n">
        <x:v>1</x:v>
      </x:c>
      <x:c r="C14" s="33" t="str">
        <x:v>-</x:v>
      </x:c>
      <x:c r="D14" s="33" t="str"/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 t="str">
        <x:v>Valve qty</x:v>
      </x:c>
      <x:c r="B15" s="35" t="n">
        <x:v>1</x:v>
      </x:c>
      <x:c r="C15" s="33" t="str">
        <x:v>pcs</x:v>
      </x:c>
      <x:c r="D15" s="33" t="str"/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K valve</x:v>
      </x:c>
      <x:c r="B16" s="35" t="n">
        <x:v>0.2</x:v>
      </x:c>
      <x:c r="C16" s="33" t="str">
        <x:v>-</x:v>
      </x:c>
      <x:c r="D16" s="33" t="str">
        <x:v>Ball/gate open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Static head</x:v>
      </x:c>
      <x:c r="B17" s="35" t="n">
        <x:v>2</x:v>
      </x:c>
      <x:c r="C17" s="33" t="str">
        <x:v>m</x:v>
      </x:c>
      <x:c r="D17" s="33" t="str">
        <x:v>Elevasi/tekanan statis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4" t="str">
        <x:v>Calculation / Output</x:v>
      </x:c>
      <x:c r="B20" s="34" t="str">
        <x:v>Value</x:v>
      </x:c>
      <x:c r="C20" s="34" t="str">
        <x:v>Unit</x:v>
      </x:c>
      <x:c r="D20" s="34" t="str">
        <x:v>Formula</x:v>
      </x:c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 t="str">
        <x:v>D_m</x:v>
      </x:c>
      <x:c r="B21" s="36" t="n">
        <x:f>B5/1000</x:f>
        <x:v>0.025</x:v>
      </x:c>
      <x:c r="C21" s="33" t="str">
        <x:v>m</x:v>
      </x:c>
      <x:c r="D21" s="33" t="str">
        <x:v>=B5/1000</x:v>
      </x:c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 t="str">
        <x:v>Q_m3s</x:v>
      </x:c>
      <x:c r="B22" s="36" t="n">
        <x:f>B7/1000/60</x:f>
        <x:v>0.0005</x:v>
      </x:c>
      <x:c r="C22" s="33" t="str">
        <x:v>m³/s</x:v>
      </x:c>
      <x:c r="D22" s="33" t="str">
        <x:v>=B7/1000/60</x:v>
      </x:c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 t="str">
        <x:v>Area</x:v>
      </x:c>
      <x:c r="B23" s="36" t="n">
        <x:f>PI()*B21^2/4</x:f>
        <x:v>0.0004908738521234052</x:v>
      </x:c>
      <x:c r="C23" s="33" t="str">
        <x:v>m²</x:v>
      </x:c>
      <x:c r="D23" s="33" t="str">
        <x:v>=PI()*B21^2/4</x:v>
      </x:c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 t="str">
        <x:v>Velocity</x:v>
      </x:c>
      <x:c r="B24" s="36" t="n">
        <x:f>B22/B23</x:f>
        <x:v>1.0185916357881302</x:v>
      </x:c>
      <x:c r="C24" s="33" t="str">
        <x:v>m/s</x:v>
      </x:c>
      <x:c r="D24" s="33" t="str">
        <x:v>=B22/B23</x:v>
      </x:c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 t="str">
        <x:v>Reynolds</x:v>
      </x:c>
      <x:c r="B25" s="36" t="n">
        <x:f>B8*B24*B21/B9</x:f>
        <x:v>25464.790894703256</x:v>
      </x:c>
      <x:c r="C25" s="33" t="str">
        <x:v>-</x:v>
      </x:c>
      <x:c r="D25" s="33" t="str">
        <x:v>=B8*B24*B21/B9</x:v>
      </x:c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 t="str">
        <x:v>Relative roughness</x:v>
      </x:c>
      <x:c r="B26" s="36" t="n">
        <x:f>(B10/1000)/B21</x:f>
        <x:v>0.00006</x:v>
      </x:c>
      <x:c r="C26" s="33" t="str">
        <x:v>-</x:v>
      </x:c>
      <x:c r="D26" s="33" t="str">
        <x:v>=(B10/1000)/B21</x:v>
      </x:c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 t="str">
        <x:v>Darcy f</x:v>
      </x:c>
      <x:c r="B27" s="36" t="n">
        <x:f>IF(B25&lt;2000,64/B25,0.25/(LOG10(B26/3.7+5.74/(B25^0.9))^2))</x:f>
        <x:v>0.02448668732023665</x:v>
      </x:c>
      <x:c r="C27" s="33" t="str">
        <x:v>-</x:v>
      </x:c>
      <x:c r="D27" s="33" t="str">
        <x:v>=IF(B25&lt;2000,64/B25,0.25/(LOG10(B26/3.7+5.74/(B25^0.9))^2))</x:v>
      </x:c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 t="str">
        <x:v>Major hf</x:v>
      </x:c>
      <x:c r="B28" s="36" t="n">
        <x:f>B27*(B6/B21)*(B24^2/(2*9.81))</x:f>
        <x:v>1.0359081044618104</x:v>
      </x:c>
      <x:c r="C28" s="33" t="str">
        <x:v>m</x:v>
      </x:c>
      <x:c r="D28" s="33" t="str">
        <x:v>=B27*(B6/B21)*(B24^2/(2*9.81))</x:v>
      </x:c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 t="str">
        <x:v>K total</x:v>
      </x:c>
      <x:c r="B29" s="36" t="n">
        <x:f>B11*B12+B13*B14+B15*B16</x:f>
        <x:v>4.8</x:v>
      </x:c>
      <x:c r="C29" s="33" t="str">
        <x:v>-</x:v>
      </x:c>
      <x:c r="D29" s="33" t="str">
        <x:v>=B11*B12+B13*B14+B15*B16</x:v>
      </x:c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 t="str">
        <x:v>Minor hf</x:v>
      </x:c>
      <x:c r="B30" s="36" t="n">
        <x:f>B29*(B24^2/(2*9.81))</x:f>
        <x:v>0.25382970532049876</x:v>
      </x:c>
      <x:c r="C30" s="33" t="str">
        <x:v>m</x:v>
      </x:c>
      <x:c r="D30" s="33" t="str">
        <x:v>=B29*(B24^2/(2*9.81))</x:v>
      </x:c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 t="str">
        <x:v>Total head loss</x:v>
      </x:c>
      <x:c r="B31" s="36" t="n">
        <x:f>B28+B30</x:f>
        <x:v>1.2897378097823091</x:v>
      </x:c>
      <x:c r="C31" s="33" t="str">
        <x:v>m</x:v>
      </x:c>
      <x:c r="D31" s="33" t="str">
        <x:v>=B28+B30</x:v>
      </x:c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 t="str">
        <x:v>Total dynamic head</x:v>
      </x:c>
      <x:c r="B32" s="36" t="n">
        <x:f>B31+B17</x:f>
        <x:v>3.2897378097823093</x:v>
      </x:c>
      <x:c r="C32" s="33" t="str">
        <x:v>m</x:v>
      </x:c>
      <x:c r="D32" s="33" t="str">
        <x:v>=B31+B17</x:v>
      </x:c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 t="str">
        <x:v>Delta P</x:v>
      </x:c>
      <x:c r="B33" s="36" t="n">
        <x:f>B8*9.81*B31</x:f>
        <x:v>12652.327913964453</x:v>
      </x:c>
      <x:c r="C33" s="33" t="str">
        <x:v>Pa</x:v>
      </x:c>
      <x:c r="D33" s="33" t="str">
        <x:v>=B8*9.81*B31</x:v>
      </x:c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 t="str">
        <x:v>Delta P</x:v>
      </x:c>
      <x:c r="B34" s="36" t="n">
        <x:f>B33/1000</x:f>
        <x:v>12.652327913964452</x:v>
      </x:c>
      <x:c r="C34" s="33" t="str">
        <x:v>kPa</x:v>
      </x:c>
      <x:c r="D34" s="33" t="str">
        <x:v>=B33/1000</x:v>
      </x:c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Sheet-03 Air Flow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debit udara dari diameter dan kecepatan, termasuk konversi LPM, CFM, dan Nm³/jam.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pipa</x:v>
      </x:c>
      <x:c r="B5" s="35" t="n">
        <x:v>25</x:v>
      </x:c>
      <x:c r="C5" s="33" t="str">
        <x:v>mm</x:v>
      </x:c>
      <x:c r="D5" s="33" t="str">
        <x:v>Diameter dalam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Velocity</x:v>
      </x:c>
      <x:c r="B6" s="35" t="n">
        <x:v>10</x:v>
      </x:c>
      <x:c r="C6" s="33" t="str">
        <x:v>m/s</x:v>
      </x:c>
      <x:c r="D6" s="33" t="str">
        <x:v>Kecepatan desain udara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Densitas udara</x:v>
      </x:c>
      <x:c r="B7" s="35" t="n">
        <x:v>1.2</x:v>
      </x:c>
      <x:c r="C7" s="33" t="str">
        <x:v>kg/m³</x:v>
      </x:c>
      <x:c r="D7" s="33" t="str">
        <x:v>Udara atmosfer 20°C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Viskositas udara</x:v>
      </x:c>
      <x:c r="B8" s="35" t="n">
        <x:v>0.000018</x:v>
      </x:c>
      <x:c r="C8" s="33" t="str">
        <x:v>Pa·s</x:v>
      </x:c>
      <x:c r="D8" s="33" t="str">
        <x:v>Udara 20°C</x:v>
      </x:c>
      <x:c r="E8" s="33"/>
      <x:c r="F8" s="33"/>
      <x:c r="G8" s="33"/>
      <x:c r="H8" s="33"/>
      <x:c r="I8" s="33"/>
      <x:c r="J8" s="33"/>
      <x:c r="K8" s="33"/>
      <x:c r="L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</x:row>
    <x:row r="10">
      <x:c r="A10" s="34" t="str">
        <x:v>Calculation / Output</x:v>
      </x:c>
      <x:c r="B10" s="34" t="str">
        <x:v>Value</x:v>
      </x:c>
      <x:c r="C10" s="34" t="str">
        <x:v>Unit</x:v>
      </x:c>
      <x:c r="D10" s="34" t="str">
        <x:v>Formula</x:v>
      </x:c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Diameter meter</x:v>
      </x:c>
      <x:c r="B11" s="36" t="n">
        <x:f>B5/1000</x:f>
        <x:v>0.025</x:v>
      </x:c>
      <x:c r="C11" s="33" t="str">
        <x:v>m</x:v>
      </x:c>
      <x:c r="D11" s="33" t="str">
        <x:v>=B5/1000</x:v>
      </x:c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Area</x:v>
      </x:c>
      <x:c r="B12" s="36" t="n">
        <x:f>PI()*B11^2/4</x:f>
        <x:v>0.0004908738521234052</x:v>
      </x:c>
      <x:c r="C12" s="33" t="str">
        <x:v>m²</x:v>
      </x:c>
      <x:c r="D12" s="33" t="str">
        <x:v>=PI()*B11^2/4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Q</x:v>
      </x:c>
      <x:c r="B13" s="36" t="n">
        <x:f>B12*B6</x:f>
        <x:v>0.004908738521234052</x:v>
      </x:c>
      <x:c r="C13" s="33" t="str">
        <x:v>m³/s</x:v>
      </x:c>
      <x:c r="D13" s="33" t="str">
        <x:v>=B12*B6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Q</x:v>
      </x:c>
      <x:c r="B14" s="36" t="n">
        <x:f>B13*1000*60</x:f>
        <x:v>294.5243112740431</x:v>
      </x:c>
      <x:c r="C14" s="33" t="str">
        <x:v>L/min</x:v>
      </x:c>
      <x:c r="D14" s="33" t="str">
        <x:v>=B13*1000*60</x:v>
      </x:c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 t="str">
        <x:v>Q</x:v>
      </x:c>
      <x:c r="B15" s="36" t="n">
        <x:f>B13*3600</x:f>
        <x:v>17.671458676442587</x:v>
      </x:c>
      <x:c r="C15" s="33" t="str">
        <x:v>m³/h</x:v>
      </x:c>
      <x:c r="D15" s="33" t="str">
        <x:v>=B13*3600</x:v>
      </x:c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Q</x:v>
      </x:c>
      <x:c r="B16" s="36" t="n">
        <x:f>B14/28.3168</x:f>
        <x:v>10.401045007700132</x:v>
      </x:c>
      <x:c r="C16" s="33" t="str">
        <x:v>CFM</x:v>
      </x:c>
      <x:c r="D16" s="33" t="str">
        <x:v>=B14/28.3168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Q</x:v>
      </x:c>
      <x:c r="B17" s="36" t="n">
        <x:f>B14/16.6667</x:f>
        <x:v>17.67142333359592</x:v>
      </x:c>
      <x:c r="C17" s="33" t="str">
        <x:v>Nm³/h</x:v>
      </x:c>
      <x:c r="D17" s="33" t="str">
        <x:v>=B14/16.6667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 t="str">
        <x:v>Reynolds</x:v>
      </x:c>
      <x:c r="B18" s="36" t="n">
        <x:f>B7*B6*B11/B8</x:f>
        <x:v>16666.666666666668</x:v>
      </x:c>
      <x:c r="C18" s="33" t="str">
        <x:v>-</x:v>
      </x:c>
      <x:c r="D18" s="33" t="str">
        <x:v>=B7*B6*B11/B8</x:v>
      </x:c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 t="str">
        <x:v>Flow Regime</x:v>
      </x:c>
      <x:c r="B19" s="37" t="str">
        <x:f>IF(B18&lt;2000,"Laminar",IF(B18&lt;4000,"Transitional","Turbulent"))</x:f>
        <x:v>Turbulent</x:v>
      </x:c>
      <x:c r="C19" s="33" t="str">
        <x:v>-</x:v>
      </x:c>
      <x:c r="D19" s="33" t="str">
        <x:v>=IF(B18&lt;2000,"Laminar",IF(B18&lt;4000,"Transitional","Turbulent"))</x:v>
      </x:c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Sheet-04 Air Pressure Drop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pressure drop udara pada pipa/selang menggunakan Darcy-Weisbach dan faktor gesekan otomatis.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pipa</x:v>
      </x:c>
      <x:c r="B5" s="35" t="n">
        <x:v>19</x:v>
      </x:c>
      <x:c r="C5" s="33" t="str">
        <x:v>mm</x:v>
      </x:c>
      <x:c r="D5" s="33" t="str">
        <x:v>Diameter dalam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Panjang pipa</x:v>
      </x:c>
      <x:c r="B6" s="35" t="n">
        <x:v>20</x:v>
      </x:c>
      <x:c r="C6" s="33" t="str">
        <x:v>m</x:v>
      </x:c>
      <x:c r="D6" s="33" t="str">
        <x:v>Panjang aktual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Debit udara</x:v>
      </x:c>
      <x:c r="B7" s="35" t="n">
        <x:v>100</x:v>
      </x:c>
      <x:c r="C7" s="33" t="str">
        <x:v>L/min</x:v>
      </x:c>
      <x:c r="D7" s="33" t="str">
        <x:v>Actual LPM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Densitas udara</x:v>
      </x:c>
      <x:c r="B8" s="35" t="n">
        <x:v>1.2</x:v>
      </x:c>
      <x:c r="C8" s="33" t="str">
        <x:v>kg/m³</x:v>
      </x:c>
      <x:c r="D8" s="33" t="str"/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Viskositas udara</x:v>
      </x:c>
      <x:c r="B9" s="35" t="n">
        <x:v>0.000018</x:v>
      </x:c>
      <x:c r="C9" s="33" t="str">
        <x:v>Pa·s</x:v>
      </x:c>
      <x:c r="D9" s="33" t="str"/>
      <x:c r="E9" s="33"/>
      <x:c r="F9" s="33"/>
      <x:c r="G9" s="33"/>
      <x:c r="H9" s="33"/>
      <x:c r="I9" s="33"/>
      <x:c r="J9" s="33"/>
      <x:c r="K9" s="33"/>
      <x:c r="L9" s="33"/>
    </x:row>
    <x:row r="10">
      <x:c r="A10" s="33" t="str">
        <x:v>Kekasaran PVC</x:v>
      </x:c>
      <x:c r="B10" s="35" t="n">
        <x:v>0.0015</x:v>
      </x:c>
      <x:c r="C10" s="33" t="str">
        <x:v>mm</x:v>
      </x:c>
      <x:c r="D10" s="33" t="str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K minor total</x:v>
      </x:c>
      <x:c r="B11" s="35" t="n">
        <x:v>2</x:v>
      </x:c>
      <x:c r="C11" s="33" t="str">
        <x:v>-</x:v>
      </x:c>
      <x:c r="D11" s="33" t="str">
        <x:v>Elbow/valve/fitting</x:v>
      </x:c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Static pressure</x:v>
      </x:c>
      <x:c r="B12" s="35" t="n">
        <x:v>5</x:v>
      </x:c>
      <x:c r="C12" s="33" t="str">
        <x:v>kPa</x:v>
      </x:c>
      <x:c r="D12" s="33" t="str">
        <x:v>Misal kedalaman air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Margin</x:v>
      </x:c>
      <x:c r="B13" s="35" t="n">
        <x:v>20</x:v>
      </x:c>
      <x:c r="C13" s="33" t="str">
        <x:v>%</x:v>
      </x:c>
      <x:c r="D13" s="33" t="str">
        <x:v>Margin blower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4" t="str">
        <x:v>Calculation / Output</x:v>
      </x:c>
      <x:c r="B15" s="34" t="str">
        <x:v>Value</x:v>
      </x:c>
      <x:c r="C15" s="34" t="str">
        <x:v>Unit</x:v>
      </x:c>
      <x:c r="D15" s="34" t="str">
        <x:v>Formula</x:v>
      </x:c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D_m</x:v>
      </x:c>
      <x:c r="B16" s="36" t="n">
        <x:f>B5/1000</x:f>
        <x:v>0.019</x:v>
      </x:c>
      <x:c r="C16" s="33" t="str">
        <x:v>m</x:v>
      </x:c>
      <x:c r="D16" s="33" t="str">
        <x:v>=B5/1000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Q_m3s</x:v>
      </x:c>
      <x:c r="B17" s="36" t="n">
        <x:f>B7/1000/60</x:f>
        <x:v>0.0016666666666666668</x:v>
      </x:c>
      <x:c r="C17" s="33" t="str">
        <x:v>m³/s</x:v>
      </x:c>
      <x:c r="D17" s="33" t="str">
        <x:v>=B7/1000/60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 t="str">
        <x:v>Area</x:v>
      </x:c>
      <x:c r="B18" s="36" t="n">
        <x:f>PI()*B16^2/4</x:f>
        <x:v>0.0002835287369864788</x:v>
      </x:c>
      <x:c r="C18" s="33" t="str">
        <x:v>m²</x:v>
      </x:c>
      <x:c r="D18" s="33" t="str">
        <x:v>=PI()*B16^2/4</x:v>
      </x:c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 t="str">
        <x:v>Velocity</x:v>
      </x:c>
      <x:c r="B19" s="36" t="n">
        <x:f>B17/B18</x:f>
        <x:v>5.8782989138280834</x:v>
      </x:c>
      <x:c r="C19" s="33" t="str">
        <x:v>m/s</x:v>
      </x:c>
      <x:c r="D19" s="33" t="str">
        <x:v>=B17/B18</x:v>
      </x:c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 t="str">
        <x:v>Reynolds</x:v>
      </x:c>
      <x:c r="B20" s="36" t="n">
        <x:f>B8*B19*B16/B9</x:f>
        <x:v>7445.845290848905</x:v>
      </x:c>
      <x:c r="C20" s="33" t="str">
        <x:v>-</x:v>
      </x:c>
      <x:c r="D20" s="33" t="str">
        <x:v>=B8*B19*B16/B9</x:v>
      </x:c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 t="str">
        <x:v>Relative roughness</x:v>
      </x:c>
      <x:c r="B21" s="36" t="n">
        <x:f>(B10/1000)/B16</x:f>
        <x:v>0.00007894736842105263</x:v>
      </x:c>
      <x:c r="C21" s="33" t="str">
        <x:v>-</x:v>
      </x:c>
      <x:c r="D21" s="33" t="str">
        <x:v>=(B10/1000)/B16</x:v>
      </x:c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 t="str">
        <x:v>Darcy f</x:v>
      </x:c>
      <x:c r="B22" s="36" t="n">
        <x:f>IF(B20&lt;2000,64/B20,0.25/(LOG10(B21/3.7+5.74/(B20^0.9))^2))</x:f>
        <x:v>0.033768496342579855</x:v>
      </x:c>
      <x:c r="C22" s="33" t="str">
        <x:v>-</x:v>
      </x:c>
      <x:c r="D22" s="33" t="str">
        <x:v>=IF(B20&lt;2000,64/B20,0.25/(LOG10(B21/3.7+5.74/(B20^0.9))^2))</x:v>
      </x:c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 t="str">
        <x:v>Major ΔP</x:v>
      </x:c>
      <x:c r="B23" s="36" t="n">
        <x:f>B22*(B6/B16)*(B8*B19^2/2)</x:f>
        <x:v>736.9579367657801</x:v>
      </x:c>
      <x:c r="C23" s="33" t="str">
        <x:v>Pa</x:v>
      </x:c>
      <x:c r="D23" s="33" t="str">
        <x:v>=B22*(B6/B16)*(B8*B19^2/2)</x:v>
      </x:c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 t="str">
        <x:v>Minor ΔP</x:v>
      </x:c>
      <x:c r="B24" s="36" t="n">
        <x:f>B11*(B8*B19^2/2)</x:f>
        <x:v>41.46527774437491</x:v>
      </x:c>
      <x:c r="C24" s="33" t="str">
        <x:v>Pa</x:v>
      </x:c>
      <x:c r="D24" s="33" t="str">
        <x:v>=B11*(B8*B19^2/2)</x:v>
      </x:c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 t="str">
        <x:v>Pipe ΔP</x:v>
      </x:c>
      <x:c r="B25" s="36" t="n">
        <x:f>(B23+B24)/1000</x:f>
        <x:v>0.7784232145101551</x:v>
      </x:c>
      <x:c r="C25" s="33" t="str">
        <x:v>kPa</x:v>
      </x:c>
      <x:c r="D25" s="33" t="str">
        <x:v>=(B23+B24)/1000</x:v>
      </x:c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 t="str">
        <x:v>Total ΔP before margin</x:v>
      </x:c>
      <x:c r="B26" s="36" t="n">
        <x:f>B25+B12</x:f>
        <x:v>5.7784232145101555</x:v>
      </x:c>
      <x:c r="C26" s="33" t="str">
        <x:v>kPa</x:v>
      </x:c>
      <x:c r="D26" s="33" t="str">
        <x:v>=B25+B12</x:v>
      </x:c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 t="str">
        <x:v>Total ΔP with margin</x:v>
      </x:c>
      <x:c r="B27" s="36" t="n">
        <x:f>B26*(1+B13/100)</x:f>
        <x:v>6.934107857412187</x:v>
      </x:c>
      <x:c r="C27" s="33" t="str">
        <x:v>kPa</x:v>
      </x:c>
      <x:c r="D27" s="33" t="str">
        <x:v>=B26*(1+B13/100)</x:v>
      </x:c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Sheet-05 Orifice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debit orifice/nozzle untuk air dan udara, termasuk choked-flow check untuk udara.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orifice</x:v>
      </x:c>
      <x:c r="B5" s="35" t="n">
        <x:v>1</x:v>
      </x:c>
      <x:c r="C5" s="33" t="str">
        <x:v>mm</x:v>
      </x:c>
      <x:c r="D5" s="33" t="str">
        <x:v>Diameter lubang/nozzle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Cd</x:v>
      </x:c>
      <x:c r="B6" s="35" t="n">
        <x:v>0.62</x:v>
      </x:c>
      <x:c r="C6" s="33" t="str">
        <x:v>-</x:v>
      </x:c>
      <x:c r="D6" s="33" t="str">
        <x:v>Sharp edge orifice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ΔP</x:v>
      </x:c>
      <x:c r="B7" s="35" t="n">
        <x:v>5</x:v>
      </x:c>
      <x:c r="C7" s="33" t="str">
        <x:v>kPa</x:v>
      </x:c>
      <x:c r="D7" s="33" t="str">
        <x:v>Tekanan diferensial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Density</x:v>
      </x:c>
      <x:c r="B8" s="35" t="n">
        <x:v>1.2</x:v>
      </x:c>
      <x:c r="C8" s="33" t="str">
        <x:v>kg/m³</x:v>
      </x:c>
      <x:c r="D8" s="33" t="str">
        <x:v>Air: 1000, udara: 1.2</x:v>
      </x:c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P1 upstream abs</x:v>
      </x:c>
      <x:c r="B9" s="35" t="n">
        <x:v>106.3</x:v>
      </x:c>
      <x:c r="C9" s="33" t="str">
        <x:v>kPa(a)</x:v>
      </x:c>
      <x:c r="D9" s="33" t="str">
        <x:v>Untuk gas</x:v>
      </x:c>
      <x:c r="E9" s="33"/>
      <x:c r="F9" s="33"/>
      <x:c r="G9" s="33"/>
      <x:c r="H9" s="33"/>
      <x:c r="I9" s="33"/>
      <x:c r="J9" s="33"/>
      <x:c r="K9" s="33"/>
      <x:c r="L9" s="33"/>
    </x:row>
    <x:row r="10">
      <x:c r="A10" s="33" t="str">
        <x:v>P2 downstream abs</x:v>
      </x:c>
      <x:c r="B10" s="35" t="n">
        <x:v>101.3</x:v>
      </x:c>
      <x:c r="C10" s="33" t="str">
        <x:v>kPa(a)</x:v>
      </x:c>
      <x:c r="D10" s="33" t="str">
        <x:v>Untuk gas</x:v>
      </x:c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4" t="str">
        <x:v>Calculation / Output</x:v>
      </x:c>
      <x:c r="B12" s="34" t="str">
        <x:v>Value</x:v>
      </x:c>
      <x:c r="C12" s="34" t="str">
        <x:v>Unit</x:v>
      </x:c>
      <x:c r="D12" s="34" t="str">
        <x:v>Formula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Diameter meter</x:v>
      </x:c>
      <x:c r="B13" s="36" t="n">
        <x:f>B5/1000</x:f>
        <x:v>0.001</x:v>
      </x:c>
      <x:c r="C13" s="33" t="str">
        <x:v>m</x:v>
      </x:c>
      <x:c r="D13" s="33" t="str">
        <x:v>=B5/1000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Area</x:v>
      </x:c>
      <x:c r="B14" s="36" t="n">
        <x:f>PI()*B13^2/4</x:f>
        <x:v>7.853981633974482e-7</x:v>
      </x:c>
      <x:c r="C14" s="33" t="str">
        <x:v>m²</x:v>
      </x:c>
      <x:c r="D14" s="33" t="str">
        <x:v>=PI()*B13^2/4</x:v>
      </x:c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 t="str">
        <x:v>Q</x:v>
      </x:c>
      <x:c r="B15" s="36" t="n">
        <x:f>B6*B14*SQRT(2*(B7*1000)/B8)</x:f>
        <x:v>0.00004445196337397743</x:v>
      </x:c>
      <x:c r="C15" s="33" t="str">
        <x:v>m³/s</x:v>
      </x:c>
      <x:c r="D15" s="33" t="str">
        <x:v>=B6*B14*SQRT(2*(B7*1000)/B8)</x:v>
      </x:c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Q</x:v>
      </x:c>
      <x:c r="B16" s="36" t="n">
        <x:f>B15*1000*60</x:f>
        <x:v>2.667117802438646</x:v>
      </x:c>
      <x:c r="C16" s="33" t="str">
        <x:v>L/min</x:v>
      </x:c>
      <x:c r="D16" s="33" t="str">
        <x:v>=B15*1000*60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Jet velocity</x:v>
      </x:c>
      <x:c r="B17" s="36" t="n">
        <x:f>B15/B14</x:f>
        <x:v>56.59799760886716</x:v>
      </x:c>
      <x:c r="C17" s="33" t="str">
        <x:v>m/s</x:v>
      </x:c>
      <x:c r="D17" s="33" t="str">
        <x:v>=B15/B14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 t="str">
        <x:v>Pressure ratio P2/P1</x:v>
      </x:c>
      <x:c r="B18" s="36" t="n">
        <x:f>B10/B9</x:f>
        <x:v>0.9529633113828786</x:v>
      </x:c>
      <x:c r="C18" s="33" t="str">
        <x:v>-</x:v>
      </x:c>
      <x:c r="D18" s="33" t="str">
        <x:v>=B10/B9</x:v>
      </x:c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 t="str">
        <x:v>Choked check (air only)</x:v>
      </x:c>
      <x:c r="B19" s="37" t="str">
        <x:f>IF(B18&lt;0.528,"Potential Choked","Not Choked")</x:f>
        <x:v>Not Choked</x:v>
      </x:c>
      <x:c r="C19" s="33" t="str">
        <x:v>-</x:v>
      </x:c>
      <x:c r="D19" s="33" t="str">
        <x:v>=IF(B18&lt;0.528,"Potential Choked","Not Choked")</x:v>
      </x:c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Sheet-06 Diffuser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debit udara per hole, debit total diffuser, dan tekanan minimum blower.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Diameter hole</x:v>
      </x:c>
      <x:c r="B5" s="35" t="n">
        <x:v>1</x:v>
      </x:c>
      <x:c r="C5" s="33" t="str">
        <x:v>mm</x:v>
      </x:c>
      <x:c r="D5" s="33" t="str">
        <x:v>Diameter lubang diffuser</x:v>
      </x:c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Jumlah hole</x:v>
      </x:c>
      <x:c r="B6" s="35" t="n">
        <x:v>30</x:v>
      </x:c>
      <x:c r="C6" s="33" t="str">
        <x:v>pcs</x:v>
      </x:c>
      <x:c r="D6" s="33" t="str">
        <x:v>Jumlah lubang aktif</x:v>
      </x:c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Kedalaman air</x:v>
      </x:c>
      <x:c r="B7" s="35" t="n">
        <x:v>0.5</x:v>
      </x:c>
      <x:c r="C7" s="33" t="str">
        <x:v>m</x:v>
      </x:c>
      <x:c r="D7" s="33" t="str">
        <x:v>Submergence</x:v>
      </x:c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Cd</x:v>
      </x:c>
      <x:c r="B8" s="35" t="n">
        <x:v>0.65</x:v>
      </x:c>
      <x:c r="C8" s="33" t="str">
        <x:v>-</x:v>
      </x:c>
      <x:c r="D8" s="33" t="str">
        <x:v>Diffuser hole</x:v>
      </x:c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Density air</x:v>
      </x:c>
      <x:c r="B9" s="35" t="n">
        <x:v>1000</x:v>
      </x:c>
      <x:c r="C9" s="33" t="str">
        <x:v>kg/m³</x:v>
      </x:c>
      <x:c r="D9" s="33" t="str">
        <x:v>Untuk hidrostatik</x:v>
      </x:c>
      <x:c r="E9" s="33"/>
      <x:c r="F9" s="33"/>
      <x:c r="G9" s="33"/>
      <x:c r="H9" s="33"/>
      <x:c r="I9" s="33"/>
      <x:c r="J9" s="33"/>
      <x:c r="K9" s="33"/>
      <x:c r="L9" s="33"/>
    </x:row>
    <x:row r="10">
      <x:c r="A10" s="33" t="str">
        <x:v>Density udara</x:v>
      </x:c>
      <x:c r="B10" s="35" t="n">
        <x:v>1.2</x:v>
      </x:c>
      <x:c r="C10" s="33" t="str">
        <x:v>kg/m³</x:v>
      </x:c>
      <x:c r="D10" s="33" t="str">
        <x:v>Untuk debit udara</x:v>
      </x:c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ΔP across hole</x:v>
      </x:c>
      <x:c r="B11" s="35" t="n">
        <x:v>4.9</x:v>
      </x:c>
      <x:c r="C11" s="33" t="str">
        <x:v>kPa</x:v>
      </x:c>
      <x:c r="D11" s="33" t="str">
        <x:v>Driving pressure across hole</x:v>
      </x:c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Additional diffuser ΔP</x:v>
      </x:c>
      <x:c r="B12" s="35" t="n">
        <x:v>2</x:v>
      </x:c>
      <x:c r="C12" s="33" t="str">
        <x:v>kPa</x:v>
      </x:c>
      <x:c r="D12" s="33" t="str">
        <x:v>Membrane/stone/etc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Piping ΔP</x:v>
      </x:c>
      <x:c r="B13" s="35" t="n">
        <x:v>1</x:v>
      </x:c>
      <x:c r="C13" s="33" t="str">
        <x:v>kPa</x:v>
      </x:c>
      <x:c r="D13" s="33" t="str">
        <x:v>Manifold + selang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Margin</x:v>
      </x:c>
      <x:c r="B14" s="35" t="n">
        <x:v>20</x:v>
      </x:c>
      <x:c r="C14" s="33" t="str">
        <x:v>%</x:v>
      </x:c>
      <x:c r="D14" s="33" t="str">
        <x:v>Margin blower</x:v>
      </x:c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4" t="str">
        <x:v>Calculation / Output</x:v>
      </x:c>
      <x:c r="B16" s="34" t="str">
        <x:v>Value</x:v>
      </x:c>
      <x:c r="C16" s="34" t="str">
        <x:v>Unit</x:v>
      </x:c>
      <x:c r="D16" s="34" t="str">
        <x:v>Formula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 t="str">
        <x:v>Hydrostatic pressure</x:v>
      </x:c>
      <x:c r="B17" s="36" t="n">
        <x:f>B9*9.81*B7/1000</x:f>
        <x:v>4.905</x:v>
      </x:c>
      <x:c r="C17" s="33" t="str">
        <x:v>kPa</x:v>
      </x:c>
      <x:c r="D17" s="33" t="str">
        <x:v>=B9*9.81*B7/1000</x:v>
      </x:c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 t="str">
        <x:v>Hole diameter meter</x:v>
      </x:c>
      <x:c r="B18" s="36" t="n">
        <x:f>B5/1000</x:f>
        <x:v>0.001</x:v>
      </x:c>
      <x:c r="C18" s="33" t="str">
        <x:v>m</x:v>
      </x:c>
      <x:c r="D18" s="33" t="str">
        <x:v>=B5/1000</x:v>
      </x:c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 t="str">
        <x:v>Area per hole</x:v>
      </x:c>
      <x:c r="B19" s="36" t="n">
        <x:f>PI()*B18^2/4</x:f>
        <x:v>7.853981633974482e-7</x:v>
      </x:c>
      <x:c r="C19" s="33" t="str">
        <x:v>m²</x:v>
      </x:c>
      <x:c r="D19" s="33" t="str">
        <x:v>=PI()*B18^2/4</x:v>
      </x:c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 t="str">
        <x:v>Q per hole</x:v>
      </x:c>
      <x:c r="B20" s="36" t="n">
        <x:f>B8*B19*SQRT(2*(B11*1000)/B10)</x:f>
        <x:v>0.00004613448243919984</x:v>
      </x:c>
      <x:c r="C20" s="33" t="str">
        <x:v>m³/s</x:v>
      </x:c>
      <x:c r="D20" s="33" t="str">
        <x:v>=B8*B19*SQRT(2*(B11*1000)/B10)</x:v>
      </x:c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 t="str">
        <x:v>Q per hole</x:v>
      </x:c>
      <x:c r="B21" s="36" t="n">
        <x:f>B20*1000*60</x:f>
        <x:v>2.7680689463519905</x:v>
      </x:c>
      <x:c r="C21" s="33" t="str">
        <x:v>L/min</x:v>
      </x:c>
      <x:c r="D21" s="33" t="str">
        <x:v>=B20*1000*60</x:v>
      </x:c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 t="str">
        <x:v>Q total</x:v>
      </x:c>
      <x:c r="B22" s="36" t="n">
        <x:f>B21*B6</x:f>
        <x:v>83.04206839055972</x:v>
      </x:c>
      <x:c r="C22" s="33" t="str">
        <x:v>L/min</x:v>
      </x:c>
      <x:c r="D22" s="33" t="str">
        <x:v>=B21*B6</x:v>
      </x:c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 t="str">
        <x:v>Minimum blower pressure</x:v>
      </x:c>
      <x:c r="B23" s="36" t="n">
        <x:f>(B17+B12+B13)*(1+B14/100)</x:f>
        <x:v>9.486</x:v>
      </x:c>
      <x:c r="C23" s="33" t="str">
        <x:v>kPa</x:v>
      </x:c>
      <x:c r="D23" s="33" t="str">
        <x:v>=(B17+B12+B13)*(1+B14/100)</x:v>
      </x:c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Sheet-07 Pipe Sizing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Menentukan diameter pipa minimum berdasarkan target debit dan target kecepatan.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4" t="str">
        <x:v>PVC ID Table</x:v>
      </x:c>
      <x:c r="G4" s="34" t="str">
        <x:v>Nominal Note</x:v>
      </x:c>
      <x:c r="H4" s="33"/>
      <x:c r="I4" s="33"/>
      <x:c r="J4" s="33"/>
      <x:c r="K4" s="33"/>
      <x:c r="L4" s="33"/>
    </x:row>
    <x:row r="5">
      <x:c r="A5" s="33" t="str">
        <x:v>Target debit</x:v>
      </x:c>
      <x:c r="B5" s="35" t="n">
        <x:v>100</x:v>
      </x:c>
      <x:c r="C5" s="33" t="str">
        <x:v>L/min</x:v>
      </x:c>
      <x:c r="D5" s="33" t="str">
        <x:v>Debit desain</x:v>
      </x:c>
      <x:c r="E5" s="33"/>
      <x:c r="F5" s="46" t="n">
        <x:v>4</x:v>
      </x:c>
      <x:c r="G5" s="33" t="str">
        <x:v>Available ID</x:v>
      </x:c>
      <x:c r="H5" s="33"/>
      <x:c r="I5" s="33"/>
      <x:c r="J5" s="33"/>
      <x:c r="K5" s="33"/>
      <x:c r="L5" s="33"/>
    </x:row>
    <x:row r="6">
      <x:c r="A6" s="33" t="str">
        <x:v>Target velocity</x:v>
      </x:c>
      <x:c r="B6" s="35" t="n">
        <x:v>1</x:v>
      </x:c>
      <x:c r="C6" s="33" t="str">
        <x:v>m/s</x:v>
      </x:c>
      <x:c r="D6" s="33" t="str">
        <x:v>Air 0.5–2 m/s; udara 5–15 m/s</x:v>
      </x:c>
      <x:c r="E6" s="33"/>
      <x:c r="F6" s="46" t="n">
        <x:v>8</x:v>
      </x:c>
      <x:c r="G6" s="33" t="str">
        <x:v>Available ID</x:v>
      </x:c>
      <x:c r="H6" s="33"/>
      <x:c r="I6" s="33"/>
      <x:c r="J6" s="33"/>
      <x:c r="K6" s="33"/>
      <x:c r="L6" s="33"/>
    </x:row>
    <x:row r="7">
      <x:c r="A7" s="33"/>
      <x:c r="B7" s="33"/>
      <x:c r="C7" s="33"/>
      <x:c r="D7" s="33"/>
      <x:c r="E7" s="33"/>
      <x:c r="F7" s="46" t="n">
        <x:v>10</x:v>
      </x:c>
      <x:c r="G7" s="33" t="str">
        <x:v>Available ID</x:v>
      </x:c>
      <x:c r="H7" s="33"/>
      <x:c r="I7" s="33"/>
      <x:c r="J7" s="33"/>
      <x:c r="K7" s="33"/>
      <x:c r="L7" s="33"/>
    </x:row>
    <x:row r="8">
      <x:c r="A8" s="34" t="str">
        <x:v>Calculation / Output</x:v>
      </x:c>
      <x:c r="B8" s="34" t="str">
        <x:v>Value</x:v>
      </x:c>
      <x:c r="C8" s="34" t="str">
        <x:v>Unit</x:v>
      </x:c>
      <x:c r="D8" s="34" t="str">
        <x:v>Formula</x:v>
      </x:c>
      <x:c r="E8" s="33"/>
      <x:c r="F8" s="46" t="n">
        <x:v>14</x:v>
      </x:c>
      <x:c r="G8" s="33" t="str">
        <x:v>Available ID</x:v>
      </x:c>
      <x:c r="H8" s="33"/>
      <x:c r="I8" s="33"/>
      <x:c r="J8" s="33"/>
      <x:c r="K8" s="33"/>
      <x:c r="L8" s="33"/>
    </x:row>
    <x:row r="9">
      <x:c r="A9" s="33" t="str">
        <x:v>Q_m3s</x:v>
      </x:c>
      <x:c r="B9" s="36" t="n">
        <x:f>B5/1000/60</x:f>
        <x:v>0.0016666666666666668</x:v>
      </x:c>
      <x:c r="C9" s="33" t="str">
        <x:v>m³/s</x:v>
      </x:c>
      <x:c r="D9" s="33" t="str">
        <x:v>=B5/1000/60</x:v>
      </x:c>
      <x:c r="E9" s="33"/>
      <x:c r="F9" s="46" t="n">
        <x:v>19</x:v>
      </x:c>
      <x:c r="G9" s="33" t="str">
        <x:v>Available ID</x:v>
      </x:c>
      <x:c r="H9" s="33"/>
      <x:c r="I9" s="33"/>
      <x:c r="J9" s="33"/>
      <x:c r="K9" s="33"/>
      <x:c r="L9" s="33"/>
    </x:row>
    <x:row r="10">
      <x:c r="A10" s="33" t="str">
        <x:v>Diameter minimum</x:v>
      </x:c>
      <x:c r="B10" s="36" t="n">
        <x:f>SQRT(4*B9/(PI()*B6))</x:f>
        <x:v>0.046065886596178066</x:v>
      </x:c>
      <x:c r="C10" s="33" t="str">
        <x:v>m</x:v>
      </x:c>
      <x:c r="D10" s="33" t="str">
        <x:v>=SQRT(4*B9/(PI()*B6))</x:v>
      </x:c>
      <x:c r="E10" s="33"/>
      <x:c r="F10" s="46" t="n">
        <x:v>22.4</x:v>
      </x:c>
      <x:c r="G10" s="33" t="str">
        <x:v>Available ID</x:v>
      </x:c>
      <x:c r="H10" s="33"/>
      <x:c r="I10" s="33"/>
      <x:c r="J10" s="33"/>
      <x:c r="K10" s="33"/>
      <x:c r="L10" s="33"/>
    </x:row>
    <x:row r="11">
      <x:c r="A11" s="33" t="str">
        <x:v>Diameter minimum</x:v>
      </x:c>
      <x:c r="B11" s="36" t="n">
        <x:f>B10*1000</x:f>
        <x:v>46.06588659617807</x:v>
      </x:c>
      <x:c r="C11" s="33" t="str">
        <x:v>mm</x:v>
      </x:c>
      <x:c r="D11" s="33" t="str">
        <x:v>=B10*1000</x:v>
      </x:c>
      <x:c r="E11" s="33"/>
      <x:c r="F11" s="46" t="n">
        <x:v>28</x:v>
      </x:c>
      <x:c r="G11" s="33" t="str">
        <x:v>Available ID</x:v>
      </x:c>
      <x:c r="H11" s="33"/>
      <x:c r="I11" s="33"/>
      <x:c r="J11" s="33"/>
      <x:c r="K11" s="33"/>
      <x:c r="L11" s="33"/>
    </x:row>
    <x:row r="12">
      <x:c r="A12" s="33" t="str">
        <x:v>PVC ID selected</x:v>
      </x:c>
      <x:c r="B12" s="36" t="n">
        <x:f>MINIFS(F5:F17,F5:F17,"&gt;="&amp;B11)</x:f>
        <x:v>55.4</x:v>
      </x:c>
      <x:c r="C12" s="33" t="str">
        <x:v>mm</x:v>
      </x:c>
      <x:c r="D12" s="33" t="str">
        <x:v>=MINIFS(F5:F17,F5:F17,"&gt;="&amp;B11)</x:v>
      </x:c>
      <x:c r="E12" s="33"/>
      <x:c r="F12" s="46" t="n">
        <x:v>37.4</x:v>
      </x:c>
      <x:c r="G12" s="33" t="str">
        <x:v>Available ID</x:v>
      </x:c>
      <x:c r="H12" s="33"/>
      <x:c r="I12" s="33"/>
      <x:c r="J12" s="33"/>
      <x:c r="K12" s="33"/>
      <x:c r="L12" s="33"/>
    </x:row>
    <x:row r="13">
      <x:c r="A13" s="33" t="str">
        <x:v>Velocity actual</x:v>
      </x:c>
      <x:c r="B13" s="36" t="n">
        <x:f>B9/(PI()*(B12/1000)^2/4)</x:f>
        <x:v>0.6914158622854261</x:v>
      </x:c>
      <x:c r="C13" s="33" t="str">
        <x:v>m/s</x:v>
      </x:c>
      <x:c r="D13" s="33" t="str">
        <x:v>=B9/(PI()*(B12/1000)^2/4)</x:v>
      </x:c>
      <x:c r="E13" s="33"/>
      <x:c r="F13" s="46" t="n">
        <x:v>43.4</x:v>
      </x:c>
      <x:c r="G13" s="33" t="str">
        <x:v>Available ID</x:v>
      </x:c>
      <x:c r="H13" s="33"/>
      <x:c r="I13" s="33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46" t="n">
        <x:v>55.4</x:v>
      </x:c>
      <x:c r="G14" s="33" t="str">
        <x:v>Available ID</x:v>
      </x:c>
      <x:c r="H14" s="33"/>
      <x:c r="I14" s="33"/>
      <x:c r="J14" s="33"/>
      <x:c r="K14" s="33"/>
      <x:c r="L14" s="33"/>
    </x:row>
    <x:row r="15">
      <x:c r="A15" s="33"/>
      <x:c r="B15" s="33"/>
      <x:c r="C15" s="33"/>
      <x:c r="D15" s="33"/>
      <x:c r="E15" s="33"/>
      <x:c r="F15" s="46" t="n">
        <x:v>70.8</x:v>
      </x:c>
      <x:c r="G15" s="33" t="str">
        <x:v>Available ID</x:v>
      </x:c>
      <x:c r="H15" s="33"/>
      <x:c r="I15" s="33"/>
      <x:c r="J15" s="33"/>
      <x:c r="K15" s="33"/>
      <x:c r="L15" s="33"/>
    </x:row>
    <x:row r="16">
      <x:c r="A16" s="33"/>
      <x:c r="B16" s="33"/>
      <x:c r="C16" s="33"/>
      <x:c r="D16" s="33"/>
      <x:c r="E16" s="33"/>
      <x:c r="F16" s="46" t="n">
        <x:v>82.8</x:v>
      </x:c>
      <x:c r="G16" s="33" t="str">
        <x:v>Available ID</x:v>
      </x:c>
      <x:c r="H16" s="33"/>
      <x:c r="I16" s="33"/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46" t="n">
        <x:v>105.8</x:v>
      </x:c>
      <x:c r="G17" s="33" t="str">
        <x:v>Available ID</x:v>
      </x:c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Sheet-08 Reynolds Calculator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Menghitung Reynolds Number, klasifikasi aliran, dan faktor gesekan awal.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Input Parameter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4" t="str">
        <x:v>Reynolds Range</x:v>
      </x:c>
      <x:c r="G4" s="34" t="str">
        <x:v>Classification</x:v>
      </x:c>
      <x:c r="H4" s="34" t="str">
        <x:v>Recommended Model</x:v>
      </x:c>
      <x:c r="I4" s="33"/>
      <x:c r="J4" s="33"/>
      <x:c r="K4" s="33"/>
      <x:c r="L4" s="33"/>
    </x:row>
    <x:row r="5">
      <x:c r="A5" s="33" t="str">
        <x:v>Density</x:v>
      </x:c>
      <x:c r="B5" s="35" t="n">
        <x:v>1000</x:v>
      </x:c>
      <x:c r="C5" s="33" t="str">
        <x:v>kg/m³</x:v>
      </x:c>
      <x:c r="D5" s="33" t="str">
        <x:v>Air: 1000, udara: 1.2</x:v>
      </x:c>
      <x:c r="E5" s="33"/>
      <x:c r="F5" s="33" t="str">
        <x:v>Re &lt; 2000</x:v>
      </x:c>
      <x:c r="G5" s="33" t="str">
        <x:v>Laminar</x:v>
      </x:c>
      <x:c r="H5" s="33" t="str">
        <x:v>Hagen-Poiseuille / f=64/Re</x:v>
      </x:c>
      <x:c r="I5" s="33"/>
      <x:c r="J5" s="33"/>
      <x:c r="K5" s="33"/>
      <x:c r="L5" s="33"/>
    </x:row>
    <x:row r="6">
      <x:c r="A6" s="33" t="str">
        <x:v>Viscosity</x:v>
      </x:c>
      <x:c r="B6" s="35" t="n">
        <x:v>0.001</x:v>
      </x:c>
      <x:c r="C6" s="33" t="str">
        <x:v>Pa·s</x:v>
      </x:c>
      <x:c r="D6" s="33" t="str">
        <x:v>Air: 0.001, udara: 1.8E-5</x:v>
      </x:c>
      <x:c r="E6" s="33"/>
      <x:c r="F6" s="33" t="str">
        <x:v>2000 &lt; Re &lt; 4000</x:v>
      </x:c>
      <x:c r="G6" s="33" t="str">
        <x:v>Transitional</x:v>
      </x:c>
      <x:c r="H6" s="33" t="str">
        <x:v>Avoid for design if possible</x:v>
      </x:c>
      <x:c r="I6" s="33"/>
      <x:c r="J6" s="33"/>
      <x:c r="K6" s="33"/>
      <x:c r="L6" s="33"/>
    </x:row>
    <x:row r="7">
      <x:c r="A7" s="33" t="str">
        <x:v>Diameter</x:v>
      </x:c>
      <x:c r="B7" s="35" t="n">
        <x:v>25</x:v>
      </x:c>
      <x:c r="C7" s="33" t="str">
        <x:v>mm</x:v>
      </x:c>
      <x:c r="D7" s="33" t="str">
        <x:v>Diameter dalam</x:v>
      </x:c>
      <x:c r="E7" s="33"/>
      <x:c r="F7" s="33" t="str">
        <x:v>Re &gt; 4000</x:v>
      </x:c>
      <x:c r="G7" s="33" t="str">
        <x:v>Turbulent</x:v>
      </x:c>
      <x:c r="H7" s="33" t="str">
        <x:v>Darcy-Weisbach + Moody/Swamee-Jain</x:v>
      </x:c>
      <x:c r="I7" s="33"/>
      <x:c r="J7" s="33"/>
      <x:c r="K7" s="33"/>
      <x:c r="L7" s="33"/>
    </x:row>
    <x:row r="8">
      <x:c r="A8" s="33" t="str">
        <x:v>Velocity</x:v>
      </x:c>
      <x:c r="B8" s="35" t="n">
        <x:v>1</x:v>
      </x:c>
      <x:c r="C8" s="33" t="str">
        <x:v>m/s</x:v>
      </x:c>
      <x:c r="D8" s="33" t="str">
        <x:v>Kecepatan</x:v>
      </x:c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Roughness</x:v>
      </x:c>
      <x:c r="B9" s="35" t="n">
        <x:v>0.0015</x:v>
      </x:c>
      <x:c r="C9" s="33" t="str">
        <x:v>mm</x:v>
      </x:c>
      <x:c r="D9" s="33" t="str">
        <x:v>PVC</x:v>
      </x:c>
      <x:c r="E9" s="33"/>
      <x:c r="F9" s="33"/>
      <x:c r="G9" s="33"/>
      <x:c r="H9" s="33"/>
      <x:c r="I9" s="33"/>
      <x:c r="J9" s="33"/>
      <x:c r="K9" s="33"/>
      <x:c r="L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4" t="str">
        <x:v>Calculation / Output</x:v>
      </x:c>
      <x:c r="B11" s="34" t="str">
        <x:v>Value</x:v>
      </x:c>
      <x:c r="C11" s="34" t="str">
        <x:v>Unit</x:v>
      </x:c>
      <x:c r="D11" s="34" t="str">
        <x:v>Formula</x:v>
      </x:c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 t="str">
        <x:v>D_m</x:v>
      </x:c>
      <x:c r="B12" s="36" t="n">
        <x:f>B7/1000</x:f>
        <x:v>0.025</x:v>
      </x:c>
      <x:c r="C12" s="33" t="str">
        <x:v>m</x:v>
      </x:c>
      <x:c r="D12" s="33" t="str">
        <x:v>=B7/1000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 t="str">
        <x:v>Reynolds</x:v>
      </x:c>
      <x:c r="B13" s="36" t="n">
        <x:f>B5*B8*B12/B6</x:f>
        <x:v>25000</x:v>
      </x:c>
      <x:c r="C13" s="33" t="str">
        <x:v>-</x:v>
      </x:c>
      <x:c r="D13" s="33" t="str">
        <x:v>=B5*B8*B12/B6</x:v>
      </x:c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 t="str">
        <x:v>Regime</x:v>
      </x:c>
      <x:c r="B14" s="36" t="str">
        <x:f>IF(B13&lt;2000,"Laminar",IF(B13&lt;4000,"Transitional","Turbulent"))</x:f>
        <x:v>Turbulent</x:v>
      </x:c>
      <x:c r="C14" s="33" t="str">
        <x:v>-</x:v>
      </x:c>
      <x:c r="D14" s="33" t="str">
        <x:v>=IF(B13&lt;2000,"Laminar",IF(B13&lt;4000,"Transitional","Turbulent"))</x:v>
      </x:c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 t="str">
        <x:v>Relative roughness</x:v>
      </x:c>
      <x:c r="B15" s="36" t="n">
        <x:f>(B9/1000)/B12</x:f>
        <x:v>0.00006</x:v>
      </x:c>
      <x:c r="C15" s="33" t="str">
        <x:v>-</x:v>
      </x:c>
      <x:c r="D15" s="33" t="str">
        <x:v>=(B9/1000)/B12</x:v>
      </x:c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 t="str">
        <x:v>Darcy f</x:v>
      </x:c>
      <x:c r="B16" s="36" t="n">
        <x:f>IF(B13&lt;2000,64/B13,0.25/(LOG10(B15/3.7+5.74/(B13^0.9))^2))</x:f>
        <x:v>0.024594615265342325</x:v>
      </x:c>
      <x:c r="C16" s="33" t="str">
        <x:v>-</x:v>
      </x:c>
      <x:c r="D16" s="33" t="str">
        <x:v>=IF(B13&lt;2000,64/B13,0.25/(LOG10(B15/3.7+5.74/(B13^0.9))^2))</x:v>
      </x:c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Sheet-09 Unit Converter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Konversi satuan praktis untuk debit, tekanan, panjang, dan temperatur.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Flow Input</x:v>
      </x:c>
      <x:c r="B4" s="34" t="str">
        <x:v>Value</x:v>
      </x:c>
      <x:c r="C4" s="34" t="str">
        <x:v>Unit</x:v>
      </x:c>
      <x:c r="D4" s="34" t="str">
        <x:v>Notes</x:v>
      </x:c>
      <x:c r="E4" s="33"/>
      <x:c r="F4" s="34" t="str">
        <x:v>Pressure Input</x:v>
      </x:c>
      <x:c r="G4" s="34" t="str">
        <x:v>Value</x:v>
      </x:c>
      <x:c r="H4" s="34" t="str">
        <x:v>Unit</x:v>
      </x:c>
      <x:c r="I4" s="34" t="str">
        <x:v>Notes</x:v>
      </x:c>
      <x:c r="J4" s="33"/>
      <x:c r="K4" s="33"/>
      <x:c r="L4" s="33"/>
    </x:row>
    <x:row r="5">
      <x:c r="A5" s="33" t="str">
        <x:v>Flow</x:v>
      </x:c>
      <x:c r="B5" s="35" t="n">
        <x:v>100</x:v>
      </x:c>
      <x:c r="C5" s="33" t="str">
        <x:v>L/min</x:v>
      </x:c>
      <x:c r="D5" s="33" t="str">
        <x:v>Input debit</x:v>
      </x:c>
      <x:c r="E5" s="33"/>
      <x:c r="F5" s="33" t="str">
        <x:v>Pressure</x:v>
      </x:c>
      <x:c r="G5" s="35" t="n">
        <x:v>10</x:v>
      </x:c>
      <x:c r="H5" s="33" t="str">
        <x:v>kPa</x:v>
      </x:c>
      <x:c r="I5" s="33" t="str">
        <x:v>Input pressure</x:v>
      </x:c>
      <x:c r="J5" s="33"/>
      <x:c r="K5" s="33"/>
      <x:c r="L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</x:row>
    <x:row r="7">
      <x:c r="A7" s="34" t="str">
        <x:v>Flow Output</x:v>
      </x:c>
      <x:c r="B7" s="34" t="str">
        <x:v>Value</x:v>
      </x:c>
      <x:c r="C7" s="34" t="str">
        <x:v>Unit</x:v>
      </x:c>
      <x:c r="D7" s="34" t="str">
        <x:v>Formula</x:v>
      </x:c>
      <x:c r="E7" s="33"/>
      <x:c r="F7" s="34" t="str">
        <x:v>Pressure Output</x:v>
      </x:c>
      <x:c r="G7" s="34" t="str">
        <x:v>Value</x:v>
      </x:c>
      <x:c r="H7" s="34" t="str">
        <x:v>Unit</x:v>
      </x:c>
      <x:c r="I7" s="34" t="str">
        <x:v>Formula</x:v>
      </x:c>
      <x:c r="J7" s="33"/>
      <x:c r="K7" s="33"/>
      <x:c r="L7" s="33"/>
    </x:row>
    <x:row r="8">
      <x:c r="A8" s="33" t="str">
        <x:v>m³/s</x:v>
      </x:c>
      <x:c r="B8" s="37" t="n">
        <x:f>B5/1000/60</x:f>
        <x:v>0.0016666666666666668</x:v>
      </x:c>
      <x:c r="C8" s="33" t="str">
        <x:v>m³/s</x:v>
      </x:c>
      <x:c r="D8" s="33" t="str">
        <x:v>=B5/1000/60</x:v>
      </x:c>
      <x:c r="E8" s="33"/>
      <x:c r="F8" s="33" t="str">
        <x:v>Pa</x:v>
      </x:c>
      <x:c r="G8" s="37" t="n">
        <x:f>G5*1000</x:f>
        <x:v>10000</x:v>
      </x:c>
      <x:c r="H8" s="33" t="str">
        <x:v>Pa</x:v>
      </x:c>
      <x:c r="I8" s="33" t="str">
        <x:v>=G5*1000</x:v>
      </x:c>
      <x:c r="J8" s="33"/>
      <x:c r="K8" s="33"/>
      <x:c r="L8" s="33"/>
    </x:row>
    <x:row r="9">
      <x:c r="A9" s="33" t="str">
        <x:v>L/s</x:v>
      </x:c>
      <x:c r="B9" s="37" t="n">
        <x:f>B5/60</x:f>
        <x:v>1.6666666666666667</x:v>
      </x:c>
      <x:c r="C9" s="33" t="str">
        <x:v>L/s</x:v>
      </x:c>
      <x:c r="D9" s="33" t="str">
        <x:v>=B5/60</x:v>
      </x:c>
      <x:c r="E9" s="33"/>
      <x:c r="F9" s="33" t="str">
        <x:v>bar</x:v>
      </x:c>
      <x:c r="G9" s="37" t="n">
        <x:f>G5/100</x:f>
        <x:v>0.1</x:v>
      </x:c>
      <x:c r="H9" s="33" t="str">
        <x:v>bar</x:v>
      </x:c>
      <x:c r="I9" s="33" t="str">
        <x:v>=G5/100</x:v>
      </x:c>
      <x:c r="J9" s="33"/>
      <x:c r="K9" s="33"/>
      <x:c r="L9" s="33"/>
    </x:row>
    <x:row r="10">
      <x:c r="A10" s="33" t="str">
        <x:v>m³/h</x:v>
      </x:c>
      <x:c r="B10" s="37" t="n">
        <x:f>B5/1000*60</x:f>
        <x:v>6</x:v>
      </x:c>
      <x:c r="C10" s="33" t="str">
        <x:v>m³/h</x:v>
      </x:c>
      <x:c r="D10" s="33" t="str">
        <x:v>=B5/1000*60</x:v>
      </x:c>
      <x:c r="E10" s="33"/>
      <x:c r="F10" s="33" t="str">
        <x:v>psi</x:v>
      </x:c>
      <x:c r="G10" s="37" t="n">
        <x:f>G5/6.89476</x:f>
        <x:v>1.450376807894691</x:v>
      </x:c>
      <x:c r="H10" s="33" t="str">
        <x:v>psi</x:v>
      </x:c>
      <x:c r="I10" s="33" t="str">
        <x:v>=G5/6.89476</x:v>
      </x:c>
      <x:c r="J10" s="33"/>
      <x:c r="K10" s="33"/>
      <x:c r="L10" s="33"/>
    </x:row>
    <x:row r="11">
      <x:c r="A11" s="33" t="str">
        <x:v>CFM</x:v>
      </x:c>
      <x:c r="B11" s="37" t="n">
        <x:f>B5/28.3168</x:f>
        <x:v>3.5314724827664143</x:v>
      </x:c>
      <x:c r="C11" s="33" t="str">
        <x:v>CFM</x:v>
      </x:c>
      <x:c r="D11" s="33" t="str">
        <x:v>=B5/28.3168</x:v>
      </x:c>
      <x:c r="E11" s="33"/>
      <x:c r="F11" s="33" t="str">
        <x:v>mH2O</x:v>
      </x:c>
      <x:c r="G11" s="37" t="n">
        <x:f>G5/9.81</x:f>
        <x:v>1.019367991845056</x:v>
      </x:c>
      <x:c r="H11" s="33" t="str">
        <x:v>mH₂O</x:v>
      </x:c>
      <x:c r="I11" s="33" t="str">
        <x:v>=G5/9.81</x:v>
      </x:c>
      <x:c r="J11" s="33"/>
      <x:c r="K11" s="33"/>
      <x:c r="L11" s="33"/>
    </x:row>
    <x:row r="12">
      <x:c r="A12" s="33" t="str">
        <x:v>Nm³/h</x:v>
      </x:c>
      <x:c r="B12" s="37" t="n">
        <x:f>B5/16.6667</x:f>
        <x:v>5.9999880000240005</x:v>
      </x:c>
      <x:c r="C12" s="33" t="str">
        <x:v>Nm³/h</x:v>
      </x:c>
      <x:c r="D12" s="33" t="str">
        <x:v>=B5/16.6667</x:v>
      </x:c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4" t="str">
        <x:v>Length Input</x:v>
      </x:c>
      <x:c r="B15" s="34" t="str">
        <x:v>Value</x:v>
      </x:c>
      <x:c r="C15" s="34" t="str">
        <x:v>Unit</x:v>
      </x:c>
      <x:c r="D15" s="34" t="str">
        <x:v>Notes</x:v>
      </x:c>
      <x:c r="E15" s="33"/>
      <x:c r="F15" s="34" t="str">
        <x:v>Temperature Input</x:v>
      </x:c>
      <x:c r="G15" s="34" t="str">
        <x:v>Value</x:v>
      </x:c>
      <x:c r="H15" s="34" t="str">
        <x:v>Unit</x:v>
      </x:c>
      <x:c r="I15" s="34" t="str">
        <x:v>Notes</x:v>
      </x:c>
      <x:c r="J15" s="33"/>
      <x:c r="K15" s="33"/>
      <x:c r="L15" s="33"/>
    </x:row>
    <x:row r="16">
      <x:c r="A16" s="33" t="str">
        <x:v>Length</x:v>
      </x:c>
      <x:c r="B16" s="35" t="n">
        <x:v>25</x:v>
      </x:c>
      <x:c r="C16" s="33" t="str">
        <x:v>mm</x:v>
      </x:c>
      <x:c r="D16" s="33" t="str">
        <x:v>Input length</x:v>
      </x:c>
      <x:c r="E16" s="33"/>
      <x:c r="F16" s="33" t="str">
        <x:v>Temperature</x:v>
      </x:c>
      <x:c r="G16" s="35" t="n">
        <x:v>30</x:v>
      </x:c>
      <x:c r="H16" s="33" t="str">
        <x:v>°C</x:v>
      </x:c>
      <x:c r="I16" s="33" t="str">
        <x:v>Input temperature</x:v>
      </x:c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4" t="str">
        <x:v>Length Output</x:v>
      </x:c>
      <x:c r="B18" s="34" t="str">
        <x:v>Value</x:v>
      </x:c>
      <x:c r="C18" s="34" t="str">
        <x:v>Unit</x:v>
      </x:c>
      <x:c r="D18" s="34" t="str">
        <x:v>Formula</x:v>
      </x:c>
      <x:c r="E18" s="33"/>
      <x:c r="F18" s="34" t="str">
        <x:v>Temperature Output</x:v>
      </x:c>
      <x:c r="G18" s="34" t="str">
        <x:v>Value</x:v>
      </x:c>
      <x:c r="H18" s="34" t="str">
        <x:v>Unit</x:v>
      </x:c>
      <x:c r="I18" s="34" t="str">
        <x:v>Formula</x:v>
      </x:c>
      <x:c r="J18" s="33"/>
      <x:c r="K18" s="33"/>
      <x:c r="L18" s="33"/>
    </x:row>
    <x:row r="19">
      <x:c r="A19" s="33" t="str">
        <x:v>m</x:v>
      </x:c>
      <x:c r="B19" s="37" t="n">
        <x:f>B16/1000</x:f>
        <x:v>0.025</x:v>
      </x:c>
      <x:c r="C19" s="33" t="str">
        <x:v>m</x:v>
      </x:c>
      <x:c r="D19" s="33" t="str">
        <x:v>=B16/1000</x:v>
      </x:c>
      <x:c r="E19" s="33"/>
      <x:c r="F19" s="33" t="str">
        <x:v>K</x:v>
      </x:c>
      <x:c r="G19" s="37" t="n">
        <x:f>G16+273.15</x:f>
        <x:v>303.15</x:v>
      </x:c>
      <x:c r="H19" s="33" t="str">
        <x:v>K</x:v>
      </x:c>
      <x:c r="I19" s="33" t="str">
        <x:v>=G16+273.15</x:v>
      </x:c>
      <x:c r="J19" s="33"/>
      <x:c r="K19" s="33"/>
      <x:c r="L19" s="33"/>
    </x:row>
    <x:row r="20">
      <x:c r="A20" s="33" t="str">
        <x:v>inch</x:v>
      </x:c>
      <x:c r="B20" s="37" t="n">
        <x:f>B16/25.4</x:f>
        <x:v>0.984251968503937</x:v>
      </x:c>
      <x:c r="C20" s="33" t="str">
        <x:v>inch</x:v>
      </x:c>
      <x:c r="D20" s="33" t="str">
        <x:v>=B16/25.4</x:v>
      </x:c>
      <x:c r="E20" s="33"/>
      <x:c r="F20" s="33" t="str">
        <x:v>°F</x:v>
      </x:c>
      <x:c r="G20" s="37" t="n">
        <x:f>G16*9/5+32</x:f>
        <x:v>86</x:v>
      </x:c>
      <x:c r="H20" s="33" t="str">
        <x:v>°F</x:v>
      </x:c>
      <x:c r="I20" s="33" t="str">
        <x:v>=G16*9/5+32</x:v>
      </x:c>
      <x:c r="J20" s="33"/>
      <x:c r="K20" s="33"/>
      <x:c r="L20" s="33"/>
    </x:row>
    <x:row r="21">
      <x:c r="A21" s="33" t="str">
        <x:v>ft</x:v>
      </x:c>
      <x:c r="B21" s="37" t="n">
        <x:f>B16/304.8</x:f>
        <x:v>0.08202099737532809</x:v>
      </x:c>
      <x:c r="C21" s="33" t="str">
        <x:v>ft</x:v>
      </x:c>
      <x:c r="D21" s="33" t="str">
        <x:v>=B16/304.8</x:v>
      </x:c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2" t="str">
        <x:v>Sheet-10 Practical Tables</x:v>
      </x:c>
      <x:c r="B1" s="44"/>
      <x:c r="C1" s="33"/>
      <x:c r="D1" s="44"/>
      <x:c r="E1" s="44"/>
      <x:c r="F1" s="33"/>
      <x:c r="G1" s="33"/>
      <x:c r="H1" s="44"/>
      <x:c r="I1" s="33"/>
      <x:c r="J1" s="33"/>
      <x:c r="K1" s="44"/>
      <x:c r="L1" s="33"/>
    </x:row>
    <x:row r="2" ht="30" customHeight="1">
      <x:c r="A2" s="12" t="str">
        <x:v>Tabel referensi cepat untuk air, udara, orifice, dan diffuser. Semua tabel menggunakan formula aktif.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>
      <x:c r="A4" s="34" t="str">
        <x:v>Assumption</x:v>
      </x:c>
      <x:c r="B4" s="34" t="str">
        <x:v>Value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</x:row>
    <x:row r="5">
      <x:c r="A5" s="33" t="str">
        <x:v>Water velocity (m/s)</x:v>
      </x:c>
      <x:c r="B5" s="35" t="n">
        <x:v>1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</x:row>
    <x:row r="6">
      <x:c r="A6" s="33" t="str">
        <x:v>Air velocity (m/s)</x:v>
      </x:c>
      <x:c r="B6" s="35" t="n">
        <x:v>10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</x:row>
    <x:row r="7">
      <x:c r="A7" s="33" t="str">
        <x:v>Water density (kg/m³)</x:v>
      </x:c>
      <x:c r="B7" s="35" t="n">
        <x:v>1000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>
      <x:c r="A8" s="33" t="str">
        <x:v>Air density (kg/m³)</x:v>
      </x:c>
      <x:c r="B8" s="35" t="n">
        <x:v>1.2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</x:row>
    <x:row r="9">
      <x:c r="A9" s="33" t="str">
        <x:v>Water viscosity (Pa·s)</x:v>
      </x:c>
      <x:c r="B9" s="35" t="n">
        <x:v>0.001</x:v>
      </x:c>
      <x:c r="C9" s="33"/>
      <x:c r="D9" s="33"/>
      <x:c r="E9" s="33"/>
      <x:c r="F9" s="33"/>
      <x:c r="G9" s="33"/>
      <x:c r="H9" s="33"/>
      <x:c r="I9" s="33"/>
      <x:c r="J9" s="33"/>
      <x:c r="K9" s="33"/>
      <x:c r="L9" s="33"/>
    </x:row>
    <x:row r="10">
      <x:c r="A10" s="33" t="str">
        <x:v>Air viscosity (Pa·s)</x:v>
      </x:c>
      <x:c r="B10" s="35" t="n">
        <x:v>0.000018</x:v>
      </x:c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 t="str">
        <x:v>Darcy f</x:v>
      </x:c>
      <x:c r="B11" s="35" t="n">
        <x:v>0.02</x:v>
      </x:c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48" t="str">
        <x:v>Water Practical Table @ V=1 m/s</x:v>
      </x:c>
      <x:c r="B13" s="33"/>
      <x:c r="C13" s="33"/>
      <x:c r="D13" s="33"/>
      <x:c r="E13" s="33"/>
      <x:c r="F13" s="33"/>
      <x:c r="G13" s="48" t="str">
        <x:v>Air Practical Table @ V=10 m/s</x:v>
      </x:c>
      <x:c r="H13" s="33"/>
      <x:c r="I13" s="33"/>
      <x:c r="J13" s="33"/>
      <x:c r="K13" s="33"/>
      <x:c r="L13" s="33"/>
    </x:row>
    <x:row r="14">
      <x:c r="A14" s="34" t="str">
        <x:v>Diameter (mm)</x:v>
      </x:c>
      <x:c r="B14" s="34" t="str">
        <x:v>Q (L/min)</x:v>
      </x:c>
      <x:c r="C14" s="34" t="str">
        <x:v>Re</x:v>
      </x:c>
      <x:c r="D14" s="34" t="str">
        <x:v>hf (m/m)</x:v>
      </x:c>
      <x:c r="E14" s="34" t="str">
        <x:v>ΔP (kPa/m)</x:v>
      </x:c>
      <x:c r="F14" s="33"/>
      <x:c r="G14" s="34" t="str">
        <x:v>Diameter (mm)</x:v>
      </x:c>
      <x:c r="H14" s="34" t="str">
        <x:v>Q (L/min)</x:v>
      </x:c>
      <x:c r="I14" s="34" t="str">
        <x:v>Q (CFM)</x:v>
      </x:c>
      <x:c r="J14" s="34" t="str">
        <x:v>Re</x:v>
      </x:c>
      <x:c r="K14" s="34" t="str">
        <x:v>ΔP (Pa/m)</x:v>
      </x:c>
      <x:c r="L14" s="34" t="str">
        <x:v>ΔP (kPa/m)</x:v>
      </x:c>
    </x:row>
    <x:row r="15">
      <x:c r="A15" s="33" t="n">
        <x:v>4</x:v>
      </x:c>
      <x:c r="B15" s="33" t="n">
        <x:f>PI()*(A15/1000)^2/4*$B$5*1000*60</x:f>
        <x:v>0.7539822368615503</x:v>
      </x:c>
      <x:c r="C15" s="33" t="n">
        <x:f>$B$7*$B$5*(A15/1000)/$B$9</x:f>
        <x:v>4000</x:v>
      </x:c>
      <x:c r="D15" s="33" t="n">
        <x:f>$B$11*(1/(A15/1000))*($B$5^2/(2*9.81))</x:f>
        <x:v>0.254841997961264</x:v>
      </x:c>
      <x:c r="E15" s="33" t="n">
        <x:f>D15*$B$7*9.81/1000</x:f>
        <x:v>2.5</x:v>
      </x:c>
      <x:c r="F15" s="33"/>
      <x:c r="G15" s="33" t="n">
        <x:v>4</x:v>
      </x:c>
      <x:c r="H15" s="33" t="n">
        <x:f>PI()*(G15/1000)^2/4*$B$6*1000*60</x:f>
        <x:v>7.539822368615503</x:v>
      </x:c>
      <x:c r="I15" s="33" t="n">
        <x:f>H15/28.3168</x:f>
        <x:v>0.26626675219712337</x:v>
      </x:c>
      <x:c r="J15" s="33" t="n">
        <x:f>$B$8*$B$6*(G15/1000)/$B$10</x:f>
        <x:v>2666.6666666666665</x:v>
      </x:c>
      <x:c r="K15" s="33" t="n">
        <x:f>$B$11*(1/(G15/1000))*($B$8*$B$6^2/2)</x:f>
        <x:v>300</x:v>
      </x:c>
      <x:c r="L15" s="33" t="n">
        <x:f>K15/1000</x:f>
        <x:v>0.3</x:v>
      </x:c>
    </x:row>
    <x:row r="16">
      <x:c r="A16" s="33" t="n">
        <x:v>8</x:v>
      </x:c>
      <x:c r="B16" s="33" t="n">
        <x:f>PI()*(A16/1000)^2/4*$B$5*1000*60</x:f>
        <x:v>3.015928947446201</x:v>
      </x:c>
      <x:c r="C16" s="33" t="n">
        <x:f>$B$7*$B$5*(A16/1000)/$B$9</x:f>
        <x:v>8000</x:v>
      </x:c>
      <x:c r="D16" s="33" t="n">
        <x:f>$B$11*(1/(A16/1000))*($B$5^2/(2*9.81))</x:f>
        <x:v>0.127420998980632</x:v>
      </x:c>
      <x:c r="E16" s="33" t="n">
        <x:f>D16*$B$7*9.81/1000</x:f>
        <x:v>1.25</x:v>
      </x:c>
      <x:c r="F16" s="33"/>
      <x:c r="G16" s="33" t="n">
        <x:v>8</x:v>
      </x:c>
      <x:c r="H16" s="33" t="n">
        <x:f>PI()*(G16/1000)^2/4*$B$6*1000*60</x:f>
        <x:v>30.15928947446201</x:v>
      </x:c>
      <x:c r="I16" s="33" t="n">
        <x:f>H16/28.3168</x:f>
        <x:v>1.0650670087884935</x:v>
      </x:c>
      <x:c r="J16" s="33" t="n">
        <x:f>$B$8*$B$6*(G16/1000)/$B$10</x:f>
        <x:v>5333.333333333333</x:v>
      </x:c>
      <x:c r="K16" s="33" t="n">
        <x:f>$B$11*(1/(G16/1000))*($B$8*$B$6^2/2)</x:f>
        <x:v>150</x:v>
      </x:c>
      <x:c r="L16" s="33" t="n">
        <x:f>K16/1000</x:f>
        <x:v>0.15</x:v>
      </x:c>
    </x:row>
    <x:row r="17">
      <x:c r="A17" s="33" t="n">
        <x:v>10</x:v>
      </x:c>
      <x:c r="B17" s="33" t="n">
        <x:f>PI()*(A17/1000)^2/4*$B$5*1000*60</x:f>
        <x:v>4.71238898038469</x:v>
      </x:c>
      <x:c r="C17" s="33" t="n">
        <x:f>$B$7*$B$5*(A17/1000)/$B$9</x:f>
        <x:v>10000</x:v>
      </x:c>
      <x:c r="D17" s="33" t="n">
        <x:f>$B$11*(1/(A17/1000))*($B$5^2/(2*9.81))</x:f>
        <x:v>0.1019367991845056</x:v>
      </x:c>
      <x:c r="E17" s="33" t="n">
        <x:f>D17*$B$7*9.81/1000</x:f>
        <x:v>1</x:v>
      </x:c>
      <x:c r="F17" s="33"/>
      <x:c r="G17" s="33" t="n">
        <x:v>10</x:v>
      </x:c>
      <x:c r="H17" s="33" t="n">
        <x:f>PI()*(G17/1000)^2/4*$B$6*1000*60</x:f>
        <x:v>47.12388980384689</x:v>
      </x:c>
      <x:c r="I17" s="33" t="n">
        <x:f>H17/28.3168</x:f>
        <x:v>1.664167201232021</x:v>
      </x:c>
      <x:c r="J17" s="33" t="n">
        <x:f>$B$8*$B$6*(G17/1000)/$B$10</x:f>
        <x:v>6666.666666666666</x:v>
      </x:c>
      <x:c r="K17" s="33" t="n">
        <x:f>$B$11*(1/(G17/1000))*($B$8*$B$6^2/2)</x:f>
        <x:v>120</x:v>
      </x:c>
      <x:c r="L17" s="33" t="n">
        <x:f>K17/1000</x:f>
        <x:v>0.12</x:v>
      </x:c>
    </x:row>
    <x:row r="18">
      <x:c r="A18" s="33" t="n">
        <x:v>14</x:v>
      </x:c>
      <x:c r="B18" s="33" t="n">
        <x:f>PI()*(A18/1000)^2/4*$B$5*1000*60</x:f>
        <x:v>9.236282401553993</x:v>
      </x:c>
      <x:c r="C18" s="33" t="n">
        <x:f>$B$7*$B$5*(A18/1000)/$B$9</x:f>
        <x:v>14000</x:v>
      </x:c>
      <x:c r="D18" s="33" t="n">
        <x:f>$B$11*(1/(A18/1000))*($B$5^2/(2*9.81))</x:f>
        <x:v>0.072811999417504</x:v>
      </x:c>
      <x:c r="E18" s="33" t="n">
        <x:f>D18*$B$7*9.81/1000</x:f>
        <x:v>0.7142857142857144</x:v>
      </x:c>
      <x:c r="F18" s="33"/>
      <x:c r="G18" s="33" t="n">
        <x:v>14</x:v>
      </x:c>
      <x:c r="H18" s="33" t="n">
        <x:f>PI()*(G18/1000)^2/4*$B$6*1000*60</x:f>
        <x:v>92.36282401553993</x:v>
      </x:c>
      <x:c r="I18" s="33" t="n">
        <x:f>H18/28.3168</x:f>
        <x:v>3.261767714414762</x:v>
      </x:c>
      <x:c r="J18" s="33" t="n">
        <x:f>$B$8*$B$6*(G18/1000)/$B$10</x:f>
        <x:v>9333.333333333334</x:v>
      </x:c>
      <x:c r="K18" s="33" t="n">
        <x:f>$B$11*(1/(G18/1000))*($B$8*$B$6^2/2)</x:f>
        <x:v>85.71428571428572</x:v>
      </x:c>
      <x:c r="L18" s="33" t="n">
        <x:f>K18/1000</x:f>
        <x:v>0.08571428571428573</x:v>
      </x:c>
    </x:row>
    <x:row r="19">
      <x:c r="A19" s="33" t="n">
        <x:v>19</x:v>
      </x:c>
      <x:c r="B19" s="33" t="n">
        <x:f>PI()*(A19/1000)^2/4*$B$5*1000*60</x:f>
        <x:v>17.01172421918873</x:v>
      </x:c>
      <x:c r="C19" s="33" t="n">
        <x:f>$B$7*$B$5*(A19/1000)/$B$9</x:f>
        <x:v>19000</x:v>
      </x:c>
      <x:c r="D19" s="33" t="n">
        <x:f>$B$11*(1/(A19/1000))*($B$5^2/(2*9.81))</x:f>
        <x:v>0.05365094693921348</x:v>
      </x:c>
      <x:c r="E19" s="33" t="n">
        <x:f>D19*$B$7*9.81/1000</x:f>
        <x:v>0.5263157894736843</x:v>
      </x:c>
      <x:c r="F19" s="33"/>
      <x:c r="G19" s="33" t="n">
        <x:v>19</x:v>
      </x:c>
      <x:c r="H19" s="33" t="n">
        <x:f>PI()*(G19/1000)^2/4*$B$6*1000*60</x:f>
        <x:v>170.11724219188727</x:v>
      </x:c>
      <x:c r="I19" s="33" t="n">
        <x:f>H19/28.3168</x:f>
        <x:v>6.007643596447595</x:v>
      </x:c>
      <x:c r="J19" s="33" t="n">
        <x:f>$B$8*$B$6*(G19/1000)/$B$10</x:f>
        <x:v>12666.666666666666</x:v>
      </x:c>
      <x:c r="K19" s="33" t="n">
        <x:f>$B$11*(1/(G19/1000))*($B$8*$B$6^2/2)</x:f>
        <x:v>63.15789473684212</x:v>
      </x:c>
      <x:c r="L19" s="33" t="n">
        <x:f>K19/1000</x:f>
        <x:v>0.06315789473684212</x:v>
      </x:c>
    </x:row>
    <x:row r="20">
      <x:c r="A20" s="33" t="n">
        <x:v>22.4</x:v>
      </x:c>
      <x:c r="B20" s="33" t="n">
        <x:f>PI()*(A20/1000)^2/4*$B$5*1000*60</x:f>
        <x:v>23.644882947978218</x:v>
      </x:c>
      <x:c r="C20" s="33" t="n">
        <x:f>$B$7*$B$5*(A20/1000)/$B$9</x:f>
        <x:v>22399.999999999996</x:v>
      </x:c>
      <x:c r="D20" s="33" t="n">
        <x:f>$B$11*(1/(A20/1000))*($B$5^2/(2*9.81))</x:f>
        <x:v>0.04550749963594</x:v>
      </x:c>
      <x:c r="E20" s="33" t="n">
        <x:f>D20*$B$7*9.81/1000</x:f>
        <x:v>0.44642857142857145</x:v>
      </x:c>
      <x:c r="F20" s="33"/>
      <x:c r="G20" s="33" t="n">
        <x:v>22.4</x:v>
      </x:c>
      <x:c r="H20" s="33" t="n">
        <x:f>PI()*(G20/1000)^2/4*$B$6*1000*60</x:f>
        <x:v>236.44882947978218</x:v>
      </x:c>
      <x:c r="I20" s="33" t="n">
        <x:f>H20/28.3168</x:f>
        <x:v>8.35012534890179</x:v>
      </x:c>
      <x:c r="J20" s="33" t="n">
        <x:f>$B$8*$B$6*(G20/1000)/$B$10</x:f>
        <x:v>14933.333333333332</x:v>
      </x:c>
      <x:c r="K20" s="33" t="n">
        <x:f>$B$11*(1/(G20/1000))*($B$8*$B$6^2/2)</x:f>
        <x:v>53.57142857142858</x:v>
      </x:c>
      <x:c r="L20" s="33" t="n">
        <x:f>K20/1000</x:f>
        <x:v>0.053571428571428575</x:v>
      </x:c>
    </x:row>
    <x:row r="21">
      <x:c r="A21" s="33" t="n">
        <x:v>28</x:v>
      </x:c>
      <x:c r="B21" s="33" t="n">
        <x:f>PI()*(A21/1000)^2/4*$B$5*1000*60</x:f>
        <x:v>36.94512960621597</x:v>
      </x:c>
      <x:c r="C21" s="33" t="n">
        <x:f>$B$7*$B$5*(A21/1000)/$B$9</x:f>
        <x:v>28000</x:v>
      </x:c>
      <x:c r="D21" s="33" t="n">
        <x:f>$B$11*(1/(A21/1000))*($B$5^2/(2*9.81))</x:f>
        <x:v>0.036405999708752</x:v>
      </x:c>
      <x:c r="E21" s="33" t="n">
        <x:f>D21*$B$7*9.81/1000</x:f>
        <x:v>0.3571428571428572</x:v>
      </x:c>
      <x:c r="F21" s="33"/>
      <x:c r="G21" s="33" t="n">
        <x:v>28</x:v>
      </x:c>
      <x:c r="H21" s="33" t="n">
        <x:f>PI()*(G21/1000)^2/4*$B$6*1000*60</x:f>
        <x:v>369.4512960621597</x:v>
      </x:c>
      <x:c r="I21" s="33" t="n">
        <x:f>H21/28.3168</x:f>
        <x:v>13.047070857659048</x:v>
      </x:c>
      <x:c r="J21" s="33" t="n">
        <x:f>$B$8*$B$6*(G21/1000)/$B$10</x:f>
        <x:v>18666.666666666668</x:v>
      </x:c>
      <x:c r="K21" s="33" t="n">
        <x:f>$B$11*(1/(G21/1000))*($B$8*$B$6^2/2)</x:f>
        <x:v>42.85714285714286</x:v>
      </x:c>
      <x:c r="L21" s="33" t="n">
        <x:f>K21/1000</x:f>
        <x:v>0.042857142857142864</x:v>
      </x:c>
    </x:row>
    <x:row r="22">
      <x:c r="A22" s="33" t="n">
        <x:v>37.4</x:v>
      </x:c>
      <x:c r="B22" s="33" t="n">
        <x:f>PI()*(A22/1000)^2/4*$B$5*1000*60</x:f>
        <x:v>65.91501210202887</x:v>
      </x:c>
      <x:c r="C22" s="33" t="n">
        <x:f>$B$7*$B$5*(A22/1000)/$B$9</x:f>
        <x:v>37400</x:v>
      </x:c>
      <x:c r="D22" s="33" t="n">
        <x:f>$B$11*(1/(A22/1000))*($B$5^2/(2*9.81))</x:f>
        <x:v>0.027255828658958724</x:v>
      </x:c>
      <x:c r="E22" s="33" t="n">
        <x:f>D22*$B$7*9.81/1000</x:f>
        <x:v>0.2673796791443851</x:v>
      </x:c>
      <x:c r="F22" s="33"/>
      <x:c r="G22" s="33" t="n">
        <x:v>37.4</x:v>
      </x:c>
      <x:c r="H22" s="33" t="n">
        <x:f>PI()*(G22/1000)^2/4*$B$6*1000*60</x:f>
        <x:v>659.1501210202888</x:v>
      </x:c>
      <x:c r="I22" s="33" t="n">
        <x:f>H22/28.3168</x:f>
        <x:v>23.277705143953018</x:v>
      </x:c>
      <x:c r="J22" s="33" t="n">
        <x:f>$B$8*$B$6*(G22/1000)/$B$10</x:f>
        <x:v>24933.333333333332</x:v>
      </x:c>
      <x:c r="K22" s="33" t="n">
        <x:f>$B$11*(1/(G22/1000))*($B$8*$B$6^2/2)</x:f>
        <x:v>32.08556149732621</x:v>
      </x:c>
      <x:c r="L22" s="33" t="n">
        <x:f>K22/1000</x:f>
        <x:v>0.032085561497326213</x:v>
      </x:c>
    </x:row>
    <x:row r="23">
      <x:c r="A23" s="33" t="n">
        <x:v>43.4</x:v>
      </x:c>
      <x:c r="B23" s="33" t="n">
        <x:f>PI()*(A23/1000)^2/4*$B$5*1000*60</x:f>
        <x:v>88.76067387893387</x:v>
      </x:c>
      <x:c r="C23" s="33" t="n">
        <x:f>$B$7*$B$5*(A23/1000)/$B$9</x:f>
        <x:v>43400</x:v>
      </x:c>
      <x:c r="D23" s="33" t="n">
        <x:f>$B$11*(1/(A23/1000))*($B$5^2/(2*9.81))</x:f>
        <x:v>0.023487741747581937</x:v>
      </x:c>
      <x:c r="E23" s="33" t="n">
        <x:f>D23*$B$7*9.81/1000</x:f>
        <x:v>0.2304147465437788</x:v>
      </x:c>
      <x:c r="F23" s="33"/>
      <x:c r="G23" s="33" t="n">
        <x:v>43.4</x:v>
      </x:c>
      <x:c r="H23" s="33" t="n">
        <x:f>PI()*(G23/1000)^2/4*$B$6*1000*60</x:f>
        <x:v>887.6067387893387</x:v>
      </x:c>
      <x:c r="I23" s="33" t="n">
        <x:f>H23/28.3168</x:f>
        <x:v>31.34558773552586</x:v>
      </x:c>
      <x:c r="J23" s="33" t="n">
        <x:f>$B$8*$B$6*(G23/1000)/$B$10</x:f>
        <x:v>28933.333333333336</x:v>
      </x:c>
      <x:c r="K23" s="33" t="n">
        <x:f>$B$11*(1/(G23/1000))*($B$8*$B$6^2/2)</x:f>
        <x:v>27.649769585253456</x:v>
      </x:c>
      <x:c r="L23" s="33" t="n">
        <x:f>K23/1000</x:f>
        <x:v>0.027649769585253454</x:v>
      </x:c>
    </x:row>
    <x:row r="24">
      <x:c r="A24" s="33" t="n">
        <x:v>55.4</x:v>
      </x:c>
      <x:c r="B24" s="33" t="n">
        <x:f>PI()*(A24/1000)^2/4*$B$5*1000*60</x:f>
        <x:v>144.63075763037472</x:v>
      </x:c>
      <x:c r="C24" s="33" t="n">
        <x:f>$B$7*$B$5*(A24/1000)/$B$9</x:f>
        <x:v>55400</x:v>
      </x:c>
      <x:c r="D24" s="33" t="n">
        <x:f>$B$11*(1/(A24/1000))*($B$5^2/(2*9.81))</x:f>
        <x:v>0.018400144257130976</x:v>
      </x:c>
      <x:c r="E24" s="33" t="n">
        <x:f>D24*$B$7*9.81/1000</x:f>
        <x:v>0.18050541516245489</x:v>
      </x:c>
      <x:c r="F24" s="33"/>
      <x:c r="G24" s="33" t="n">
        <x:v>55.4</x:v>
      </x:c>
      <x:c r="H24" s="33" t="n">
        <x:f>PI()*(G24/1000)^2/4*$B$6*1000*60</x:f>
        <x:v>1446.3075763037473</x:v>
      </x:c>
      <x:c r="I24" s="33" t="n">
        <x:f>H24/28.3168</x:f>
        <x:v>51.075954073332696</x:v>
      </x:c>
      <x:c r="J24" s="33" t="n">
        <x:f>$B$8*$B$6*(G24/1000)/$B$10</x:f>
        <x:v>36933.33333333333</x:v>
      </x:c>
      <x:c r="K24" s="33" t="n">
        <x:f>$B$11*(1/(G24/1000))*($B$8*$B$6^2/2)</x:f>
        <x:v>21.660649819494587</x:v>
      </x:c>
      <x:c r="L24" s="33" t="n">
        <x:f>K24/1000</x:f>
        <x:v>0.021660649819494587</x:v>
      </x:c>
    </x:row>
    <x:row r="25">
      <x:c r="A25" s="33" t="n">
        <x:v>70.8</x:v>
      </x:c>
      <x:c r="B25" s="33" t="n">
        <x:f>PI()*(A25/1000)^2/4*$B$5*1000*60</x:f>
        <x:v>236.21509498635513</x:v>
      </x:c>
      <x:c r="C25" s="33" t="n">
        <x:f>$B$7*$B$5*(A25/1000)/$B$9</x:f>
        <x:v>70800</x:v>
      </x:c>
      <x:c r="D25" s="33" t="n">
        <x:f>$B$11*(1/(A25/1000))*($B$5^2/(2*9.81))</x:f>
        <x:v>0.014397852992161808</x:v>
      </x:c>
      <x:c r="E25" s="33" t="n">
        <x:f>D25*$B$7*9.81/1000</x:f>
        <x:v>0.14124293785310735</x:v>
      </x:c>
      <x:c r="F25" s="33"/>
      <x:c r="G25" s="33" t="n">
        <x:v>70.8</x:v>
      </x:c>
      <x:c r="H25" s="33" t="n">
        <x:f>PI()*(G25/1000)^2/4*$B$6*1000*60</x:f>
        <x:v>2362.1509498635514</x:v>
      </x:c>
      <x:c r="I25" s="33" t="n">
        <x:f>H25/28.3168</x:f>
        <x:v>83.4187107958368</x:v>
      </x:c>
      <x:c r="J25" s="33" t="n">
        <x:f>$B$8*$B$6*(G25/1000)/$B$10</x:f>
        <x:v>47200</x:v>
      </x:c>
      <x:c r="K25" s="33" t="n">
        <x:f>$B$11*(1/(G25/1000))*($B$8*$B$6^2/2)</x:f>
        <x:v>16.949152542372882</x:v>
      </x:c>
      <x:c r="L25" s="33" t="n">
        <x:f>K25/1000</x:f>
        <x:v>0.01694915254237288</x:v>
      </x:c>
    </x:row>
    <x:row r="26">
      <x:c r="A26" s="33" t="n">
        <x:v>82.8</x:v>
      </x:c>
      <x:c r="B26" s="33" t="n">
        <x:f>PI()*(A26/1000)^2/4*$B$5*1000*60</x:f>
        <x:v>323.07384867280575</x:v>
      </x:c>
      <x:c r="C26" s="33" t="n">
        <x:f>$B$7*$B$5*(A26/1000)/$B$9</x:f>
        <x:v>82800</x:v>
      </x:c>
      <x:c r="D26" s="33" t="n">
        <x:f>$B$11*(1/(A26/1000))*($B$5^2/(2*9.81))</x:f>
        <x:v>0.012311207630978939</x:v>
      </x:c>
      <x:c r="E26" s="33" t="n">
        <x:f>D26*$B$7*9.81/1000</x:f>
        <x:v>0.12077294685990339</x:v>
      </x:c>
      <x:c r="F26" s="33"/>
      <x:c r="G26" s="33" t="n">
        <x:v>82.8</x:v>
      </x:c>
      <x:c r="H26" s="33" t="n">
        <x:f>PI()*(G26/1000)^2/4*$B$6*1000*60</x:f>
        <x:v>3230.738486728057</x:v>
      </x:c>
      <x:c r="I26" s="33" t="n">
        <x:f>H26/28.3168</x:f>
        <x:v>114.09264064894539</x:v>
      </x:c>
      <x:c r="J26" s="33" t="n">
        <x:f>$B$8*$B$6*(G26/1000)/$B$10</x:f>
        <x:v>55200</x:v>
      </x:c>
      <x:c r="K26" s="33" t="n">
        <x:f>$B$11*(1/(G26/1000))*($B$8*$B$6^2/2)</x:f>
        <x:v>14.492753623188406</x:v>
      </x:c>
      <x:c r="L26" s="33" t="n">
        <x:f>K26/1000</x:f>
        <x:v>0.014492753623188406</x:v>
      </x:c>
    </x:row>
    <x:row r="27">
      <x:c r="A27" s="33" t="n">
        <x:v>105.8</x:v>
      </x:c>
      <x:c r="B27" s="33" t="n">
        <x:f>PI()*(A27/1000)^2/4*$B$5*1000*60</x:f>
        <x:v>527.4878578639327</x:v>
      </x:c>
      <x:c r="C27" s="33" t="n">
        <x:f>$B$7*$B$5*(A27/1000)/$B$9</x:f>
        <x:v>105800</x:v>
      </x:c>
      <x:c r="D27" s="33" t="n">
        <x:f>$B$11*(1/(A27/1000))*($B$5^2/(2*9.81))</x:f>
        <x:v>0.009634858145983518</x:v>
      </x:c>
      <x:c r="E27" s="33" t="n">
        <x:f>D27*$B$7*9.81/1000</x:f>
        <x:v>0.09451795841209833</x:v>
      </x:c>
      <x:c r="F27" s="33"/>
      <x:c r="G27" s="33" t="n">
        <x:v>105.8</x:v>
      </x:c>
      <x:c r="H27" s="33" t="n">
        <x:f>PI()*(G27/1000)^2/4*$B$6*1000*60</x:f>
        <x:v>5274.878578639327</x:v>
      </x:c>
      <x:c r="I27" s="33" t="n">
        <x:f>H27/28.3168</x:f>
        <x:v>186.280885503988</x:v>
      </x:c>
      <x:c r="J27" s="33" t="n">
        <x:f>$B$8*$B$6*(G27/1000)/$B$10</x:f>
        <x:v>70533.33333333333</x:v>
      </x:c>
      <x:c r="K27" s="33" t="n">
        <x:f>$B$11*(1/(G27/1000))*($B$8*$B$6^2/2)</x:f>
        <x:v>11.342155009451798</x:v>
      </x:c>
      <x:c r="L27" s="33" t="n">
        <x:f>K27/1000</x:f>
        <x:v>0.011342155009451798</x:v>
      </x:c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 t="str">
        <x:v>Orifice Water Table</x:v>
      </x:c>
      <x:c r="B32" s="33" t="str">
        <x:v>Cd</x:v>
      </x:c>
      <x:c r="C32" s="33" t="n">
        <x:v>0.62</x:v>
      </x:c>
      <x:c r="D32" s="33" t="n">
        <x:v>98.1</x:v>
      </x:c>
      <x:c r="E32" s="33"/>
      <x:c r="F32" s="33"/>
      <x:c r="G32" s="33" t="str">
        <x:v>Orifice Air Table</x:v>
      </x:c>
      <x:c r="H32" s="33" t="str">
        <x:v>Cd</x:v>
      </x:c>
      <x:c r="I32" s="33" t="n">
        <x:v>0.62</x:v>
      </x:c>
      <x:c r="J32" s="33" t="n">
        <x:v>5</x:v>
      </x:c>
      <x:c r="K32" s="33"/>
      <x:c r="L32" s="33"/>
    </x:row>
    <x:row r="33">
      <x:c r="A33" s="34" t="str">
        <x:v>Diameter (mm)</x:v>
      </x:c>
      <x:c r="B33" s="34" t="str">
        <x:v>Debit (L/min)</x:v>
      </x:c>
      <x:c r="C33" s="34" t="str">
        <x:v>Formula</x:v>
      </x:c>
      <x:c r="D33" s="33"/>
      <x:c r="E33" s="33"/>
      <x:c r="F33" s="33"/>
      <x:c r="G33" s="34" t="str">
        <x:v>Diameter (mm)</x:v>
      </x:c>
      <x:c r="H33" s="34" t="str">
        <x:v>Debit (L/min)</x:v>
      </x:c>
      <x:c r="I33" s="34" t="str">
        <x:v>Formula</x:v>
      </x:c>
      <x:c r="J33" s="33"/>
      <x:c r="K33" s="33"/>
      <x:c r="L33" s="33"/>
    </x:row>
    <x:row r="34">
      <x:c r="A34" s="33" t="n">
        <x:v>0.3</x:v>
      </x:c>
      <x:c r="B34" s="33" t="n">
        <x:f>$C$32*PI()*(A34/1000)^2/4*SQRT(2*($D$32*1000)/$B$7)*1000*60</x:f>
        <x:v>0.03683196016190042</x:v>
      </x:c>
      <x:c r="C34" s="33" t="str">
        <x:v>Orifice water</x:v>
      </x:c>
      <x:c r="D34" s="33"/>
      <x:c r="E34" s="33"/>
      <x:c r="F34" s="33"/>
      <x:c r="G34" s="33" t="n">
        <x:v>0.3</x:v>
      </x:c>
      <x:c r="H34" s="33" t="n">
        <x:f>$I$32*PI()*(G34/1000)^2/4*SQRT(2*($J$32*1000)/$B$8)*1000*60</x:f>
        <x:v>0.24004060221947812</x:v>
      </x:c>
      <x:c r="I34" s="33" t="str">
        <x:v>Orifice air</x:v>
      </x:c>
      <x:c r="J34" s="33"/>
      <x:c r="K34" s="33"/>
      <x:c r="L34" s="33"/>
    </x:row>
    <x:row r="35">
      <x:c r="A35" s="33" t="n">
        <x:v>0.5</x:v>
      </x:c>
      <x:c r="B35" s="33" t="n">
        <x:f>$C$32*PI()*(A35/1000)^2/4*SQRT(2*($D$32*1000)/$B$7)*1000*60</x:f>
        <x:v>0.10231100044972342</x:v>
      </x:c>
      <x:c r="C35" s="33" t="str">
        <x:v>Orifice water</x:v>
      </x:c>
      <x:c r="D35" s="33"/>
      <x:c r="E35" s="33"/>
      <x:c r="F35" s="33"/>
      <x:c r="G35" s="33" t="n">
        <x:v>0.5</x:v>
      </x:c>
      <x:c r="H35" s="33" t="n">
        <x:f>$I$32*PI()*(G35/1000)^2/4*SQRT(2*($J$32*1000)/$B$8)*1000*60</x:f>
        <x:v>0.6667794506096616</x:v>
      </x:c>
      <x:c r="I35" s="33" t="str">
        <x:v>Orifice air</x:v>
      </x:c>
      <x:c r="J35" s="33"/>
      <x:c r="K35" s="33"/>
      <x:c r="L35" s="33"/>
    </x:row>
    <x:row r="36">
      <x:c r="A36" s="33" t="n">
        <x:v>0.7</x:v>
      </x:c>
      <x:c r="B36" s="33" t="n">
        <x:f>$C$32*PI()*(A36/1000)^2/4*SQRT(2*($D$32*1000)/$B$7)*1000*60</x:f>
        <x:v>0.20052956088145785</x:v>
      </x:c>
      <x:c r="C36" s="33" t="str">
        <x:v>Orifice water</x:v>
      </x:c>
      <x:c r="D36" s="33"/>
      <x:c r="E36" s="33"/>
      <x:c r="F36" s="33"/>
      <x:c r="G36" s="33" t="n">
        <x:v>0.7</x:v>
      </x:c>
      <x:c r="H36" s="33" t="n">
        <x:f>$I$32*PI()*(G36/1000)^2/4*SQRT(2*($J$32*1000)/$B$8)*1000*60</x:f>
        <x:v>1.3068877231949367</x:v>
      </x:c>
      <x:c r="I36" s="33" t="str">
        <x:v>Orifice air</x:v>
      </x:c>
      <x:c r="J36" s="33"/>
      <x:c r="K36" s="33"/>
      <x:c r="L36" s="33"/>
    </x:row>
    <x:row r="37">
      <x:c r="A37" s="33" t="n">
        <x:v>1</x:v>
      </x:c>
      <x:c r="B37" s="33" t="n">
        <x:f>$C$32*PI()*(A37/1000)^2/4*SQRT(2*($D$32*1000)/$B$7)*1000*60</x:f>
        <x:v>0.4092440017988937</x:v>
      </x:c>
      <x:c r="C37" s="33" t="str">
        <x:v>Orifice water</x:v>
      </x:c>
      <x:c r="D37" s="33"/>
      <x:c r="E37" s="33"/>
      <x:c r="F37" s="33"/>
      <x:c r="G37" s="33" t="n">
        <x:v>1</x:v>
      </x:c>
      <x:c r="H37" s="33" t="n">
        <x:f>$I$32*PI()*(G37/1000)^2/4*SQRT(2*($J$32*1000)/$B$8)*1000*60</x:f>
        <x:v>2.6671178024386464</x:v>
      </x:c>
      <x:c r="I37" s="33" t="str">
        <x:v>Orifice air</x:v>
      </x:c>
      <x:c r="J37" s="33"/>
      <x:c r="K37" s="33"/>
      <x:c r="L37" s="33"/>
    </x:row>
    <x:row r="38">
      <x:c r="A38" s="33" t="n">
        <x:v>1.5</x:v>
      </x:c>
      <x:c r="B38" s="33" t="n">
        <x:f>$C$32*PI()*(A38/1000)^2/4*SQRT(2*($D$32*1000)/$B$7)*1000*60</x:f>
        <x:v>0.9207990040475109</x:v>
      </x:c>
      <x:c r="C38" s="33" t="str">
        <x:v>Orifice water</x:v>
      </x:c>
      <x:c r="D38" s="33"/>
      <x:c r="E38" s="33"/>
      <x:c r="F38" s="33"/>
      <x:c r="G38" s="33" t="n">
        <x:v>1.5</x:v>
      </x:c>
      <x:c r="H38" s="33" t="n">
        <x:f>$I$32*PI()*(G38/1000)^2/4*SQRT(2*($J$32*1000)/$B$8)*1000*60</x:f>
        <x:v>6.001015055486955</x:v>
      </x:c>
      <x:c r="I38" s="33" t="str">
        <x:v>Orifice air</x:v>
      </x:c>
      <x:c r="J38" s="33"/>
      <x:c r="K38" s="33"/>
      <x:c r="L38" s="33"/>
    </x:row>
    <x:row r="39">
      <x:c r="A39" s="33" t="n">
        <x:v>2</x:v>
      </x:c>
      <x:c r="B39" s="33" t="n">
        <x:f>$C$32*PI()*(A39/1000)^2/4*SQRT(2*($D$32*1000)/$B$7)*1000*60</x:f>
        <x:v>1.6369760071955748</x:v>
      </x:c>
      <x:c r="C39" s="33" t="str">
        <x:v>Orifice water</x:v>
      </x:c>
      <x:c r="D39" s="33"/>
      <x:c r="E39" s="33"/>
      <x:c r="F39" s="33"/>
      <x:c r="G39" s="33" t="n">
        <x:v>2</x:v>
      </x:c>
      <x:c r="H39" s="33" t="n">
        <x:f>$I$32*PI()*(G39/1000)^2/4*SQRT(2*($J$32*1000)/$B$8)*1000*60</x:f>
        <x:v>10.668471209754586</x:v>
      </x:c>
      <x:c r="I39" s="33" t="str">
        <x:v>Orifice air</x:v>
      </x:c>
      <x:c r="J39" s="33"/>
      <x:c r="K39" s="33"/>
      <x:c r="L39" s="33"/>
    </x:row>
    <x:row r="40">
      <x:c r="A40" s="33" t="n">
        <x:v>3</x:v>
      </x:c>
      <x:c r="B40" s="33" t="n">
        <x:f>$C$32*PI()*(A40/1000)^2/4*SQRT(2*($D$32*1000)/$B$7)*1000*60</x:f>
        <x:v>3.6831960161900437</x:v>
      </x:c>
      <x:c r="C40" s="33" t="str">
        <x:v>Orifice water</x:v>
      </x:c>
      <x:c r="D40" s="33"/>
      <x:c r="E40" s="33"/>
      <x:c r="F40" s="33"/>
      <x:c r="G40" s="33" t="n">
        <x:v>3</x:v>
      </x:c>
      <x:c r="H40" s="33" t="n">
        <x:f>$I$32*PI()*(G40/1000)^2/4*SQRT(2*($J$32*1000)/$B$8)*1000*60</x:f>
        <x:v>24.00406022194782</x:v>
      </x:c>
      <x:c r="I40" s="33" t="str">
        <x:v>Orifice air</x:v>
      </x:c>
      <x:c r="J40" s="33"/>
      <x:c r="K40" s="33"/>
      <x:c r="L40" s="33"/>
    </x:row>
    <x:row r="41">
      <x:c r="A41" s="33" t="n">
        <x:v>4</x:v>
      </x:c>
      <x:c r="B41" s="33" t="n">
        <x:f>$C$32*PI()*(A41/1000)^2/4*SQRT(2*($D$32*1000)/$B$7)*1000*60</x:f>
        <x:v>6.547904028782299</x:v>
      </x:c>
      <x:c r="C41" s="33" t="str">
        <x:v>Orifice water</x:v>
      </x:c>
      <x:c r="D41" s="33"/>
      <x:c r="E41" s="33"/>
      <x:c r="F41" s="33"/>
      <x:c r="G41" s="33" t="n">
        <x:v>4</x:v>
      </x:c>
      <x:c r="H41" s="33" t="n">
        <x:f>$I$32*PI()*(G41/1000)^2/4*SQRT(2*($J$32*1000)/$B$8)*1000*60</x:f>
        <x:v>42.67388483901834</x:v>
      </x:c>
      <x:c r="I41" s="33" t="str">
        <x:v>Orifice air</x:v>
      </x:c>
      <x:c r="J41" s="33"/>
      <x:c r="K41" s="33"/>
      <x:c r="L41" s="33"/>
    </x:row>
    <x:row r="42">
      <x:c r="A42" s="33" t="n">
        <x:v>5</x:v>
      </x:c>
      <x:c r="B42" s="33" t="n">
        <x:f>$C$32*PI()*(A42/1000)^2/4*SQRT(2*($D$32*1000)/$B$7)*1000*60</x:f>
        <x:v>10.231100044972342</x:v>
      </x:c>
      <x:c r="C42" s="33" t="str">
        <x:v>Orifice water</x:v>
      </x:c>
      <x:c r="D42" s="33"/>
      <x:c r="E42" s="33"/>
      <x:c r="F42" s="33"/>
      <x:c r="G42" s="33" t="n">
        <x:v>5</x:v>
      </x:c>
      <x:c r="H42" s="33" t="n">
        <x:f>$I$32*PI()*(G42/1000)^2/4*SQRT(2*($J$32*1000)/$B$8)*1000*60</x:f>
        <x:v>66.67794506096617</x:v>
      </x:c>
      <x:c r="I42" s="33" t="str">
        <x:v>Orifice air</x:v>
      </x:c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 t="str">
        <x:v>Diffuser Table</x:v>
      </x:c>
      <x:c r="B45" s="33" t="str">
        <x:v>Cd</x:v>
      </x:c>
      <x:c r="C45" s="33" t="n">
        <x:v>0.65</x:v>
      </x:c>
      <x:c r="D45" s="33" t="str">
        <x:v>Depth m</x:v>
      </x:c>
      <x:c r="E45" s="33" t="n">
        <x:v>0.5</x:v>
      </x:c>
      <x:c r="F45" s="33"/>
      <x:c r="G45" s="33"/>
      <x:c r="H45" s="33"/>
      <x:c r="I45" s="33"/>
      <x:c r="J45" s="33"/>
      <x:c r="K45" s="33"/>
      <x:c r="L45" s="33"/>
    </x:row>
    <x:row r="46">
      <x:c r="A46" s="34" t="str">
        <x:v>Hole Diameter (mm)</x:v>
      </x:c>
      <x:c r="B46" s="34" t="str">
        <x:v>Debit per Hole (L/min)</x:v>
      </x:c>
      <x:c r="C46" s="34" t="str">
        <x:v>Hydrostatic kPa</x:v>
      </x:c>
      <x:c r="D46" s="34" t="str">
        <x:v>Notes</x:v>
      </x:c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 t="n">
        <x:v>0.5</x:v>
      </x:c>
      <x:c r="B47" s="33" t="n">
        <x:f>$C$45*PI()*(A47/1000)^2/4*SQRT(2*(($E$45*1000*9.81)/1000*1000)/$B$8)*1000*60</x:f>
        <x:v>0.6923702165837068</x:v>
      </x:c>
      <x:c r="C47" s="33" t="n">
        <x:f>$E$45*$B$7*9.81/1000</x:f>
        <x:v>4.905</x:v>
      </x:c>
      <x:c r="D47" s="33" t="str">
        <x:f>"Per hole"</x:f>
        <x:v>Per hole</x:v>
      </x:c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 t="n">
        <x:v>0.7</x:v>
      </x:c>
      <x:c r="B48" s="33" t="n">
        <x:f>$C$45*PI()*(A48/1000)^2/4*SQRT(2*(($E$45*1000*9.81)/1000*1000)/$B$8)*1000*60</x:f>
        <x:v>1.3570456245040652</x:v>
      </x:c>
      <x:c r="C48" s="33" t="n">
        <x:f>$E$45*$B$7*9.81/1000</x:f>
        <x:v>4.905</x:v>
      </x:c>
      <x:c r="D48" s="33" t="str">
        <x:f>"Per hole"</x:f>
        <x:v>Per hole</x:v>
      </x:c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 t="n">
        <x:v>1</x:v>
      </x:c>
      <x:c r="B49" s="33" t="n">
        <x:f>$C$45*PI()*(A49/1000)^2/4*SQRT(2*(($E$45*1000*9.81)/1000*1000)/$B$8)*1000*60</x:f>
        <x:v>2.769480866334827</x:v>
      </x:c>
      <x:c r="C49" s="33" t="n">
        <x:f>$E$45*$B$7*9.81/1000</x:f>
        <x:v>4.905</x:v>
      </x:c>
      <x:c r="D49" s="33" t="str">
        <x:f>"Per hole"</x:f>
        <x:v>Per hole</x:v>
      </x:c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 t="n">
        <x:v>1.5</x:v>
      </x:c>
      <x:c r="B50" s="33" t="n">
        <x:f>$C$45*PI()*(A50/1000)^2/4*SQRT(2*(($E$45*1000*9.81)/1000*1000)/$B$8)*1000*60</x:f>
        <x:v>6.23133194925336</x:v>
      </x:c>
      <x:c r="C50" s="33" t="n">
        <x:f>$E$45*$B$7*9.81/1000</x:f>
        <x:v>4.905</x:v>
      </x:c>
      <x:c r="D50" s="33" t="str">
        <x:f>"Per hole"</x:f>
        <x:v>Per hole</x:v>
      </x:c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 t="n">
        <x:v>2</x:v>
      </x:c>
      <x:c r="B51" s="33" t="n">
        <x:f>$C$45*PI()*(A51/1000)^2/4*SQRT(2*(($E$45*1000*9.81)/1000*1000)/$B$8)*1000*60</x:f>
        <x:v>11.077923465339309</x:v>
      </x:c>
      <x:c r="C51" s="33" t="n">
        <x:f>$E$45*$B$7*9.81/1000</x:f>
        <x:v>4.905</x:v>
      </x:c>
      <x:c r="D51" s="33" t="str">
        <x:f>"Per hole"</x:f>
        <x:v>Per hole</x:v>
      </x:c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</x:sheetData>
  <x:mergeCells>
    <x:mergeCell ref="A1:H1"/>
    <x:mergeCell ref="A2:H2"/>
    <x:mergeCell ref="A13:E13"/>
    <x:mergeCell ref="G13:L13"/>
  </x:mergeCells>
  <x:pageMargins left="0.7" right="0.7" top="0.75" bottom="0.75" header="0.3" footer="0.3"/>
</x:worksheet>
</file>