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m294\Documents\Projects\kawruhnology\docs\"/>
    </mc:Choice>
  </mc:AlternateContent>
  <xr:revisionPtr revIDLastSave="0" documentId="13_ncr:1_{A1FBD60A-95C0-41A7-862C-D19A5DA4F533}" xr6:coauthVersionLast="47" xr6:coauthVersionMax="47" xr10:uidLastSave="{00000000-0000-0000-0000-000000000000}"/>
  <bookViews>
    <workbookView xWindow="2295" yWindow="0" windowWidth="15990" windowHeight="15585" firstSheet="3" activeTab="4" xr2:uid="{00000000-000D-0000-FFFF-FFFF00000000}"/>
  </bookViews>
  <sheets>
    <sheet name="01 Water Flow" sheetId="1" r:id="rId1"/>
    <sheet name="02 Water PD" sheetId="2" r:id="rId2"/>
    <sheet name="03 Air Flow" sheetId="3" r:id="rId3"/>
    <sheet name="04 Air PD" sheetId="4" r:id="rId4"/>
    <sheet name="05 Orifice" sheetId="5" r:id="rId5"/>
    <sheet name="06 Diffuser" sheetId="6" r:id="rId6"/>
    <sheet name="07 Pipe Sizing" sheetId="7" r:id="rId7"/>
    <sheet name="08 Reynolds" sheetId="8" r:id="rId8"/>
    <sheet name="09 Unit Converter" sheetId="9" r:id="rId9"/>
    <sheet name="10 Practical Tabl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4" i="5" l="1" a="1"/>
  <c r="B24" i="5"/>
  <c r="B19" i="7" a="1"/>
  <c r="B19" i="7" s="1"/>
  <c r="D51" i="10"/>
  <c r="C51" i="10"/>
  <c r="B51" i="10"/>
  <c r="D50" i="10"/>
  <c r="C50" i="10"/>
  <c r="B50" i="10"/>
  <c r="D49" i="10"/>
  <c r="C49" i="10"/>
  <c r="B49" i="10"/>
  <c r="D48" i="10"/>
  <c r="C48" i="10"/>
  <c r="B48" i="10"/>
  <c r="D47" i="10"/>
  <c r="C47" i="10"/>
  <c r="B47" i="10"/>
  <c r="H42" i="10"/>
  <c r="B42" i="10"/>
  <c r="H41" i="10"/>
  <c r="B41" i="10"/>
  <c r="H40" i="10"/>
  <c r="B40" i="10"/>
  <c r="H39" i="10"/>
  <c r="B39" i="10"/>
  <c r="H38" i="10"/>
  <c r="B38" i="10"/>
  <c r="H37" i="10"/>
  <c r="B37" i="10"/>
  <c r="H36" i="10"/>
  <c r="B36" i="10"/>
  <c r="H35" i="10"/>
  <c r="B35" i="10"/>
  <c r="H34" i="10"/>
  <c r="B34" i="10"/>
  <c r="K27" i="10"/>
  <c r="L27" i="10" s="1"/>
  <c r="J27" i="10"/>
  <c r="I27" i="10"/>
  <c r="H27" i="10"/>
  <c r="D27" i="10"/>
  <c r="E27" i="10" s="1"/>
  <c r="C27" i="10"/>
  <c r="B27" i="10"/>
  <c r="K26" i="10"/>
  <c r="L26" i="10" s="1"/>
  <c r="J26" i="10"/>
  <c r="H26" i="10"/>
  <c r="I26" i="10" s="1"/>
  <c r="E26" i="10"/>
  <c r="D26" i="10"/>
  <c r="C26" i="10"/>
  <c r="B26" i="10"/>
  <c r="L25" i="10"/>
  <c r="K25" i="10"/>
  <c r="J25" i="10"/>
  <c r="H25" i="10"/>
  <c r="I25" i="10" s="1"/>
  <c r="D25" i="10"/>
  <c r="E25" i="10" s="1"/>
  <c r="C25" i="10"/>
  <c r="B25" i="10"/>
  <c r="L24" i="10"/>
  <c r="K24" i="10"/>
  <c r="J24" i="10"/>
  <c r="I24" i="10"/>
  <c r="H24" i="10"/>
  <c r="D24" i="10"/>
  <c r="E24" i="10" s="1"/>
  <c r="C24" i="10"/>
  <c r="B24" i="10"/>
  <c r="K23" i="10"/>
  <c r="L23" i="10" s="1"/>
  <c r="J23" i="10"/>
  <c r="I23" i="10"/>
  <c r="H23" i="10"/>
  <c r="D23" i="10"/>
  <c r="E23" i="10" s="1"/>
  <c r="C23" i="10"/>
  <c r="B23" i="10"/>
  <c r="K22" i="10"/>
  <c r="L22" i="10" s="1"/>
  <c r="J22" i="10"/>
  <c r="H22" i="10"/>
  <c r="I22" i="10" s="1"/>
  <c r="E22" i="10"/>
  <c r="D22" i="10"/>
  <c r="C22" i="10"/>
  <c r="B22" i="10"/>
  <c r="L21" i="10"/>
  <c r="K21" i="10"/>
  <c r="J21" i="10"/>
  <c r="H21" i="10"/>
  <c r="I21" i="10" s="1"/>
  <c r="D21" i="10"/>
  <c r="E21" i="10" s="1"/>
  <c r="C21" i="10"/>
  <c r="B21" i="10"/>
  <c r="L20" i="10"/>
  <c r="K20" i="10"/>
  <c r="J20" i="10"/>
  <c r="I20" i="10"/>
  <c r="H20" i="10"/>
  <c r="D20" i="10"/>
  <c r="E20" i="10" s="1"/>
  <c r="C20" i="10"/>
  <c r="B20" i="10"/>
  <c r="K19" i="10"/>
  <c r="L19" i="10" s="1"/>
  <c r="J19" i="10"/>
  <c r="I19" i="10"/>
  <c r="H19" i="10"/>
  <c r="D19" i="10"/>
  <c r="E19" i="10" s="1"/>
  <c r="C19" i="10"/>
  <c r="B19" i="10"/>
  <c r="K18" i="10"/>
  <c r="L18" i="10" s="1"/>
  <c r="J18" i="10"/>
  <c r="H18" i="10"/>
  <c r="I18" i="10" s="1"/>
  <c r="E18" i="10"/>
  <c r="D18" i="10"/>
  <c r="C18" i="10"/>
  <c r="B18" i="10"/>
  <c r="L17" i="10"/>
  <c r="K17" i="10"/>
  <c r="J17" i="10"/>
  <c r="H17" i="10"/>
  <c r="I17" i="10" s="1"/>
  <c r="D17" i="10"/>
  <c r="E17" i="10" s="1"/>
  <c r="C17" i="10"/>
  <c r="B17" i="10"/>
  <c r="L16" i="10"/>
  <c r="K16" i="10"/>
  <c r="J16" i="10"/>
  <c r="I16" i="10"/>
  <c r="H16" i="10"/>
  <c r="D16" i="10"/>
  <c r="E16" i="10" s="1"/>
  <c r="C16" i="10"/>
  <c r="B16" i="10"/>
  <c r="K15" i="10"/>
  <c r="L15" i="10" s="1"/>
  <c r="J15" i="10"/>
  <c r="I15" i="10"/>
  <c r="H15" i="10"/>
  <c r="D15" i="10"/>
  <c r="E15" i="10" s="1"/>
  <c r="C15" i="10"/>
  <c r="B15" i="10"/>
  <c r="B21" i="9"/>
  <c r="G20" i="9"/>
  <c r="B20" i="9"/>
  <c r="G19" i="9"/>
  <c r="B19" i="9"/>
  <c r="B12" i="9"/>
  <c r="G11" i="9"/>
  <c r="B11" i="9"/>
  <c r="G10" i="9"/>
  <c r="B10" i="9"/>
  <c r="G9" i="9"/>
  <c r="B9" i="9"/>
  <c r="G8" i="9"/>
  <c r="B8" i="9"/>
  <c r="B15" i="8"/>
  <c r="B13" i="8"/>
  <c r="B14" i="8" s="1"/>
  <c r="B12" i="8"/>
  <c r="B9" i="7"/>
  <c r="B23" i="6"/>
  <c r="B18" i="6"/>
  <c r="B19" i="6" s="1"/>
  <c r="B20" i="6" s="1"/>
  <c r="B21" i="6" s="1"/>
  <c r="B22" i="6" s="1"/>
  <c r="B17" i="6"/>
  <c r="B18" i="5"/>
  <c r="B19" i="5" s="1"/>
  <c r="B13" i="5"/>
  <c r="B14" i="5" s="1"/>
  <c r="B15" i="5" s="1"/>
  <c r="B17" i="4"/>
  <c r="B16" i="4"/>
  <c r="B21" i="4" s="1"/>
  <c r="B18" i="3"/>
  <c r="B19" i="3" s="1"/>
  <c r="B12" i="3"/>
  <c r="B13" i="3" s="1"/>
  <c r="B11" i="3"/>
  <c r="B29" i="2"/>
  <c r="B22" i="2"/>
  <c r="B21" i="2"/>
  <c r="B26" i="2" s="1"/>
  <c r="B16" i="1"/>
  <c r="B17" i="1" s="1"/>
  <c r="B11" i="1"/>
  <c r="B12" i="1" s="1"/>
  <c r="B13" i="1" s="1"/>
  <c r="B15" i="3" l="1"/>
  <c r="B14" i="3"/>
  <c r="B17" i="5"/>
  <c r="B16" i="5"/>
  <c r="B15" i="1"/>
  <c r="B14" i="1"/>
  <c r="B16" i="8"/>
  <c r="B18" i="4"/>
  <c r="B19" i="4" s="1"/>
  <c r="B23" i="2"/>
  <c r="B24" i="2" s="1"/>
  <c r="B25" i="2" s="1"/>
  <c r="B27" i="2" s="1"/>
  <c r="B28" i="2" s="1"/>
  <c r="B10" i="7"/>
  <c r="B11" i="7" s="1"/>
  <c r="B12" i="7" s="1"/>
  <c r="B13" i="7" s="1"/>
  <c r="B20" i="4" l="1"/>
  <c r="B22" i="4" s="1"/>
  <c r="B23" i="4" s="1"/>
  <c r="B24" i="4"/>
  <c r="B16" i="3"/>
  <c r="B17" i="3"/>
  <c r="B30" i="2"/>
  <c r="B31" i="2" s="1"/>
  <c r="B33" i="2" l="1"/>
  <c r="B34" i="2" s="1"/>
  <c r="B32" i="2"/>
  <c r="B25" i="4"/>
  <c r="B26" i="4" s="1"/>
  <c r="B2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<sst xmlns="http://schemas.openxmlformats.org/spreadsheetml/2006/main" count="619" uniqueCount="295">
  <si>
    <t>Sheet-01 Water Flow Calculator</t>
  </si>
  <si>
    <t>Menghitung debit air dari diameter dan kecepatan, termasuk Reynolds Number dan klasifikasi aliran.</t>
  </si>
  <si>
    <t>Input Parameter</t>
  </si>
  <si>
    <t>Value</t>
  </si>
  <si>
    <t>Unit</t>
  </si>
  <si>
    <t>Notes</t>
  </si>
  <si>
    <t>Diameter pipa</t>
  </si>
  <si>
    <t>mm</t>
  </si>
  <si>
    <t>Gunakan diameter dalam pipa</t>
  </si>
  <si>
    <t>Velocity</t>
  </si>
  <si>
    <t>m/s</t>
  </si>
  <si>
    <t>Kecepatan desain</t>
  </si>
  <si>
    <t>Densitas air</t>
  </si>
  <si>
    <t>kg/m³</t>
  </si>
  <si>
    <t>Nilai praktis air</t>
  </si>
  <si>
    <t>Viskositas air</t>
  </si>
  <si>
    <t>Pa·s</t>
  </si>
  <si>
    <t>Air 20°C</t>
  </si>
  <si>
    <t>Calculation / Output</t>
  </si>
  <si>
    <t>Formula</t>
  </si>
  <si>
    <t>Diameter meter</t>
  </si>
  <si>
    <t>m</t>
  </si>
  <si>
    <t>=B5/1000</t>
  </si>
  <si>
    <t>Area</t>
  </si>
  <si>
    <t>m²</t>
  </si>
  <si>
    <t>=PI()*B11^2/4</t>
  </si>
  <si>
    <t>Q</t>
  </si>
  <si>
    <t>m³/s</t>
  </si>
  <si>
    <t>=B12*B6</t>
  </si>
  <si>
    <t>L/s</t>
  </si>
  <si>
    <t>=B13*1000</t>
  </si>
  <si>
    <t>L/min</t>
  </si>
  <si>
    <t>=B13*1000*60</t>
  </si>
  <si>
    <t>Reynolds</t>
  </si>
  <si>
    <t>-</t>
  </si>
  <si>
    <t>=B7*B6*B11/B8</t>
  </si>
  <si>
    <t>Flow Regime</t>
  </si>
  <si>
    <t>=IF(B16&lt;2000,"Laminar",IF(B16&lt;4000,"Transitional","Turbulent"))</t>
  </si>
  <si>
    <t>Sheet-02 Water Pressure Drop</t>
  </si>
  <si>
    <t>Menghitung head loss dan pressure drop air menggunakan Darcy-Weisbach, termasuk major loss dan minor loss.</t>
  </si>
  <si>
    <t>Diameter dalam pipa</t>
  </si>
  <si>
    <t>Panjang pipa</t>
  </si>
  <si>
    <t>Panjang aktual</t>
  </si>
  <si>
    <t>Debit</t>
  </si>
  <si>
    <t>Debit target</t>
  </si>
  <si>
    <t>Kekasaran PVC</t>
  </si>
  <si>
    <t>Elbow qty</t>
  </si>
  <si>
    <t>pcs</t>
  </si>
  <si>
    <t>K elbow</t>
  </si>
  <si>
    <t>Standard elbow 90°</t>
  </si>
  <si>
    <t>Tee qty</t>
  </si>
  <si>
    <t>K tee</t>
  </si>
  <si>
    <t>Valve qty</t>
  </si>
  <si>
    <t>K valve</t>
  </si>
  <si>
    <t>Ball/gate open</t>
  </si>
  <si>
    <t>Static head</t>
  </si>
  <si>
    <t>Elevasi/tekanan statis</t>
  </si>
  <si>
    <t>D_m</t>
  </si>
  <si>
    <t>Q_m3s</t>
  </si>
  <si>
    <t>=B7/1000/60</t>
  </si>
  <si>
    <t>=PI()*B21^2/4</t>
  </si>
  <si>
    <t>=B22/B23</t>
  </si>
  <si>
    <t>=B8*B24*B21/B9</t>
  </si>
  <si>
    <t>Relative roughness</t>
  </si>
  <si>
    <t>=(B10/1000)/B21</t>
  </si>
  <si>
    <t>Darcy f</t>
  </si>
  <si>
    <t>=IF(B25&lt;2000,64/B25,0.25/(LOG10(B26/3.7+5.74/(B25^0.9))^2))</t>
  </si>
  <si>
    <t>Major hf</t>
  </si>
  <si>
    <t>=B27*(B6/B21)*(B24^2/(2*9.81))</t>
  </si>
  <si>
    <t>K total</t>
  </si>
  <si>
    <t>=B11*B12+B13*B14+B15*B16</t>
  </si>
  <si>
    <t>Minor hf</t>
  </si>
  <si>
    <t>=B29*(B24^2/(2*9.81))</t>
  </si>
  <si>
    <t>Total head loss</t>
  </si>
  <si>
    <t>=B28+B30</t>
  </si>
  <si>
    <t>Total dynamic head</t>
  </si>
  <si>
    <t>=B31+B17</t>
  </si>
  <si>
    <t>Delta P</t>
  </si>
  <si>
    <t>Pa</t>
  </si>
  <si>
    <t>=B8*9.81*B31</t>
  </si>
  <si>
    <t>kPa</t>
  </si>
  <si>
    <t>=B33/1000</t>
  </si>
  <si>
    <t>Sheet-03 Air Flow Calculator</t>
  </si>
  <si>
    <t>Menghitung debit udara dari diameter dan kecepatan, termasuk konversi LPM, CFM, dan Nm³/jam.</t>
  </si>
  <si>
    <t>Diameter dalam</t>
  </si>
  <si>
    <t>Kecepatan desain udara</t>
  </si>
  <si>
    <t>Densitas udara</t>
  </si>
  <si>
    <t>Udara atmosfer 20°C</t>
  </si>
  <si>
    <t>Viskositas udara</t>
  </si>
  <si>
    <t>Udara 20°C</t>
  </si>
  <si>
    <t>m³/h</t>
  </si>
  <si>
    <t>=B13*3600</t>
  </si>
  <si>
    <t>CFM</t>
  </si>
  <si>
    <t>=B14/28.3168</t>
  </si>
  <si>
    <t>Nm³/h</t>
  </si>
  <si>
    <t>=B14/16.6667</t>
  </si>
  <si>
    <t>=IF(B18&lt;2000,"Laminar",IF(B18&lt;4000,"Transitional","Turbulent"))</t>
  </si>
  <si>
    <t>Sheet-04 Air Pressure Drop</t>
  </si>
  <si>
    <t>Menghitung pressure drop udara pada pipa/selang menggunakan Darcy-Weisbach dan faktor gesekan otomatis.</t>
  </si>
  <si>
    <t>Debit udara</t>
  </si>
  <si>
    <t>Actual LPM</t>
  </si>
  <si>
    <t>K minor total</t>
  </si>
  <si>
    <t>Elbow/valve/fitting</t>
  </si>
  <si>
    <t>Static pressure</t>
  </si>
  <si>
    <t>Misal kedalaman air</t>
  </si>
  <si>
    <t>Margin</t>
  </si>
  <si>
    <t>%</t>
  </si>
  <si>
    <t>Margin blower</t>
  </si>
  <si>
    <t>=PI()*B16^2/4</t>
  </si>
  <si>
    <t>=B17/B18</t>
  </si>
  <si>
    <t>=B8*B19*B16/B9</t>
  </si>
  <si>
    <t>=(B10/1000)/B16</t>
  </si>
  <si>
    <t>=IF(B20&lt;2000,64/B20,0.25/(LOG10(B21/3.7+5.74/(B20^0.9))^2))</t>
  </si>
  <si>
    <t>Major ΔP</t>
  </si>
  <si>
    <t>=B22*(B6/B16)*(B8*B19^2/2)</t>
  </si>
  <si>
    <t>Minor ΔP</t>
  </si>
  <si>
    <t>=B11*(B8*B19^2/2)</t>
  </si>
  <si>
    <t>Pipe ΔP</t>
  </si>
  <si>
    <t>=(B23+B24)/1000</t>
  </si>
  <si>
    <t>Total ΔP before margin</t>
  </si>
  <si>
    <t>=B25+B12</t>
  </si>
  <si>
    <t>Total ΔP with margin</t>
  </si>
  <si>
    <t>=B26*(1+B13/100)</t>
  </si>
  <si>
    <t>Sheet-05 Orifice Calculator</t>
  </si>
  <si>
    <t>Menghitung debit orifice/nozzle untuk air dan udara, termasuk choked-flow check untuk udara.</t>
  </si>
  <si>
    <t>Diameter orifice</t>
  </si>
  <si>
    <t>Diameter lubang/nozzle</t>
  </si>
  <si>
    <t>Cd</t>
  </si>
  <si>
    <t>Sharp edge orifice</t>
  </si>
  <si>
    <t>ΔP</t>
  </si>
  <si>
    <t>Tekanan diferensial</t>
  </si>
  <si>
    <t>Density</t>
  </si>
  <si>
    <t>Air: 1000, udara: 1.2</t>
  </si>
  <si>
    <t>P1 upstream abs</t>
  </si>
  <si>
    <t>kPa(a)</t>
  </si>
  <si>
    <t>Untuk gas</t>
  </si>
  <si>
    <t>P2 downstream abs</t>
  </si>
  <si>
    <t>=PI()*B13^2/4</t>
  </si>
  <si>
    <t>=B6*B14*SQRT(2*(B7*1000)/B8)</t>
  </si>
  <si>
    <t>=B15*1000*60</t>
  </si>
  <si>
    <t>Jet velocity</t>
  </si>
  <si>
    <t>=B15/B14</t>
  </si>
  <si>
    <t>Pressure ratio P2/P1</t>
  </si>
  <si>
    <t>=B10/B9</t>
  </si>
  <si>
    <t>Choked check (air only)</t>
  </si>
  <si>
    <t>=IF(B18&lt;0.528,"Potential Choked","Not Choked")</t>
  </si>
  <si>
    <t>Sheet-06 Diffuser Calculator</t>
  </si>
  <si>
    <t>Menghitung debit udara per hole, debit total diffuser, dan tekanan minimum blower.</t>
  </si>
  <si>
    <t>Diameter hole</t>
  </si>
  <si>
    <t>Diameter lubang diffuser</t>
  </si>
  <si>
    <t>Jumlah hole</t>
  </si>
  <si>
    <t>Jumlah lubang aktif</t>
  </si>
  <si>
    <t>Kedalaman air</t>
  </si>
  <si>
    <t>Submergence</t>
  </si>
  <si>
    <t>Diffuser hole</t>
  </si>
  <si>
    <t>Density air</t>
  </si>
  <si>
    <t>Untuk hidrostatik</t>
  </si>
  <si>
    <t>Density udara</t>
  </si>
  <si>
    <t>Untuk debit udara</t>
  </si>
  <si>
    <t>ΔP across hole</t>
  </si>
  <si>
    <t>Driving pressure across hole</t>
  </si>
  <si>
    <t>Additional diffuser ΔP</t>
  </si>
  <si>
    <t>Membrane/stone/etc</t>
  </si>
  <si>
    <t>Piping ΔP</t>
  </si>
  <si>
    <t>Manifold + selang</t>
  </si>
  <si>
    <t>Hydrostatic pressure</t>
  </si>
  <si>
    <t>=B9*9.81*B7/1000</t>
  </si>
  <si>
    <t>Hole diameter meter</t>
  </si>
  <si>
    <t>Area per hole</t>
  </si>
  <si>
    <t>=PI()*B18^2/4</t>
  </si>
  <si>
    <t>Q per hole</t>
  </si>
  <si>
    <t>=B8*B19*SQRT(2*(B11*1000)/B10)</t>
  </si>
  <si>
    <t>=B20*1000*60</t>
  </si>
  <si>
    <t>Q total</t>
  </si>
  <si>
    <t>=B21*B6</t>
  </si>
  <si>
    <t>Minimum blower pressure</t>
  </si>
  <si>
    <t>=(B17+B12+B13)*(1+B14/100)</t>
  </si>
  <si>
    <t>Sheet-07 Pipe Sizing Calculator</t>
  </si>
  <si>
    <t>Menentukan diameter pipa minimum berdasarkan target debit dan target kecepatan.</t>
  </si>
  <si>
    <t>PVC ID Table</t>
  </si>
  <si>
    <t>Nominal Note</t>
  </si>
  <si>
    <t>Target debit</t>
  </si>
  <si>
    <t>Debit desain</t>
  </si>
  <si>
    <t>Available ID</t>
  </si>
  <si>
    <t>Target velocity</t>
  </si>
  <si>
    <t>Air 0.5–2 m/s; udara 5–15 m/s</t>
  </si>
  <si>
    <t>=B5/1000/60</t>
  </si>
  <si>
    <t>Diameter minimum</t>
  </si>
  <si>
    <t>=SQRT(4*B9/(PI()*B6))</t>
  </si>
  <si>
    <t>=B10*1000</t>
  </si>
  <si>
    <t>PVC ID selected</t>
  </si>
  <si>
    <t>=MINIFS(F5:F17,F5:F17,"&gt;="&amp;B11)</t>
  </si>
  <si>
    <t>Velocity actual</t>
  </si>
  <si>
    <t>=B9/(PI()*(B12/1000)^2/4)</t>
  </si>
  <si>
    <t>Sheet-08 Reynolds Calculator</t>
  </si>
  <si>
    <t>Menghitung Reynolds Number, klasifikasi aliran, dan faktor gesekan awal.</t>
  </si>
  <si>
    <t>Reynolds Range</t>
  </si>
  <si>
    <t>Classification</t>
  </si>
  <si>
    <t>Recommended Model</t>
  </si>
  <si>
    <t>Re &lt; 2000</t>
  </si>
  <si>
    <t>Laminar</t>
  </si>
  <si>
    <t>Hagen-Poiseuille / f=64/Re</t>
  </si>
  <si>
    <t>Viscosity</t>
  </si>
  <si>
    <t>Air: 0.001, udara: 1.8E-5</t>
  </si>
  <si>
    <t>2000 &lt; Re &lt; 4000</t>
  </si>
  <si>
    <t>Transitional</t>
  </si>
  <si>
    <t>Avoid for design if possible</t>
  </si>
  <si>
    <t>Diameter</t>
  </si>
  <si>
    <t>Re &gt; 4000</t>
  </si>
  <si>
    <t>Turbulent</t>
  </si>
  <si>
    <t>Darcy-Weisbach + Moody/Swamee-Jain</t>
  </si>
  <si>
    <t>Kecepatan</t>
  </si>
  <si>
    <t>Roughness</t>
  </si>
  <si>
    <t>PVC</t>
  </si>
  <si>
    <t>=B7/1000</t>
  </si>
  <si>
    <t>=B5*B8*B12/B6</t>
  </si>
  <si>
    <t>Regime</t>
  </si>
  <si>
    <t>=IF(B13&lt;2000,"Laminar",IF(B13&lt;4000,"Transitional","Turbulent"))</t>
  </si>
  <si>
    <t>=(B9/1000)/B12</t>
  </si>
  <si>
    <t>=IF(B13&lt;2000,64/B13,0.25/(LOG10(B15/3.7+5.74/(B13^0.9))^2))</t>
  </si>
  <si>
    <t>Sheet-09 Unit Converter</t>
  </si>
  <si>
    <t>Konversi satuan praktis untuk debit, tekanan, panjang, dan temperatur.</t>
  </si>
  <si>
    <t>Flow Input</t>
  </si>
  <si>
    <t>Pressure Input</t>
  </si>
  <si>
    <t>Flow</t>
  </si>
  <si>
    <t>Input debit</t>
  </si>
  <si>
    <t>Pressure</t>
  </si>
  <si>
    <t>Input pressure</t>
  </si>
  <si>
    <t>Flow Output</t>
  </si>
  <si>
    <t>Pressure Output</t>
  </si>
  <si>
    <t>=G5*1000</t>
  </si>
  <si>
    <t>=B5/60</t>
  </si>
  <si>
    <t>bar</t>
  </si>
  <si>
    <t>=G5/100</t>
  </si>
  <si>
    <t>=B5/1000*60</t>
  </si>
  <si>
    <t>psi</t>
  </si>
  <si>
    <t>=G5/6.89476</t>
  </si>
  <si>
    <t>=B5/28.3168</t>
  </si>
  <si>
    <t>mH2O</t>
  </si>
  <si>
    <t>mH₂O</t>
  </si>
  <si>
    <t>=G5/9.81</t>
  </si>
  <si>
    <t>=B5/16.6667</t>
  </si>
  <si>
    <t>Length Input</t>
  </si>
  <si>
    <t>Temperature Input</t>
  </si>
  <si>
    <t>Length</t>
  </si>
  <si>
    <t>Input length</t>
  </si>
  <si>
    <t>Temperature</t>
  </si>
  <si>
    <t>°C</t>
  </si>
  <si>
    <t>Input temperature</t>
  </si>
  <si>
    <t>Length Output</t>
  </si>
  <si>
    <t>Temperature Output</t>
  </si>
  <si>
    <t>=B16/1000</t>
  </si>
  <si>
    <t>K</t>
  </si>
  <si>
    <t>=G16+273.15</t>
  </si>
  <si>
    <t>inch</t>
  </si>
  <si>
    <t>=B16/25.4</t>
  </si>
  <si>
    <t>°F</t>
  </si>
  <si>
    <t>=G16*9/5+32</t>
  </si>
  <si>
    <t>ft</t>
  </si>
  <si>
    <t>=B16/304.8</t>
  </si>
  <si>
    <t>Sheet-10 Practical Tables</t>
  </si>
  <si>
    <t>Tabel referensi cepat untuk air, udara, orifice, dan diffuser. Semua tabel menggunakan formula aktif.</t>
  </si>
  <si>
    <t>Assumption</t>
  </si>
  <si>
    <t>Water velocity (m/s)</t>
  </si>
  <si>
    <t>Air velocity (m/s)</t>
  </si>
  <si>
    <t>Water density (kg/m³)</t>
  </si>
  <si>
    <t>Air density (kg/m³)</t>
  </si>
  <si>
    <t>Water viscosity (Pa·s)</t>
  </si>
  <si>
    <t>Air viscosity (Pa·s)</t>
  </si>
  <si>
    <t>Water Practical Table @ V=1 m/s</t>
  </si>
  <si>
    <t>Air Practical Table @ V=10 m/s</t>
  </si>
  <si>
    <t>Diameter (mm)</t>
  </si>
  <si>
    <t>Q (L/min)</t>
  </si>
  <si>
    <t>Re</t>
  </si>
  <si>
    <t>hf (m/m)</t>
  </si>
  <si>
    <t>ΔP (kPa/m)</t>
  </si>
  <si>
    <t>Q (CFM)</t>
  </si>
  <si>
    <t>ΔP (Pa/m)</t>
  </si>
  <si>
    <t>Orifice Water Table</t>
  </si>
  <si>
    <t>Orifice Air Table</t>
  </si>
  <si>
    <t>Debit (L/min)</t>
  </si>
  <si>
    <t>Orifice water</t>
  </si>
  <si>
    <t>Orifice air</t>
  </si>
  <si>
    <t>Diffuser Table</t>
  </si>
  <si>
    <t>Depth m</t>
  </si>
  <si>
    <t>Hole Diameter (mm)</t>
  </si>
  <si>
    <t>Debit per Hole (L/min)</t>
  </si>
  <si>
    <t>Hydrostatic kPa</t>
  </si>
  <si>
    <t>Parameter</t>
  </si>
  <si>
    <t>L_or_t</t>
  </si>
  <si>
    <t>Input</t>
  </si>
  <si>
    <t>D_or_d</t>
  </si>
  <si>
    <t>Ratio</t>
  </si>
  <si>
    <t>Model</t>
  </si>
  <si>
    <t>=IF(Ratio&lt;10,"Orifice","Pipe")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</si>
</sst>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1"/>
      <name val="Carlito"/>
    </font>
    <font>
      <b/>
      <sz val="14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b/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34E4A"/>
      </patternFill>
    </fill>
    <fill>
      <patternFill patternType="solid">
        <fgColor rgb="FFF3F4F6"/>
      </patternFill>
    </fill>
    <fill>
      <patternFill patternType="solid">
        <fgColor rgb="FF0F766E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0" fillId="5" borderId="0" xfId="0" applyFill="1" applyAlignment="1">
      <alignment wrapText="1"/>
    </xf>
    <xf numFmtId="164" fontId="0" fillId="6" borderId="0" xfId="0" applyNumberFormat="1" applyFill="1" applyAlignment="1">
      <alignment wrapText="1"/>
    </xf>
    <xf numFmtId="0" fontId="0" fillId="6" borderId="0" xfId="0" applyFill="1" applyAlignment="1">
      <alignment wrapText="1"/>
    </xf>
    <xf numFmtId="164" fontId="0" fillId="0" borderId="0" xfId="0" applyNumberFormat="1" applyAlignment="1">
      <alignment wrapText="1"/>
    </xf>
    <xf numFmtId="0" fontId="0" fillId="3" borderId="0" xfId="0" applyFill="1" applyAlignment="1">
      <alignment wrapText="1"/>
    </xf>
    <xf numFmtId="0" fontId="1" fillId="2" borderId="0" xfId="0" applyFont="1" applyFill="1" applyAlignment="1">
      <alignment horizontal="left" vertical="center" wrapText="1"/>
    </xf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2" fillId="3" borderId="0" xfId="0" applyFont="1" applyFill="1" applyAlignment="1">
      <alignment wrapText="1"/>
    </xf>
    <xf numFmtId="0" fontId="4" fillId="6" borderId="0" xfId="0" applyFont="1" applyFill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"/>
  <sheetViews>
    <sheetView workbookViewId="0">
      <selection sqref="A1:H1"/>
    </sheetView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0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1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 ht="28.5">
      <c r="A5" s="1" t="s">
        <v>6</v>
      </c>
      <c r="B5" s="3">
        <v>25</v>
      </c>
      <c r="C5" s="1" t="s">
        <v>7</v>
      </c>
      <c r="D5" s="1" t="s">
        <v>8</v>
      </c>
      <c r="E5" s="1"/>
      <c r="F5" s="1"/>
      <c r="G5" s="1"/>
      <c r="H5" s="1"/>
      <c r="I5" s="1"/>
      <c r="J5" s="1"/>
      <c r="K5" s="1"/>
      <c r="L5" s="1"/>
    </row>
    <row r="6" spans="1:12">
      <c r="A6" s="1" t="s">
        <v>9</v>
      </c>
      <c r="B6" s="3">
        <v>1</v>
      </c>
      <c r="C6" s="1" t="s">
        <v>10</v>
      </c>
      <c r="D6" s="1" t="s">
        <v>11</v>
      </c>
      <c r="E6" s="1"/>
      <c r="F6" s="1"/>
      <c r="G6" s="1"/>
      <c r="H6" s="1"/>
      <c r="I6" s="1"/>
      <c r="J6" s="1"/>
      <c r="K6" s="1"/>
      <c r="L6" s="1"/>
    </row>
    <row r="7" spans="1:12">
      <c r="A7" s="1" t="s">
        <v>12</v>
      </c>
      <c r="B7" s="3">
        <v>1000</v>
      </c>
      <c r="C7" s="1" t="s">
        <v>13</v>
      </c>
      <c r="D7" s="1" t="s">
        <v>14</v>
      </c>
      <c r="E7" s="1"/>
      <c r="F7" s="1"/>
      <c r="G7" s="1"/>
      <c r="H7" s="1"/>
      <c r="I7" s="1"/>
      <c r="J7" s="1"/>
      <c r="K7" s="1"/>
      <c r="L7" s="1"/>
    </row>
    <row r="8" spans="1:12">
      <c r="A8" s="1" t="s">
        <v>15</v>
      </c>
      <c r="B8" s="3">
        <v>1E-3</v>
      </c>
      <c r="C8" s="1" t="s">
        <v>16</v>
      </c>
      <c r="D8" s="1" t="s">
        <v>17</v>
      </c>
      <c r="E8" s="1"/>
      <c r="F8" s="1"/>
      <c r="G8" s="1"/>
      <c r="H8" s="1"/>
      <c r="I8" s="1"/>
      <c r="J8" s="1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5">
      <c r="A10" s="2" t="s">
        <v>18</v>
      </c>
      <c r="B10" s="2" t="s">
        <v>3</v>
      </c>
      <c r="C10" s="2" t="s">
        <v>4</v>
      </c>
      <c r="D10" s="2" t="s">
        <v>19</v>
      </c>
      <c r="E10" s="1"/>
      <c r="F10" s="1"/>
      <c r="G10" s="1"/>
      <c r="H10" s="1"/>
      <c r="I10" s="1"/>
      <c r="J10" s="1"/>
      <c r="K10" s="1"/>
      <c r="L10" s="1"/>
    </row>
    <row r="11" spans="1:12">
      <c r="A11" s="1" t="s">
        <v>20</v>
      </c>
      <c r="B11" s="4">
        <f>B5/1000</f>
        <v>2.5000000000000001E-2</v>
      </c>
      <c r="C11" s="1" t="s">
        <v>21</v>
      </c>
      <c r="D11" s="1" t="s">
        <v>22</v>
      </c>
      <c r="E11" s="1"/>
      <c r="F11" s="1"/>
      <c r="G11" s="1"/>
      <c r="H11" s="1"/>
      <c r="I11" s="1"/>
      <c r="J11" s="1"/>
      <c r="K11" s="1"/>
      <c r="L11" s="1"/>
    </row>
    <row r="12" spans="1:12">
      <c r="A12" s="1" t="s">
        <v>23</v>
      </c>
      <c r="B12" s="4">
        <f>PI()*B11^2/4</f>
        <v>4.9087385212340522E-4</v>
      </c>
      <c r="C12" s="1" t="s">
        <v>24</v>
      </c>
      <c r="D12" s="1" t="s">
        <v>25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26</v>
      </c>
      <c r="B13" s="4">
        <f>B12*B6</f>
        <v>4.9087385212340522E-4</v>
      </c>
      <c r="C13" s="1" t="s">
        <v>27</v>
      </c>
      <c r="D13" s="1" t="s">
        <v>28</v>
      </c>
      <c r="E13" s="1"/>
      <c r="F13" s="1"/>
      <c r="G13" s="1"/>
      <c r="H13" s="1"/>
      <c r="I13" s="1"/>
      <c r="J13" s="1"/>
      <c r="K13" s="1"/>
      <c r="L13" s="1"/>
    </row>
    <row r="14" spans="1:12">
      <c r="A14" s="1" t="s">
        <v>26</v>
      </c>
      <c r="B14" s="4">
        <f>B13*1000</f>
        <v>0.49087385212340523</v>
      </c>
      <c r="C14" s="1" t="s">
        <v>29</v>
      </c>
      <c r="D14" s="1" t="s">
        <v>30</v>
      </c>
      <c r="E14" s="1"/>
      <c r="F14" s="1"/>
      <c r="G14" s="1"/>
      <c r="H14" s="1"/>
      <c r="I14" s="1"/>
      <c r="J14" s="1"/>
      <c r="K14" s="1"/>
      <c r="L14" s="1"/>
    </row>
    <row r="15" spans="1:12">
      <c r="A15" s="1" t="s">
        <v>26</v>
      </c>
      <c r="B15" s="4">
        <f>B13*1000*60</f>
        <v>29.452431127404314</v>
      </c>
      <c r="C15" s="1" t="s">
        <v>31</v>
      </c>
      <c r="D15" s="1" t="s">
        <v>32</v>
      </c>
      <c r="E15" s="1"/>
      <c r="F15" s="1"/>
      <c r="G15" s="1"/>
      <c r="H15" s="1"/>
      <c r="I15" s="1"/>
      <c r="J15" s="1"/>
      <c r="K15" s="1"/>
      <c r="L15" s="1"/>
    </row>
    <row r="16" spans="1:12">
      <c r="A16" s="1" t="s">
        <v>33</v>
      </c>
      <c r="B16" s="4">
        <f>B7*B6*B11/B8</f>
        <v>25000</v>
      </c>
      <c r="C16" s="1" t="s">
        <v>34</v>
      </c>
      <c r="D16" s="1" t="s">
        <v>35</v>
      </c>
      <c r="E16" s="1"/>
      <c r="F16" s="1"/>
      <c r="G16" s="1"/>
      <c r="H16" s="1"/>
      <c r="I16" s="1"/>
      <c r="J16" s="1"/>
      <c r="K16" s="1"/>
      <c r="L16" s="1"/>
    </row>
    <row r="17" spans="1:12" ht="57">
      <c r="A17" s="1" t="s">
        <v>36</v>
      </c>
      <c r="B17" s="5" t="str">
        <f>IF(B16&lt;2000,"Laminar",IF(B16&lt;4000,"Transitional","Turbulent"))</f>
        <v>Turbulent</v>
      </c>
      <c r="C17" s="1" t="s">
        <v>34</v>
      </c>
      <c r="D17" s="1" t="s">
        <v>37</v>
      </c>
      <c r="E17" s="1"/>
      <c r="F17" s="1"/>
      <c r="G17" s="1"/>
      <c r="H17" s="1"/>
      <c r="I17" s="1"/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38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39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 ht="28.5">
      <c r="A5" s="1" t="s">
        <v>6</v>
      </c>
      <c r="B5" s="3">
        <v>25</v>
      </c>
      <c r="C5" s="1" t="s">
        <v>7</v>
      </c>
      <c r="D5" s="1" t="s">
        <v>40</v>
      </c>
      <c r="E5" s="1"/>
      <c r="F5" s="1"/>
      <c r="G5" s="1"/>
      <c r="H5" s="1"/>
      <c r="I5" s="1"/>
      <c r="J5" s="1"/>
      <c r="K5" s="1"/>
      <c r="L5" s="1"/>
    </row>
    <row r="6" spans="1:12">
      <c r="A6" s="1" t="s">
        <v>41</v>
      </c>
      <c r="B6" s="3">
        <v>20</v>
      </c>
      <c r="C6" s="1" t="s">
        <v>21</v>
      </c>
      <c r="D6" s="1" t="s">
        <v>42</v>
      </c>
      <c r="E6" s="1"/>
      <c r="F6" s="1"/>
      <c r="G6" s="1"/>
      <c r="H6" s="1"/>
      <c r="I6" s="1"/>
      <c r="J6" s="1"/>
      <c r="K6" s="1"/>
      <c r="L6" s="1"/>
    </row>
    <row r="7" spans="1:12">
      <c r="A7" s="1" t="s">
        <v>43</v>
      </c>
      <c r="B7" s="3">
        <v>30</v>
      </c>
      <c r="C7" s="1" t="s">
        <v>31</v>
      </c>
      <c r="D7" s="1" t="s">
        <v>44</v>
      </c>
      <c r="E7" s="1"/>
      <c r="F7" s="1"/>
      <c r="G7" s="1"/>
      <c r="H7" s="1"/>
      <c r="I7" s="1"/>
      <c r="J7" s="1"/>
      <c r="K7" s="1"/>
      <c r="L7" s="1"/>
    </row>
    <row r="8" spans="1:12">
      <c r="A8" s="1" t="s">
        <v>12</v>
      </c>
      <c r="B8" s="3">
        <v>1000</v>
      </c>
      <c r="C8" s="1" t="s">
        <v>13</v>
      </c>
      <c r="D8" s="1"/>
      <c r="E8" s="1"/>
      <c r="F8" s="1"/>
      <c r="G8" s="1"/>
      <c r="H8" s="1"/>
      <c r="I8" s="1"/>
      <c r="J8" s="1"/>
      <c r="K8" s="1"/>
      <c r="L8" s="1"/>
    </row>
    <row r="9" spans="1:12">
      <c r="A9" s="1" t="s">
        <v>15</v>
      </c>
      <c r="B9" s="3">
        <v>1E-3</v>
      </c>
      <c r="C9" s="1" t="s">
        <v>16</v>
      </c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 t="s">
        <v>45</v>
      </c>
      <c r="B10" s="3">
        <v>1.5E-3</v>
      </c>
      <c r="C10" s="1" t="s">
        <v>7</v>
      </c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1" t="s">
        <v>46</v>
      </c>
      <c r="B11" s="3">
        <v>4</v>
      </c>
      <c r="C11" s="1" t="s">
        <v>47</v>
      </c>
      <c r="D11" s="1"/>
      <c r="E11" s="1"/>
      <c r="F11" s="1"/>
      <c r="G11" s="1"/>
      <c r="H11" s="1"/>
      <c r="I11" s="1"/>
      <c r="J11" s="1"/>
      <c r="K11" s="1"/>
      <c r="L11" s="1"/>
    </row>
    <row r="12" spans="1:12" ht="28.5">
      <c r="A12" s="1" t="s">
        <v>48</v>
      </c>
      <c r="B12" s="3">
        <v>0.9</v>
      </c>
      <c r="C12" s="1" t="s">
        <v>34</v>
      </c>
      <c r="D12" s="1" t="s">
        <v>49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50</v>
      </c>
      <c r="B13" s="3">
        <v>1</v>
      </c>
      <c r="C13" s="1" t="s">
        <v>47</v>
      </c>
      <c r="D13" s="1"/>
      <c r="E13" s="1"/>
      <c r="F13" s="1"/>
      <c r="G13" s="1"/>
      <c r="H13" s="1"/>
      <c r="I13" s="1"/>
      <c r="J13" s="1"/>
      <c r="K13" s="1"/>
      <c r="L13" s="1"/>
    </row>
    <row r="14" spans="1:12">
      <c r="A14" s="1" t="s">
        <v>51</v>
      </c>
      <c r="B14" s="3">
        <v>1</v>
      </c>
      <c r="C14" s="1" t="s">
        <v>34</v>
      </c>
      <c r="D14" s="1"/>
      <c r="E14" s="1"/>
      <c r="F14" s="1"/>
      <c r="G14" s="1"/>
      <c r="H14" s="1"/>
      <c r="I14" s="1"/>
      <c r="J14" s="1"/>
      <c r="K14" s="1"/>
      <c r="L14" s="1"/>
    </row>
    <row r="15" spans="1:12">
      <c r="A15" s="1" t="s">
        <v>52</v>
      </c>
      <c r="B15" s="3">
        <v>1</v>
      </c>
      <c r="C15" s="1" t="s">
        <v>47</v>
      </c>
      <c r="D15" s="1"/>
      <c r="E15" s="1"/>
      <c r="F15" s="1"/>
      <c r="G15" s="1"/>
      <c r="H15" s="1"/>
      <c r="I15" s="1"/>
      <c r="J15" s="1"/>
      <c r="K15" s="1"/>
      <c r="L15" s="1"/>
    </row>
    <row r="16" spans="1:12">
      <c r="A16" s="1" t="s">
        <v>53</v>
      </c>
      <c r="B16" s="3">
        <v>0.2</v>
      </c>
      <c r="C16" s="1" t="s">
        <v>34</v>
      </c>
      <c r="D16" s="1" t="s">
        <v>54</v>
      </c>
      <c r="E16" s="1"/>
      <c r="F16" s="1"/>
      <c r="G16" s="1"/>
      <c r="H16" s="1"/>
      <c r="I16" s="1"/>
      <c r="J16" s="1"/>
      <c r="K16" s="1"/>
      <c r="L16" s="1"/>
    </row>
    <row r="17" spans="1:12" ht="28.5">
      <c r="A17" s="1" t="s">
        <v>55</v>
      </c>
      <c r="B17" s="3">
        <v>2</v>
      </c>
      <c r="C17" s="1" t="s">
        <v>21</v>
      </c>
      <c r="D17" s="1" t="s">
        <v>56</v>
      </c>
      <c r="E17" s="1"/>
      <c r="F17" s="1"/>
      <c r="G17" s="1"/>
      <c r="H17" s="1"/>
      <c r="I17" s="1"/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15">
      <c r="A20" s="2" t="s">
        <v>18</v>
      </c>
      <c r="B20" s="2" t="s">
        <v>3</v>
      </c>
      <c r="C20" s="2" t="s">
        <v>4</v>
      </c>
      <c r="D20" s="2" t="s">
        <v>19</v>
      </c>
      <c r="E20" s="1"/>
      <c r="F20" s="1"/>
      <c r="G20" s="1"/>
      <c r="H20" s="1"/>
      <c r="I20" s="1"/>
      <c r="J20" s="1"/>
      <c r="K20" s="1"/>
      <c r="L20" s="1"/>
    </row>
    <row r="21" spans="1:12">
      <c r="A21" s="1" t="s">
        <v>57</v>
      </c>
      <c r="B21" s="4">
        <f>B5/1000</f>
        <v>2.5000000000000001E-2</v>
      </c>
      <c r="C21" s="1" t="s">
        <v>21</v>
      </c>
      <c r="D21" s="1" t="s">
        <v>22</v>
      </c>
      <c r="E21" s="1"/>
      <c r="F21" s="1"/>
      <c r="G21" s="1"/>
      <c r="H21" s="1"/>
      <c r="I21" s="1"/>
      <c r="J21" s="1"/>
      <c r="K21" s="1"/>
      <c r="L21" s="1"/>
    </row>
    <row r="22" spans="1:12">
      <c r="A22" s="1" t="s">
        <v>58</v>
      </c>
      <c r="B22" s="4">
        <f>B7/1000/60</f>
        <v>5.0000000000000001E-4</v>
      </c>
      <c r="C22" s="1" t="s">
        <v>27</v>
      </c>
      <c r="D22" s="1" t="s">
        <v>59</v>
      </c>
      <c r="E22" s="1"/>
      <c r="F22" s="1"/>
      <c r="G22" s="1"/>
      <c r="H22" s="1"/>
      <c r="I22" s="1"/>
      <c r="J22" s="1"/>
      <c r="K22" s="1"/>
      <c r="L22" s="1"/>
    </row>
    <row r="23" spans="1:12">
      <c r="A23" s="1" t="s">
        <v>23</v>
      </c>
      <c r="B23" s="4">
        <f>PI()*B21^2/4</f>
        <v>4.9087385212340522E-4</v>
      </c>
      <c r="C23" s="1" t="s">
        <v>24</v>
      </c>
      <c r="D23" s="1" t="s">
        <v>60</v>
      </c>
      <c r="E23" s="1"/>
      <c r="F23" s="1"/>
      <c r="G23" s="1"/>
      <c r="H23" s="1"/>
      <c r="I23" s="1"/>
      <c r="J23" s="1"/>
      <c r="K23" s="1"/>
      <c r="L23" s="1"/>
    </row>
    <row r="24" spans="1:12">
      <c r="A24" s="1" t="s">
        <v>9</v>
      </c>
      <c r="B24" s="4">
        <f>B22/B23</f>
        <v>1.0185916357881302</v>
      </c>
      <c r="C24" s="1" t="s">
        <v>10</v>
      </c>
      <c r="D24" s="1" t="s">
        <v>61</v>
      </c>
      <c r="E24" s="1"/>
      <c r="F24" s="1"/>
      <c r="G24" s="1"/>
      <c r="H24" s="1"/>
      <c r="I24" s="1"/>
      <c r="J24" s="1"/>
      <c r="K24" s="1"/>
      <c r="L24" s="1"/>
    </row>
    <row r="25" spans="1:12">
      <c r="A25" s="1" t="s">
        <v>33</v>
      </c>
      <c r="B25" s="4">
        <f>B8*B24*B21/B9</f>
        <v>25464.790894703256</v>
      </c>
      <c r="C25" s="1" t="s">
        <v>34</v>
      </c>
      <c r="D25" s="1" t="s">
        <v>62</v>
      </c>
      <c r="E25" s="1"/>
      <c r="F25" s="1"/>
      <c r="G25" s="1"/>
      <c r="H25" s="1"/>
      <c r="I25" s="1"/>
      <c r="J25" s="1"/>
      <c r="K25" s="1"/>
      <c r="L25" s="1"/>
    </row>
    <row r="26" spans="1:12">
      <c r="A26" s="1" t="s">
        <v>63</v>
      </c>
      <c r="B26" s="4">
        <f>(B10/1000)/B21</f>
        <v>6.0000000000000002E-5</v>
      </c>
      <c r="C26" s="1" t="s">
        <v>34</v>
      </c>
      <c r="D26" s="1" t="s">
        <v>64</v>
      </c>
      <c r="E26" s="1"/>
      <c r="F26" s="1"/>
      <c r="G26" s="1"/>
      <c r="H26" s="1"/>
      <c r="I26" s="1"/>
      <c r="J26" s="1"/>
      <c r="K26" s="1"/>
      <c r="L26" s="1"/>
    </row>
    <row r="27" spans="1:12" ht="57">
      <c r="A27" s="1" t="s">
        <v>65</v>
      </c>
      <c r="B27" s="4">
        <f>IF(B25&lt;2000,64/B25,0.25/(LOG10(B26/3.7+5.74/(B25^0.9))^2))</f>
        <v>2.4486687320236622E-2</v>
      </c>
      <c r="C27" s="1" t="s">
        <v>34</v>
      </c>
      <c r="D27" s="1" t="s">
        <v>66</v>
      </c>
      <c r="E27" s="1"/>
      <c r="F27" s="1"/>
      <c r="G27" s="1"/>
      <c r="H27" s="1"/>
      <c r="I27" s="1"/>
      <c r="J27" s="1"/>
      <c r="K27" s="1"/>
      <c r="L27" s="1"/>
    </row>
    <row r="28" spans="1:12" ht="28.5">
      <c r="A28" s="1" t="s">
        <v>67</v>
      </c>
      <c r="B28" s="4">
        <f>B27*(B6/B21)*(B24^2/(2*9.81))</f>
        <v>1.0359081044618093</v>
      </c>
      <c r="C28" s="1" t="s">
        <v>21</v>
      </c>
      <c r="D28" s="1" t="s">
        <v>68</v>
      </c>
      <c r="E28" s="1"/>
      <c r="F28" s="1"/>
      <c r="G28" s="1"/>
      <c r="H28" s="1"/>
      <c r="I28" s="1"/>
      <c r="J28" s="1"/>
      <c r="K28" s="1"/>
      <c r="L28" s="1"/>
    </row>
    <row r="29" spans="1:12" ht="28.5">
      <c r="A29" s="1" t="s">
        <v>69</v>
      </c>
      <c r="B29" s="4">
        <f>B11*B12+B13*B14+B15*B16</f>
        <v>4.8</v>
      </c>
      <c r="C29" s="1" t="s">
        <v>34</v>
      </c>
      <c r="D29" s="1" t="s">
        <v>70</v>
      </c>
      <c r="E29" s="1"/>
      <c r="F29" s="1"/>
      <c r="G29" s="1"/>
      <c r="H29" s="1"/>
      <c r="I29" s="1"/>
      <c r="J29" s="1"/>
      <c r="K29" s="1"/>
      <c r="L29" s="1"/>
    </row>
    <row r="30" spans="1:12" ht="28.5">
      <c r="A30" s="1" t="s">
        <v>71</v>
      </c>
      <c r="B30" s="4">
        <f>B29*(B24^2/(2*9.81))</f>
        <v>0.25382970532049876</v>
      </c>
      <c r="C30" s="1" t="s">
        <v>21</v>
      </c>
      <c r="D30" s="1" t="s">
        <v>72</v>
      </c>
      <c r="E30" s="1"/>
      <c r="F30" s="1"/>
      <c r="G30" s="1"/>
      <c r="H30" s="1"/>
      <c r="I30" s="1"/>
      <c r="J30" s="1"/>
      <c r="K30" s="1"/>
      <c r="L30" s="1"/>
    </row>
    <row r="31" spans="1:12">
      <c r="A31" s="1" t="s">
        <v>73</v>
      </c>
      <c r="B31" s="4">
        <f>B28+B30</f>
        <v>1.289737809782308</v>
      </c>
      <c r="C31" s="1" t="s">
        <v>21</v>
      </c>
      <c r="D31" s="1" t="s">
        <v>74</v>
      </c>
      <c r="E31" s="1"/>
      <c r="F31" s="1"/>
      <c r="G31" s="1"/>
      <c r="H31" s="1"/>
      <c r="I31" s="1"/>
      <c r="J31" s="1"/>
      <c r="K31" s="1"/>
      <c r="L31" s="1"/>
    </row>
    <row r="32" spans="1:12">
      <c r="A32" s="1" t="s">
        <v>75</v>
      </c>
      <c r="B32" s="4">
        <f>B31+B17</f>
        <v>3.289737809782308</v>
      </c>
      <c r="C32" s="1" t="s">
        <v>21</v>
      </c>
      <c r="D32" s="1" t="s">
        <v>76</v>
      </c>
      <c r="E32" s="1"/>
      <c r="F32" s="1"/>
      <c r="G32" s="1"/>
      <c r="H32" s="1"/>
      <c r="I32" s="1"/>
      <c r="J32" s="1"/>
      <c r="K32" s="1"/>
      <c r="L32" s="1"/>
    </row>
    <row r="33" spans="1:12">
      <c r="A33" s="1" t="s">
        <v>77</v>
      </c>
      <c r="B33" s="4">
        <f>B8*9.81*B31</f>
        <v>12652.327913964442</v>
      </c>
      <c r="C33" s="1" t="s">
        <v>78</v>
      </c>
      <c r="D33" s="1" t="s">
        <v>79</v>
      </c>
      <c r="E33" s="1"/>
      <c r="F33" s="1"/>
      <c r="G33" s="1"/>
      <c r="H33" s="1"/>
      <c r="I33" s="1"/>
      <c r="J33" s="1"/>
      <c r="K33" s="1"/>
      <c r="L33" s="1"/>
    </row>
    <row r="34" spans="1:12">
      <c r="A34" s="1" t="s">
        <v>77</v>
      </c>
      <c r="B34" s="4">
        <f>B33/1000</f>
        <v>12.652327913964442</v>
      </c>
      <c r="C34" s="1" t="s">
        <v>80</v>
      </c>
      <c r="D34" s="1" t="s">
        <v>81</v>
      </c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82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83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>
      <c r="A5" s="1" t="s">
        <v>6</v>
      </c>
      <c r="B5" s="3">
        <v>25</v>
      </c>
      <c r="C5" s="1" t="s">
        <v>7</v>
      </c>
      <c r="D5" s="1" t="s">
        <v>84</v>
      </c>
      <c r="E5" s="1"/>
      <c r="F5" s="1"/>
      <c r="G5" s="1"/>
      <c r="H5" s="1"/>
      <c r="I5" s="1"/>
      <c r="J5" s="1"/>
      <c r="K5" s="1"/>
      <c r="L5" s="1"/>
    </row>
    <row r="6" spans="1:12" ht="28.5">
      <c r="A6" s="1" t="s">
        <v>9</v>
      </c>
      <c r="B6" s="3">
        <v>10</v>
      </c>
      <c r="C6" s="1" t="s">
        <v>10</v>
      </c>
      <c r="D6" s="1" t="s">
        <v>85</v>
      </c>
      <c r="E6" s="1"/>
      <c r="F6" s="1"/>
      <c r="G6" s="1"/>
      <c r="H6" s="1"/>
      <c r="I6" s="1"/>
      <c r="J6" s="1"/>
      <c r="K6" s="1"/>
      <c r="L6" s="1"/>
    </row>
    <row r="7" spans="1:12" ht="28.5">
      <c r="A7" s="1" t="s">
        <v>86</v>
      </c>
      <c r="B7" s="3">
        <v>1.2</v>
      </c>
      <c r="C7" s="1" t="s">
        <v>13</v>
      </c>
      <c r="D7" s="1" t="s">
        <v>87</v>
      </c>
      <c r="E7" s="1"/>
      <c r="F7" s="1"/>
      <c r="G7" s="1"/>
      <c r="H7" s="1"/>
      <c r="I7" s="1"/>
      <c r="J7" s="1"/>
      <c r="K7" s="1"/>
      <c r="L7" s="1"/>
    </row>
    <row r="8" spans="1:12">
      <c r="A8" s="1" t="s">
        <v>88</v>
      </c>
      <c r="B8" s="3">
        <v>1.8E-5</v>
      </c>
      <c r="C8" s="1" t="s">
        <v>16</v>
      </c>
      <c r="D8" s="1" t="s">
        <v>89</v>
      </c>
      <c r="E8" s="1"/>
      <c r="F8" s="1"/>
      <c r="G8" s="1"/>
      <c r="H8" s="1"/>
      <c r="I8" s="1"/>
      <c r="J8" s="1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t="15">
      <c r="A10" s="2" t="s">
        <v>18</v>
      </c>
      <c r="B10" s="2" t="s">
        <v>3</v>
      </c>
      <c r="C10" s="2" t="s">
        <v>4</v>
      </c>
      <c r="D10" s="2" t="s">
        <v>19</v>
      </c>
      <c r="E10" s="1"/>
      <c r="F10" s="1"/>
      <c r="G10" s="1"/>
      <c r="H10" s="1"/>
      <c r="I10" s="1"/>
      <c r="J10" s="1"/>
      <c r="K10" s="1"/>
      <c r="L10" s="1"/>
    </row>
    <row r="11" spans="1:12">
      <c r="A11" s="1" t="s">
        <v>20</v>
      </c>
      <c r="B11" s="4">
        <f>B5/1000</f>
        <v>2.5000000000000001E-2</v>
      </c>
      <c r="C11" s="1" t="s">
        <v>21</v>
      </c>
      <c r="D11" s="1" t="s">
        <v>22</v>
      </c>
      <c r="E11" s="1"/>
      <c r="F11" s="1"/>
      <c r="G11" s="1"/>
      <c r="H11" s="1"/>
      <c r="I11" s="1"/>
      <c r="J11" s="1"/>
      <c r="K11" s="1"/>
      <c r="L11" s="1"/>
    </row>
    <row r="12" spans="1:12">
      <c r="A12" s="1" t="s">
        <v>23</v>
      </c>
      <c r="B12" s="4">
        <f>PI()*B11^2/4</f>
        <v>4.9087385212340522E-4</v>
      </c>
      <c r="C12" s="1" t="s">
        <v>24</v>
      </c>
      <c r="D12" s="1" t="s">
        <v>25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26</v>
      </c>
      <c r="B13" s="4">
        <f>B12*B6</f>
        <v>4.9087385212340517E-3</v>
      </c>
      <c r="C13" s="1" t="s">
        <v>27</v>
      </c>
      <c r="D13" s="1" t="s">
        <v>28</v>
      </c>
      <c r="E13" s="1"/>
      <c r="F13" s="1"/>
      <c r="G13" s="1"/>
      <c r="H13" s="1"/>
      <c r="I13" s="1"/>
      <c r="J13" s="1"/>
      <c r="K13" s="1"/>
      <c r="L13" s="1"/>
    </row>
    <row r="14" spans="1:12">
      <c r="A14" s="1" t="s">
        <v>26</v>
      </c>
      <c r="B14" s="4">
        <f>B13*1000*60</f>
        <v>294.5243112740431</v>
      </c>
      <c r="C14" s="1" t="s">
        <v>31</v>
      </c>
      <c r="D14" s="1" t="s">
        <v>32</v>
      </c>
      <c r="E14" s="1"/>
      <c r="F14" s="1"/>
      <c r="G14" s="1"/>
      <c r="H14" s="1"/>
      <c r="I14" s="1"/>
      <c r="J14" s="1"/>
      <c r="K14" s="1"/>
      <c r="L14" s="1"/>
    </row>
    <row r="15" spans="1:12">
      <c r="A15" s="1" t="s">
        <v>26</v>
      </c>
      <c r="B15" s="4">
        <f>B13*3600</f>
        <v>17.671458676442587</v>
      </c>
      <c r="C15" s="1" t="s">
        <v>90</v>
      </c>
      <c r="D15" s="1" t="s">
        <v>91</v>
      </c>
      <c r="E15" s="1"/>
      <c r="F15" s="1"/>
      <c r="G15" s="1"/>
      <c r="H15" s="1"/>
      <c r="I15" s="1"/>
      <c r="J15" s="1"/>
      <c r="K15" s="1"/>
      <c r="L15" s="1"/>
    </row>
    <row r="16" spans="1:12">
      <c r="A16" s="1" t="s">
        <v>26</v>
      </c>
      <c r="B16" s="4">
        <f>B14/28.3168</f>
        <v>10.401045007700132</v>
      </c>
      <c r="C16" s="1" t="s">
        <v>92</v>
      </c>
      <c r="D16" s="1" t="s">
        <v>93</v>
      </c>
      <c r="E16" s="1"/>
      <c r="F16" s="1"/>
      <c r="G16" s="1"/>
      <c r="H16" s="1"/>
      <c r="I16" s="1"/>
      <c r="J16" s="1"/>
      <c r="K16" s="1"/>
      <c r="L16" s="1"/>
    </row>
    <row r="17" spans="1:12">
      <c r="A17" s="1" t="s">
        <v>26</v>
      </c>
      <c r="B17" s="4">
        <f>B14/16.6667</f>
        <v>17.671423333595921</v>
      </c>
      <c r="C17" s="1" t="s">
        <v>94</v>
      </c>
      <c r="D17" s="1" t="s">
        <v>95</v>
      </c>
      <c r="E17" s="1"/>
      <c r="F17" s="1"/>
      <c r="G17" s="1"/>
      <c r="H17" s="1"/>
      <c r="I17" s="1"/>
      <c r="J17" s="1"/>
      <c r="K17" s="1"/>
      <c r="L17" s="1"/>
    </row>
    <row r="18" spans="1:12">
      <c r="A18" s="1" t="s">
        <v>33</v>
      </c>
      <c r="B18" s="4">
        <f>B7*B6*B11/B8</f>
        <v>16666.666666666668</v>
      </c>
      <c r="C18" s="1" t="s">
        <v>34</v>
      </c>
      <c r="D18" s="1" t="s">
        <v>35</v>
      </c>
      <c r="E18" s="1"/>
      <c r="F18" s="1"/>
      <c r="G18" s="1"/>
      <c r="H18" s="1"/>
      <c r="I18" s="1"/>
      <c r="J18" s="1"/>
      <c r="K18" s="1"/>
      <c r="L18" s="1"/>
    </row>
    <row r="19" spans="1:12" ht="57">
      <c r="A19" s="1" t="s">
        <v>36</v>
      </c>
      <c r="B19" s="5" t="str">
        <f>IF(B18&lt;2000,"Laminar",IF(B18&lt;4000,"Transitional","Turbulent"))</f>
        <v>Turbulent</v>
      </c>
      <c r="C19" s="1" t="s">
        <v>34</v>
      </c>
      <c r="D19" s="1" t="s">
        <v>96</v>
      </c>
      <c r="E19" s="1"/>
      <c r="F19" s="1"/>
      <c r="G19" s="1"/>
      <c r="H19" s="1"/>
      <c r="I19" s="1"/>
      <c r="J19" s="1"/>
      <c r="K19" s="1"/>
      <c r="L19" s="1"/>
    </row>
    <row r="20" spans="1:1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97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98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>
      <c r="A5" s="1" t="s">
        <v>6</v>
      </c>
      <c r="B5" s="3">
        <v>19</v>
      </c>
      <c r="C5" s="1" t="s">
        <v>7</v>
      </c>
      <c r="D5" s="1" t="s">
        <v>84</v>
      </c>
      <c r="E5" s="1"/>
      <c r="F5" s="1"/>
      <c r="G5" s="1"/>
      <c r="H5" s="1"/>
      <c r="I5" s="1"/>
      <c r="J5" s="1"/>
      <c r="K5" s="1"/>
      <c r="L5" s="1"/>
    </row>
    <row r="6" spans="1:12">
      <c r="A6" s="1" t="s">
        <v>41</v>
      </c>
      <c r="B6" s="3">
        <v>20</v>
      </c>
      <c r="C6" s="1" t="s">
        <v>21</v>
      </c>
      <c r="D6" s="1" t="s">
        <v>42</v>
      </c>
      <c r="E6" s="1"/>
      <c r="F6" s="1"/>
      <c r="G6" s="1"/>
      <c r="H6" s="1"/>
      <c r="I6" s="1"/>
      <c r="J6" s="1"/>
      <c r="K6" s="1"/>
      <c r="L6" s="1"/>
    </row>
    <row r="7" spans="1:12">
      <c r="A7" s="1" t="s">
        <v>99</v>
      </c>
      <c r="B7" s="3">
        <v>100</v>
      </c>
      <c r="C7" s="1" t="s">
        <v>31</v>
      </c>
      <c r="D7" s="1" t="s">
        <v>100</v>
      </c>
      <c r="E7" s="1"/>
      <c r="F7" s="1"/>
      <c r="G7" s="1"/>
      <c r="H7" s="1"/>
      <c r="I7" s="1"/>
      <c r="J7" s="1"/>
      <c r="K7" s="1"/>
      <c r="L7" s="1"/>
    </row>
    <row r="8" spans="1:12">
      <c r="A8" s="1" t="s">
        <v>86</v>
      </c>
      <c r="B8" s="3">
        <v>1.2</v>
      </c>
      <c r="C8" s="1" t="s">
        <v>13</v>
      </c>
      <c r="D8" s="1"/>
      <c r="E8" s="1"/>
      <c r="F8" s="1"/>
      <c r="G8" s="1"/>
      <c r="H8" s="1"/>
      <c r="I8" s="1"/>
      <c r="J8" s="1"/>
      <c r="K8" s="1"/>
      <c r="L8" s="1"/>
    </row>
    <row r="9" spans="1:12">
      <c r="A9" s="1" t="s">
        <v>88</v>
      </c>
      <c r="B9" s="3">
        <v>1.8E-5</v>
      </c>
      <c r="C9" s="1" t="s">
        <v>16</v>
      </c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 t="s">
        <v>45</v>
      </c>
      <c r="B10" s="3">
        <v>1.5E-3</v>
      </c>
      <c r="C10" s="1" t="s">
        <v>7</v>
      </c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1" t="s">
        <v>101</v>
      </c>
      <c r="B11" s="3">
        <v>2</v>
      </c>
      <c r="C11" s="1" t="s">
        <v>34</v>
      </c>
      <c r="D11" s="1" t="s">
        <v>102</v>
      </c>
      <c r="E11" s="1"/>
      <c r="F11" s="1"/>
      <c r="G11" s="1"/>
      <c r="H11" s="1"/>
      <c r="I11" s="1"/>
      <c r="J11" s="1"/>
      <c r="K11" s="1"/>
      <c r="L11" s="1"/>
    </row>
    <row r="12" spans="1:12" ht="28.5">
      <c r="A12" s="1" t="s">
        <v>103</v>
      </c>
      <c r="B12" s="3">
        <v>5</v>
      </c>
      <c r="C12" s="1" t="s">
        <v>80</v>
      </c>
      <c r="D12" s="1" t="s">
        <v>104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105</v>
      </c>
      <c r="B13" s="3">
        <v>20</v>
      </c>
      <c r="C13" s="1" t="s">
        <v>106</v>
      </c>
      <c r="D13" s="1" t="s">
        <v>107</v>
      </c>
      <c r="E13" s="1"/>
      <c r="F13" s="1"/>
      <c r="G13" s="1"/>
      <c r="H13" s="1"/>
      <c r="I13" s="1"/>
      <c r="J13" s="1"/>
      <c r="K13" s="1"/>
      <c r="L13" s="1"/>
    </row>
    <row r="14" spans="1:1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15">
      <c r="A15" s="2" t="s">
        <v>18</v>
      </c>
      <c r="B15" s="2" t="s">
        <v>3</v>
      </c>
      <c r="C15" s="2" t="s">
        <v>4</v>
      </c>
      <c r="D15" s="2" t="s">
        <v>19</v>
      </c>
      <c r="E15" s="1"/>
      <c r="F15" s="1"/>
      <c r="G15" s="1"/>
      <c r="H15" s="1"/>
      <c r="I15" s="1"/>
      <c r="J15" s="1"/>
      <c r="K15" s="1"/>
      <c r="L15" s="1"/>
    </row>
    <row r="16" spans="1:12">
      <c r="A16" s="1" t="s">
        <v>57</v>
      </c>
      <c r="B16" s="4">
        <f>B5/1000</f>
        <v>1.9E-2</v>
      </c>
      <c r="C16" s="1" t="s">
        <v>21</v>
      </c>
      <c r="D16" s="1" t="s">
        <v>22</v>
      </c>
      <c r="E16" s="1"/>
      <c r="F16" s="1"/>
      <c r="G16" s="1"/>
      <c r="H16" s="1"/>
      <c r="I16" s="1"/>
      <c r="J16" s="1"/>
      <c r="K16" s="1"/>
      <c r="L16" s="1"/>
    </row>
    <row r="17" spans="1:12">
      <c r="A17" s="1" t="s">
        <v>58</v>
      </c>
      <c r="B17" s="4">
        <f>B7/1000/60</f>
        <v>1.6666666666666668E-3</v>
      </c>
      <c r="C17" s="1" t="s">
        <v>27</v>
      </c>
      <c r="D17" s="1" t="s">
        <v>59</v>
      </c>
      <c r="E17" s="1"/>
      <c r="F17" s="1"/>
      <c r="G17" s="1"/>
      <c r="H17" s="1"/>
      <c r="I17" s="1"/>
      <c r="J17" s="1"/>
      <c r="K17" s="1"/>
      <c r="L17" s="1"/>
    </row>
    <row r="18" spans="1:12">
      <c r="A18" s="1" t="s">
        <v>23</v>
      </c>
      <c r="B18" s="4">
        <f>PI()*B16^2/4</f>
        <v>2.835287369864788E-4</v>
      </c>
      <c r="C18" s="1" t="s">
        <v>24</v>
      </c>
      <c r="D18" s="1" t="s">
        <v>108</v>
      </c>
      <c r="E18" s="1"/>
      <c r="F18" s="1"/>
      <c r="G18" s="1"/>
      <c r="H18" s="1"/>
      <c r="I18" s="1"/>
      <c r="J18" s="1"/>
      <c r="K18" s="1"/>
      <c r="L18" s="1"/>
    </row>
    <row r="19" spans="1:12">
      <c r="A19" s="1" t="s">
        <v>9</v>
      </c>
      <c r="B19" s="4">
        <f>B17/B18</f>
        <v>5.8782989138280834</v>
      </c>
      <c r="C19" s="1" t="s">
        <v>10</v>
      </c>
      <c r="D19" s="1" t="s">
        <v>109</v>
      </c>
      <c r="E19" s="1"/>
      <c r="F19" s="1"/>
      <c r="G19" s="1"/>
      <c r="H19" s="1"/>
      <c r="I19" s="1"/>
      <c r="J19" s="1"/>
      <c r="K19" s="1"/>
      <c r="L19" s="1"/>
    </row>
    <row r="20" spans="1:12">
      <c r="A20" s="1" t="s">
        <v>33</v>
      </c>
      <c r="B20" s="4">
        <f>B8*B19*B16/B9</f>
        <v>7445.8452908489053</v>
      </c>
      <c r="C20" s="1" t="s">
        <v>34</v>
      </c>
      <c r="D20" s="1" t="s">
        <v>110</v>
      </c>
      <c r="E20" s="1"/>
      <c r="F20" s="1"/>
      <c r="G20" s="1"/>
      <c r="H20" s="1"/>
      <c r="I20" s="1"/>
      <c r="J20" s="1"/>
      <c r="K20" s="1"/>
      <c r="L20" s="1"/>
    </row>
    <row r="21" spans="1:12">
      <c r="A21" s="1" t="s">
        <v>63</v>
      </c>
      <c r="B21" s="4">
        <f>(B10/1000)/B16</f>
        <v>7.8947368421052633E-5</v>
      </c>
      <c r="C21" s="1" t="s">
        <v>34</v>
      </c>
      <c r="D21" s="1" t="s">
        <v>111</v>
      </c>
      <c r="E21" s="1"/>
      <c r="F21" s="1"/>
      <c r="G21" s="1"/>
      <c r="H21" s="1"/>
      <c r="I21" s="1"/>
      <c r="J21" s="1"/>
      <c r="K21" s="1"/>
      <c r="L21" s="1"/>
    </row>
    <row r="22" spans="1:12" ht="57">
      <c r="A22" s="1" t="s">
        <v>65</v>
      </c>
      <c r="B22" s="4">
        <f>IF(B20&lt;2000,64/B20,0.25/(LOG10(B21/3.7+5.74/(B20^0.9))^2))</f>
        <v>3.3768496342579765E-2</v>
      </c>
      <c r="C22" s="1" t="s">
        <v>34</v>
      </c>
      <c r="D22" s="1" t="s">
        <v>112</v>
      </c>
      <c r="E22" s="1"/>
      <c r="F22" s="1"/>
      <c r="G22" s="1"/>
      <c r="H22" s="1"/>
      <c r="I22" s="1"/>
      <c r="J22" s="1"/>
      <c r="K22" s="1"/>
      <c r="L22" s="1"/>
    </row>
    <row r="23" spans="1:12" ht="28.5">
      <c r="A23" s="1" t="s">
        <v>113</v>
      </c>
      <c r="B23" s="4">
        <f>B22*(B6/B16)*(B8*B19^2/2)</f>
        <v>736.95793676577807</v>
      </c>
      <c r="C23" s="1" t="s">
        <v>78</v>
      </c>
      <c r="D23" s="1" t="s">
        <v>114</v>
      </c>
      <c r="E23" s="1"/>
      <c r="F23" s="1"/>
      <c r="G23" s="1"/>
      <c r="H23" s="1"/>
      <c r="I23" s="1"/>
      <c r="J23" s="1"/>
      <c r="K23" s="1"/>
      <c r="L23" s="1"/>
    </row>
    <row r="24" spans="1:12" ht="28.5">
      <c r="A24" s="1" t="s">
        <v>115</v>
      </c>
      <c r="B24" s="4">
        <f>B11*(B8*B19^2/2)</f>
        <v>41.465277744374909</v>
      </c>
      <c r="C24" s="1" t="s">
        <v>78</v>
      </c>
      <c r="D24" s="1" t="s">
        <v>116</v>
      </c>
      <c r="E24" s="1"/>
      <c r="F24" s="1"/>
      <c r="G24" s="1"/>
      <c r="H24" s="1"/>
      <c r="I24" s="1"/>
      <c r="J24" s="1"/>
      <c r="K24" s="1"/>
      <c r="L24" s="1"/>
    </row>
    <row r="25" spans="1:12">
      <c r="A25" s="1" t="s">
        <v>117</v>
      </c>
      <c r="B25" s="4">
        <f>(B23+B24)/1000</f>
        <v>0.77842321451015295</v>
      </c>
      <c r="C25" s="1" t="s">
        <v>80</v>
      </c>
      <c r="D25" s="1" t="s">
        <v>118</v>
      </c>
      <c r="E25" s="1"/>
      <c r="F25" s="1"/>
      <c r="G25" s="1"/>
      <c r="H25" s="1"/>
      <c r="I25" s="1"/>
      <c r="J25" s="1"/>
      <c r="K25" s="1"/>
      <c r="L25" s="1"/>
    </row>
    <row r="26" spans="1:12">
      <c r="A26" s="1" t="s">
        <v>119</v>
      </c>
      <c r="B26" s="4">
        <f>B25+B12</f>
        <v>5.7784232145101528</v>
      </c>
      <c r="C26" s="1" t="s">
        <v>80</v>
      </c>
      <c r="D26" s="1" t="s">
        <v>120</v>
      </c>
      <c r="E26" s="1"/>
      <c r="F26" s="1"/>
      <c r="G26" s="1"/>
      <c r="H26" s="1"/>
      <c r="I26" s="1"/>
      <c r="J26" s="1"/>
      <c r="K26" s="1"/>
      <c r="L26" s="1"/>
    </row>
    <row r="27" spans="1:12" ht="28.5">
      <c r="A27" s="1" t="s">
        <v>121</v>
      </c>
      <c r="B27" s="4">
        <f>B26*(1+B13/100)</f>
        <v>6.9341078574121831</v>
      </c>
      <c r="C27" s="1" t="s">
        <v>80</v>
      </c>
      <c r="D27" s="1" t="s">
        <v>122</v>
      </c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80"/>
  <sheetViews>
    <sheetView tabSelected="1" workbookViewId="0">
      <selection activeCell="D25" sqref="D25"/>
    </sheetView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123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124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 ht="28.5">
      <c r="A5" s="1" t="s">
        <v>125</v>
      </c>
      <c r="B5" s="3">
        <v>1</v>
      </c>
      <c r="C5" s="1" t="s">
        <v>7</v>
      </c>
      <c r="D5" s="1" t="s">
        <v>126</v>
      </c>
      <c r="E5" s="1"/>
      <c r="F5" s="1"/>
      <c r="G5" s="1"/>
      <c r="H5" s="1"/>
      <c r="I5" s="1"/>
      <c r="J5" s="1"/>
      <c r="K5" s="1"/>
      <c r="L5" s="1"/>
    </row>
    <row r="6" spans="1:12">
      <c r="A6" s="1" t="s">
        <v>127</v>
      </c>
      <c r="B6" s="3">
        <v>0.62</v>
      </c>
      <c r="C6" s="1" t="s">
        <v>34</v>
      </c>
      <c r="D6" s="1" t="s">
        <v>128</v>
      </c>
      <c r="E6" s="1"/>
      <c r="F6" s="1"/>
      <c r="G6" s="1"/>
      <c r="H6" s="1"/>
      <c r="I6" s="1"/>
      <c r="J6" s="1"/>
      <c r="K6" s="1"/>
      <c r="L6" s="1"/>
    </row>
    <row r="7" spans="1:12" ht="28.5">
      <c r="A7" s="1" t="s">
        <v>129</v>
      </c>
      <c r="B7" s="3">
        <v>5</v>
      </c>
      <c r="C7" s="1" t="s">
        <v>80</v>
      </c>
      <c r="D7" s="1" t="s">
        <v>130</v>
      </c>
      <c r="E7" s="1"/>
      <c r="F7" s="1"/>
      <c r="G7" s="1"/>
      <c r="H7" s="1"/>
      <c r="I7" s="1"/>
      <c r="J7" s="1"/>
      <c r="K7" s="1"/>
      <c r="L7" s="1"/>
    </row>
    <row r="8" spans="1:12" ht="28.5">
      <c r="A8" s="1" t="s">
        <v>131</v>
      </c>
      <c r="B8" s="3">
        <v>1.2</v>
      </c>
      <c r="C8" s="1" t="s">
        <v>13</v>
      </c>
      <c r="D8" s="1" t="s">
        <v>132</v>
      </c>
      <c r="E8" s="1"/>
      <c r="F8" s="1"/>
      <c r="G8" s="1"/>
      <c r="H8" s="1"/>
      <c r="I8" s="1"/>
      <c r="J8" s="1"/>
      <c r="K8" s="1"/>
      <c r="L8" s="1"/>
    </row>
    <row r="9" spans="1:12">
      <c r="A9" s="1" t="s">
        <v>133</v>
      </c>
      <c r="B9" s="3">
        <v>106.3</v>
      </c>
      <c r="C9" s="1" t="s">
        <v>134</v>
      </c>
      <c r="D9" s="1" t="s">
        <v>135</v>
      </c>
      <c r="E9" s="1"/>
      <c r="F9" s="1"/>
      <c r="G9" s="1"/>
      <c r="H9" s="1"/>
      <c r="I9" s="1"/>
      <c r="J9" s="1"/>
      <c r="K9" s="1"/>
      <c r="L9" s="1"/>
    </row>
    <row r="10" spans="1:12">
      <c r="A10" s="1" t="s">
        <v>136</v>
      </c>
      <c r="B10" s="3">
        <v>101.3</v>
      </c>
      <c r="C10" s="1" t="s">
        <v>134</v>
      </c>
      <c r="D10" s="1" t="s">
        <v>135</v>
      </c>
      <c r="E10" s="1"/>
      <c r="F10" s="1"/>
      <c r="G10" s="1"/>
      <c r="H10" s="1"/>
      <c r="I10" s="1"/>
      <c r="J10" s="1"/>
      <c r="K10" s="1"/>
      <c r="L10" s="1"/>
    </row>
    <row r="11" spans="1:1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t="15">
      <c r="A12" s="2" t="s">
        <v>18</v>
      </c>
      <c r="B12" s="2" t="s">
        <v>3</v>
      </c>
      <c r="C12" s="2" t="s">
        <v>4</v>
      </c>
      <c r="D12" s="2" t="s">
        <v>19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20</v>
      </c>
      <c r="B13" s="4">
        <f>B5/1000</f>
        <v>1E-3</v>
      </c>
      <c r="C13" s="1" t="s">
        <v>21</v>
      </c>
      <c r="D13" s="1" t="s">
        <v>22</v>
      </c>
      <c r="E13" s="1"/>
      <c r="F13" s="1"/>
      <c r="G13" s="1"/>
      <c r="H13" s="1"/>
      <c r="I13" s="1"/>
      <c r="J13" s="1"/>
      <c r="K13" s="1"/>
      <c r="L13" s="1"/>
    </row>
    <row r="14" spans="1:12">
      <c r="A14" s="1" t="s">
        <v>23</v>
      </c>
      <c r="B14" s="4">
        <f>PI()*B13^2/4</f>
        <v>7.8539816339744823E-7</v>
      </c>
      <c r="C14" s="1" t="s">
        <v>24</v>
      </c>
      <c r="D14" s="1" t="s">
        <v>137</v>
      </c>
      <c r="E14" s="1"/>
      <c r="F14" s="1"/>
      <c r="G14" s="1"/>
      <c r="H14" s="1"/>
      <c r="I14" s="1"/>
      <c r="J14" s="1"/>
      <c r="K14" s="1"/>
      <c r="L14" s="1"/>
    </row>
    <row r="15" spans="1:12" ht="28.5">
      <c r="A15" s="1" t="s">
        <v>26</v>
      </c>
      <c r="B15" s="4">
        <f>B6*B14*SQRT(2*(B7*1000)/B8)</f>
        <v>4.4451963373977433E-5</v>
      </c>
      <c r="C15" s="1" t="s">
        <v>27</v>
      </c>
      <c r="D15" s="1" t="s">
        <v>138</v>
      </c>
      <c r="E15" s="1"/>
      <c r="F15" s="1"/>
      <c r="G15" s="1"/>
      <c r="H15" s="1"/>
      <c r="I15" s="1"/>
      <c r="J15" s="1"/>
      <c r="K15" s="1"/>
      <c r="L15" s="1"/>
    </row>
    <row r="16" spans="1:12">
      <c r="A16" s="1" t="s">
        <v>26</v>
      </c>
      <c r="B16" s="4">
        <f>B15*1000*60</f>
        <v>2.6671178024386459</v>
      </c>
      <c r="C16" s="1" t="s">
        <v>31</v>
      </c>
      <c r="D16" s="1" t="s">
        <v>139</v>
      </c>
      <c r="E16" s="1"/>
      <c r="F16" s="1"/>
      <c r="G16" s="1"/>
      <c r="H16" s="1"/>
      <c r="I16" s="1"/>
      <c r="J16" s="1"/>
      <c r="K16" s="1"/>
      <c r="L16" s="1"/>
    </row>
    <row r="17" spans="1:12">
      <c r="A17" s="1" t="s">
        <v>140</v>
      </c>
      <c r="B17" s="4">
        <f>B15/B14</f>
        <v>56.597997608867161</v>
      </c>
      <c r="C17" s="1" t="s">
        <v>10</v>
      </c>
      <c r="D17" s="1" t="s">
        <v>141</v>
      </c>
      <c r="E17" s="1"/>
      <c r="F17" s="1"/>
      <c r="G17" s="1"/>
      <c r="H17" s="1"/>
      <c r="I17" s="1"/>
      <c r="J17" s="1"/>
      <c r="K17" s="1"/>
      <c r="L17" s="1"/>
    </row>
    <row r="18" spans="1:12">
      <c r="A18" s="1" t="s">
        <v>142</v>
      </c>
      <c r="B18" s="4">
        <f>B10/B9</f>
        <v>0.9529633113828786</v>
      </c>
      <c r="C18" s="1" t="s">
        <v>34</v>
      </c>
      <c r="D18" s="1" t="s">
        <v>143</v>
      </c>
      <c r="E18" s="1"/>
      <c r="F18" s="1"/>
      <c r="G18" s="1"/>
      <c r="H18" s="1"/>
      <c r="I18" s="1"/>
      <c r="J18" s="1"/>
      <c r="K18" s="1"/>
      <c r="L18" s="1"/>
    </row>
    <row r="19" spans="1:12" ht="57">
      <c r="A19" s="1" t="s">
        <v>144</v>
      </c>
      <c r="B19" s="5" t="str">
        <f>IF(B18&lt;0.528,"Potential Choked","Not Choked")</f>
        <v>Not Choked</v>
      </c>
      <c r="C19" s="1" t="s">
        <v>34</v>
      </c>
      <c r="D19" s="1" t="s">
        <v>145</v>
      </c>
      <c r="E19" s="1"/>
      <c r="F19" s="1"/>
      <c r="G19" s="1"/>
      <c r="H19" s="1"/>
      <c r="I19" s="1"/>
      <c r="J19" s="1"/>
      <c r="K19" s="1"/>
      <c r="L19" s="1"/>
    </row>
    <row r="20" spans="1:1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t="15">
      <c r="A21" s="13" t="s">
        <v>288</v>
      </c>
      <c r="B21" s="13" t="s">
        <v>19</v>
      </c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4" t="s">
        <v>289</v>
      </c>
      <c r="B22" s="14" t="s">
        <v>290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4" t="s">
        <v>291</v>
      </c>
      <c r="B23" s="14" t="s">
        <v>290</v>
      </c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4" t="s">
        <v>292</v>
      </c>
      <c r="B24" s="14" t="e" cm="1">
        <f t="array" ref="B24">L_or_t/D_or_d</f>
        <v>#NAME?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28.5">
      <c r="A25" s="14" t="s">
        <v>293</v>
      </c>
      <c r="B25" s="14" t="s">
        <v>294</v>
      </c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80"/>
  <sheetViews>
    <sheetView workbookViewId="0">
      <selection sqref="A1:H1"/>
    </sheetView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146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147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1"/>
      <c r="G4" s="1"/>
      <c r="H4" s="1"/>
      <c r="I4" s="1"/>
      <c r="J4" s="1"/>
      <c r="K4" s="1"/>
      <c r="L4" s="1"/>
    </row>
    <row r="5" spans="1:12" ht="28.5">
      <c r="A5" s="1" t="s">
        <v>148</v>
      </c>
      <c r="B5" s="3">
        <v>1</v>
      </c>
      <c r="C5" s="1" t="s">
        <v>7</v>
      </c>
      <c r="D5" s="1" t="s">
        <v>149</v>
      </c>
      <c r="E5" s="1"/>
      <c r="F5" s="1"/>
      <c r="G5" s="1"/>
      <c r="H5" s="1"/>
      <c r="I5" s="1"/>
      <c r="J5" s="1"/>
      <c r="K5" s="1"/>
      <c r="L5" s="1"/>
    </row>
    <row r="6" spans="1:12" ht="28.5">
      <c r="A6" s="1" t="s">
        <v>150</v>
      </c>
      <c r="B6" s="3">
        <v>30</v>
      </c>
      <c r="C6" s="1" t="s">
        <v>47</v>
      </c>
      <c r="D6" s="1" t="s">
        <v>151</v>
      </c>
      <c r="E6" s="1"/>
      <c r="F6" s="1"/>
      <c r="G6" s="1"/>
      <c r="H6" s="1"/>
      <c r="I6" s="1"/>
      <c r="J6" s="1"/>
      <c r="K6" s="1"/>
      <c r="L6" s="1"/>
    </row>
    <row r="7" spans="1:12">
      <c r="A7" s="1" t="s">
        <v>152</v>
      </c>
      <c r="B7" s="3">
        <v>0.5</v>
      </c>
      <c r="C7" s="1" t="s">
        <v>21</v>
      </c>
      <c r="D7" s="1" t="s">
        <v>153</v>
      </c>
      <c r="E7" s="1"/>
      <c r="F7" s="1"/>
      <c r="G7" s="1"/>
      <c r="H7" s="1"/>
      <c r="I7" s="1"/>
      <c r="J7" s="1"/>
      <c r="K7" s="1"/>
      <c r="L7" s="1"/>
    </row>
    <row r="8" spans="1:12">
      <c r="A8" s="1" t="s">
        <v>127</v>
      </c>
      <c r="B8" s="3">
        <v>0.65</v>
      </c>
      <c r="C8" s="1" t="s">
        <v>34</v>
      </c>
      <c r="D8" s="1" t="s">
        <v>154</v>
      </c>
      <c r="E8" s="1"/>
      <c r="F8" s="1"/>
      <c r="G8" s="1"/>
      <c r="H8" s="1"/>
      <c r="I8" s="1"/>
      <c r="J8" s="1"/>
      <c r="K8" s="1"/>
      <c r="L8" s="1"/>
    </row>
    <row r="9" spans="1:12">
      <c r="A9" s="1" t="s">
        <v>155</v>
      </c>
      <c r="B9" s="3">
        <v>1000</v>
      </c>
      <c r="C9" s="1" t="s">
        <v>13</v>
      </c>
      <c r="D9" s="1" t="s">
        <v>156</v>
      </c>
      <c r="E9" s="1"/>
      <c r="F9" s="1"/>
      <c r="G9" s="1"/>
      <c r="H9" s="1"/>
      <c r="I9" s="1"/>
      <c r="J9" s="1"/>
      <c r="K9" s="1"/>
      <c r="L9" s="1"/>
    </row>
    <row r="10" spans="1:12">
      <c r="A10" s="1" t="s">
        <v>157</v>
      </c>
      <c r="B10" s="3">
        <v>1.2</v>
      </c>
      <c r="C10" s="1" t="s">
        <v>13</v>
      </c>
      <c r="D10" s="1" t="s">
        <v>158</v>
      </c>
      <c r="E10" s="1"/>
      <c r="F10" s="1"/>
      <c r="G10" s="1"/>
      <c r="H10" s="1"/>
      <c r="I10" s="1"/>
      <c r="J10" s="1"/>
      <c r="K10" s="1"/>
      <c r="L10" s="1"/>
    </row>
    <row r="11" spans="1:12" ht="28.5">
      <c r="A11" s="1" t="s">
        <v>159</v>
      </c>
      <c r="B11" s="3">
        <v>4.9000000000000004</v>
      </c>
      <c r="C11" s="1" t="s">
        <v>80</v>
      </c>
      <c r="D11" s="1" t="s">
        <v>160</v>
      </c>
      <c r="E11" s="1"/>
      <c r="F11" s="1"/>
      <c r="G11" s="1"/>
      <c r="H11" s="1"/>
      <c r="I11" s="1"/>
      <c r="J11" s="1"/>
      <c r="K11" s="1"/>
      <c r="L11" s="1"/>
    </row>
    <row r="12" spans="1:12" ht="28.5">
      <c r="A12" s="1" t="s">
        <v>161</v>
      </c>
      <c r="B12" s="3">
        <v>2</v>
      </c>
      <c r="C12" s="1" t="s">
        <v>80</v>
      </c>
      <c r="D12" s="1" t="s">
        <v>162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163</v>
      </c>
      <c r="B13" s="3">
        <v>1</v>
      </c>
      <c r="C13" s="1" t="s">
        <v>80</v>
      </c>
      <c r="D13" s="1" t="s">
        <v>164</v>
      </c>
      <c r="E13" s="1"/>
      <c r="F13" s="1"/>
      <c r="G13" s="1"/>
      <c r="H13" s="1"/>
      <c r="I13" s="1"/>
      <c r="J13" s="1"/>
      <c r="K13" s="1"/>
      <c r="L13" s="1"/>
    </row>
    <row r="14" spans="1:12">
      <c r="A14" s="1" t="s">
        <v>105</v>
      </c>
      <c r="B14" s="3">
        <v>20</v>
      </c>
      <c r="C14" s="1" t="s">
        <v>106</v>
      </c>
      <c r="D14" s="1" t="s">
        <v>107</v>
      </c>
      <c r="E14" s="1"/>
      <c r="F14" s="1"/>
      <c r="G14" s="1"/>
      <c r="H14" s="1"/>
      <c r="I14" s="1"/>
      <c r="J14" s="1"/>
      <c r="K14" s="1"/>
      <c r="L14" s="1"/>
    </row>
    <row r="15" spans="1:1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15">
      <c r="A16" s="2" t="s">
        <v>18</v>
      </c>
      <c r="B16" s="2" t="s">
        <v>3</v>
      </c>
      <c r="C16" s="2" t="s">
        <v>4</v>
      </c>
      <c r="D16" s="2" t="s">
        <v>19</v>
      </c>
      <c r="E16" s="1"/>
      <c r="F16" s="1"/>
      <c r="G16" s="1"/>
      <c r="H16" s="1"/>
      <c r="I16" s="1"/>
      <c r="J16" s="1"/>
      <c r="K16" s="1"/>
      <c r="L16" s="1"/>
    </row>
    <row r="17" spans="1:12" ht="28.5">
      <c r="A17" s="1" t="s">
        <v>165</v>
      </c>
      <c r="B17" s="4">
        <f>B9*9.81*B7/1000</f>
        <v>4.9050000000000002</v>
      </c>
      <c r="C17" s="1" t="s">
        <v>80</v>
      </c>
      <c r="D17" s="1" t="s">
        <v>166</v>
      </c>
      <c r="E17" s="1"/>
      <c r="F17" s="1"/>
      <c r="G17" s="1"/>
      <c r="H17" s="1"/>
      <c r="I17" s="1"/>
      <c r="J17" s="1"/>
      <c r="K17" s="1"/>
      <c r="L17" s="1"/>
    </row>
    <row r="18" spans="1:12">
      <c r="A18" s="1" t="s">
        <v>167</v>
      </c>
      <c r="B18" s="4">
        <f>B5/1000</f>
        <v>1E-3</v>
      </c>
      <c r="C18" s="1" t="s">
        <v>21</v>
      </c>
      <c r="D18" s="1" t="s">
        <v>22</v>
      </c>
      <c r="E18" s="1"/>
      <c r="F18" s="1"/>
      <c r="G18" s="1"/>
      <c r="H18" s="1"/>
      <c r="I18" s="1"/>
      <c r="J18" s="1"/>
      <c r="K18" s="1"/>
      <c r="L18" s="1"/>
    </row>
    <row r="19" spans="1:12">
      <c r="A19" s="1" t="s">
        <v>168</v>
      </c>
      <c r="B19" s="4">
        <f>PI()*B18^2/4</f>
        <v>7.8539816339744823E-7</v>
      </c>
      <c r="C19" s="1" t="s">
        <v>24</v>
      </c>
      <c r="D19" s="1" t="s">
        <v>169</v>
      </c>
      <c r="E19" s="1"/>
      <c r="F19" s="1"/>
      <c r="G19" s="1"/>
      <c r="H19" s="1"/>
      <c r="I19" s="1"/>
      <c r="J19" s="1"/>
      <c r="K19" s="1"/>
      <c r="L19" s="1"/>
    </row>
    <row r="20" spans="1:12" ht="28.5">
      <c r="A20" s="1" t="s">
        <v>170</v>
      </c>
      <c r="B20" s="4">
        <f>B8*B19*SQRT(2*(B11*1000)/B10)</f>
        <v>4.6134482439199838E-5</v>
      </c>
      <c r="C20" s="1" t="s">
        <v>27</v>
      </c>
      <c r="D20" s="1" t="s">
        <v>171</v>
      </c>
      <c r="E20" s="1"/>
      <c r="F20" s="1"/>
      <c r="G20" s="1"/>
      <c r="H20" s="1"/>
      <c r="I20" s="1"/>
      <c r="J20" s="1"/>
      <c r="K20" s="1"/>
      <c r="L20" s="1"/>
    </row>
    <row r="21" spans="1:12">
      <c r="A21" s="1" t="s">
        <v>170</v>
      </c>
      <c r="B21" s="4">
        <f>B20*1000*60</f>
        <v>2.7680689463519905</v>
      </c>
      <c r="C21" s="1" t="s">
        <v>31</v>
      </c>
      <c r="D21" s="1" t="s">
        <v>172</v>
      </c>
      <c r="E21" s="1"/>
      <c r="F21" s="1"/>
      <c r="G21" s="1"/>
      <c r="H21" s="1"/>
      <c r="I21" s="1"/>
      <c r="J21" s="1"/>
      <c r="K21" s="1"/>
      <c r="L21" s="1"/>
    </row>
    <row r="22" spans="1:12">
      <c r="A22" s="1" t="s">
        <v>173</v>
      </c>
      <c r="B22" s="4">
        <f>B21*B6</f>
        <v>83.04206839055972</v>
      </c>
      <c r="C22" s="1" t="s">
        <v>31</v>
      </c>
      <c r="D22" s="1" t="s">
        <v>174</v>
      </c>
      <c r="E22" s="1"/>
      <c r="F22" s="1"/>
      <c r="G22" s="1"/>
      <c r="H22" s="1"/>
      <c r="I22" s="1"/>
      <c r="J22" s="1"/>
      <c r="K22" s="1"/>
      <c r="L22" s="1"/>
    </row>
    <row r="23" spans="1:12" ht="28.5">
      <c r="A23" s="1" t="s">
        <v>175</v>
      </c>
      <c r="B23" s="4">
        <f>(B17+B12+B13)*(1+B14/100)</f>
        <v>9.4860000000000007</v>
      </c>
      <c r="C23" s="1" t="s">
        <v>80</v>
      </c>
      <c r="D23" s="1" t="s">
        <v>176</v>
      </c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0"/>
  <sheetViews>
    <sheetView workbookViewId="0">
      <selection activeCell="B25" sqref="B25"/>
    </sheetView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177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178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2" t="s">
        <v>179</v>
      </c>
      <c r="G4" s="2" t="s">
        <v>180</v>
      </c>
      <c r="H4" s="1"/>
      <c r="I4" s="1"/>
      <c r="J4" s="1"/>
      <c r="K4" s="1"/>
      <c r="L4" s="1"/>
    </row>
    <row r="5" spans="1:12">
      <c r="A5" s="1" t="s">
        <v>181</v>
      </c>
      <c r="B5" s="3">
        <v>100</v>
      </c>
      <c r="C5" s="1" t="s">
        <v>31</v>
      </c>
      <c r="D5" s="1" t="s">
        <v>182</v>
      </c>
      <c r="E5" s="1"/>
      <c r="F5" s="7">
        <v>4</v>
      </c>
      <c r="G5" s="1" t="s">
        <v>183</v>
      </c>
      <c r="H5" s="1"/>
      <c r="I5" s="1"/>
      <c r="J5" s="1"/>
      <c r="K5" s="1"/>
      <c r="L5" s="1"/>
    </row>
    <row r="6" spans="1:12" ht="28.5">
      <c r="A6" s="1" t="s">
        <v>184</v>
      </c>
      <c r="B6" s="3">
        <v>1</v>
      </c>
      <c r="C6" s="1" t="s">
        <v>10</v>
      </c>
      <c r="D6" s="1" t="s">
        <v>185</v>
      </c>
      <c r="E6" s="1"/>
      <c r="F6" s="7">
        <v>8</v>
      </c>
      <c r="G6" s="1" t="s">
        <v>183</v>
      </c>
      <c r="H6" s="1"/>
      <c r="I6" s="1"/>
      <c r="J6" s="1"/>
      <c r="K6" s="1"/>
      <c r="L6" s="1"/>
    </row>
    <row r="7" spans="1:12">
      <c r="A7" s="1"/>
      <c r="B7" s="1"/>
      <c r="C7" s="1"/>
      <c r="D7" s="1"/>
      <c r="E7" s="1"/>
      <c r="F7" s="7">
        <v>10</v>
      </c>
      <c r="G7" s="1" t="s">
        <v>183</v>
      </c>
      <c r="H7" s="1"/>
      <c r="I7" s="1"/>
      <c r="J7" s="1"/>
      <c r="K7" s="1"/>
      <c r="L7" s="1"/>
    </row>
    <row r="8" spans="1:12" ht="15">
      <c r="A8" s="2" t="s">
        <v>18</v>
      </c>
      <c r="B8" s="2" t="s">
        <v>3</v>
      </c>
      <c r="C8" s="2" t="s">
        <v>4</v>
      </c>
      <c r="D8" s="2" t="s">
        <v>19</v>
      </c>
      <c r="E8" s="1"/>
      <c r="F8" s="7">
        <v>14</v>
      </c>
      <c r="G8" s="1" t="s">
        <v>183</v>
      </c>
      <c r="H8" s="1"/>
      <c r="I8" s="1"/>
      <c r="J8" s="1"/>
      <c r="K8" s="1"/>
      <c r="L8" s="1"/>
    </row>
    <row r="9" spans="1:12">
      <c r="A9" s="1" t="s">
        <v>58</v>
      </c>
      <c r="B9" s="4">
        <f>B5/1000/60</f>
        <v>1.6666666666666668E-3</v>
      </c>
      <c r="C9" s="1" t="s">
        <v>27</v>
      </c>
      <c r="D9" s="1" t="s">
        <v>186</v>
      </c>
      <c r="E9" s="1"/>
      <c r="F9" s="7">
        <v>19</v>
      </c>
      <c r="G9" s="1" t="s">
        <v>183</v>
      </c>
      <c r="H9" s="1"/>
      <c r="I9" s="1"/>
      <c r="J9" s="1"/>
      <c r="K9" s="1"/>
      <c r="L9" s="1"/>
    </row>
    <row r="10" spans="1:12" ht="28.5">
      <c r="A10" s="1" t="s">
        <v>187</v>
      </c>
      <c r="B10" s="4">
        <f>SQRT(4*B9/(PI()*B6))</f>
        <v>4.6065886596178066E-2</v>
      </c>
      <c r="C10" s="1" t="s">
        <v>21</v>
      </c>
      <c r="D10" s="1" t="s">
        <v>188</v>
      </c>
      <c r="E10" s="1"/>
      <c r="F10" s="7">
        <v>22.4</v>
      </c>
      <c r="G10" s="1" t="s">
        <v>183</v>
      </c>
      <c r="H10" s="1"/>
      <c r="I10" s="1"/>
      <c r="J10" s="1"/>
      <c r="K10" s="1"/>
      <c r="L10" s="1"/>
    </row>
    <row r="11" spans="1:12">
      <c r="A11" s="1" t="s">
        <v>187</v>
      </c>
      <c r="B11" s="4">
        <f>B10*1000</f>
        <v>46.065886596178068</v>
      </c>
      <c r="C11" s="1" t="s">
        <v>7</v>
      </c>
      <c r="D11" s="1" t="s">
        <v>189</v>
      </c>
      <c r="E11" s="1"/>
      <c r="F11" s="7">
        <v>28</v>
      </c>
      <c r="G11" s="1" t="s">
        <v>183</v>
      </c>
      <c r="H11" s="1"/>
      <c r="I11" s="1"/>
      <c r="J11" s="1"/>
      <c r="K11" s="1"/>
      <c r="L11" s="1"/>
    </row>
    <row r="12" spans="1:12" ht="28.5">
      <c r="A12" s="1" t="s">
        <v>190</v>
      </c>
      <c r="B12" s="4" t="e">
        <f ca="1">_xludf.MINIFS(F5:F17,F5:F17,"&gt;="&amp;B11)</f>
        <v>#NAME?</v>
      </c>
      <c r="C12" s="1" t="s">
        <v>7</v>
      </c>
      <c r="D12" s="1" t="s">
        <v>191</v>
      </c>
      <c r="E12" s="1"/>
      <c r="F12" s="7">
        <v>37.4</v>
      </c>
      <c r="G12" s="1" t="s">
        <v>183</v>
      </c>
      <c r="H12" s="1"/>
      <c r="I12" s="1"/>
      <c r="J12" s="1"/>
      <c r="K12" s="1"/>
      <c r="L12" s="1"/>
    </row>
    <row r="13" spans="1:12" ht="28.5">
      <c r="A13" s="1" t="s">
        <v>192</v>
      </c>
      <c r="B13" s="4" t="e">
        <f ca="1">B9/(PI()*(B12/1000)^2/4)</f>
        <v>#NAME?</v>
      </c>
      <c r="C13" s="1" t="s">
        <v>10</v>
      </c>
      <c r="D13" s="1" t="s">
        <v>193</v>
      </c>
      <c r="E13" s="1"/>
      <c r="F13" s="7">
        <v>43.4</v>
      </c>
      <c r="G13" s="1" t="s">
        <v>183</v>
      </c>
      <c r="H13" s="1"/>
      <c r="I13" s="1"/>
      <c r="J13" s="1"/>
      <c r="K13" s="1"/>
      <c r="L13" s="1"/>
    </row>
    <row r="14" spans="1:12">
      <c r="A14" s="1"/>
      <c r="B14" s="1"/>
      <c r="C14" s="1"/>
      <c r="D14" s="1"/>
      <c r="E14" s="1"/>
      <c r="F14" s="7">
        <v>55.4</v>
      </c>
      <c r="G14" s="1" t="s">
        <v>183</v>
      </c>
      <c r="H14" s="1"/>
      <c r="I14" s="1"/>
      <c r="J14" s="1"/>
      <c r="K14" s="1"/>
      <c r="L14" s="1"/>
    </row>
    <row r="15" spans="1:12">
      <c r="A15" s="1"/>
      <c r="B15" s="1"/>
      <c r="C15" s="1"/>
      <c r="D15" s="1"/>
      <c r="E15" s="1"/>
      <c r="F15" s="7">
        <v>70.8</v>
      </c>
      <c r="G15" s="1" t="s">
        <v>183</v>
      </c>
      <c r="H15" s="1"/>
      <c r="I15" s="1"/>
      <c r="J15" s="1"/>
      <c r="K15" s="1"/>
      <c r="L15" s="1"/>
    </row>
    <row r="16" spans="1:12" ht="15">
      <c r="A16" s="13" t="s">
        <v>288</v>
      </c>
      <c r="B16" s="13" t="s">
        <v>19</v>
      </c>
      <c r="C16" s="1"/>
      <c r="D16" s="1"/>
      <c r="E16" s="1"/>
      <c r="F16" s="7">
        <v>82.8</v>
      </c>
      <c r="G16" s="1" t="s">
        <v>183</v>
      </c>
      <c r="H16" s="1"/>
      <c r="I16" s="1"/>
      <c r="J16" s="1"/>
      <c r="K16" s="1"/>
      <c r="L16" s="1"/>
    </row>
    <row r="17" spans="1:12">
      <c r="A17" s="14" t="s">
        <v>289</v>
      </c>
      <c r="B17" s="14" t="s">
        <v>290</v>
      </c>
      <c r="C17" s="1"/>
      <c r="D17" s="1"/>
      <c r="E17" s="1"/>
      <c r="F17" s="7">
        <v>105.8</v>
      </c>
      <c r="G17" s="1" t="s">
        <v>183</v>
      </c>
      <c r="H17" s="1"/>
      <c r="I17" s="1"/>
      <c r="J17" s="1"/>
      <c r="K17" s="1"/>
      <c r="L17" s="1"/>
    </row>
    <row r="18" spans="1:12">
      <c r="A18" s="14" t="s">
        <v>291</v>
      </c>
      <c r="B18" s="14" t="s">
        <v>290</v>
      </c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>
      <c r="A19" s="14" t="s">
        <v>292</v>
      </c>
      <c r="B19" s="14" t="e" cm="1">
        <f t="array" ref="B19">L_or_t/D_or_d</f>
        <v>#NAME?</v>
      </c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8.5">
      <c r="A20" s="14" t="s">
        <v>293</v>
      </c>
      <c r="B20" s="14" t="s">
        <v>294</v>
      </c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194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195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</v>
      </c>
      <c r="B4" s="2" t="s">
        <v>3</v>
      </c>
      <c r="C4" s="2" t="s">
        <v>4</v>
      </c>
      <c r="D4" s="2" t="s">
        <v>5</v>
      </c>
      <c r="E4" s="1"/>
      <c r="F4" s="2" t="s">
        <v>196</v>
      </c>
      <c r="G4" s="2" t="s">
        <v>197</v>
      </c>
      <c r="H4" s="2" t="s">
        <v>198</v>
      </c>
      <c r="I4" s="1"/>
      <c r="J4" s="1"/>
      <c r="K4" s="1"/>
      <c r="L4" s="1"/>
    </row>
    <row r="5" spans="1:12" ht="28.5">
      <c r="A5" s="1" t="s">
        <v>131</v>
      </c>
      <c r="B5" s="3">
        <v>1000</v>
      </c>
      <c r="C5" s="1" t="s">
        <v>13</v>
      </c>
      <c r="D5" s="1" t="s">
        <v>132</v>
      </c>
      <c r="E5" s="1"/>
      <c r="F5" s="1" t="s">
        <v>199</v>
      </c>
      <c r="G5" s="1" t="s">
        <v>200</v>
      </c>
      <c r="H5" s="1" t="s">
        <v>201</v>
      </c>
      <c r="I5" s="1"/>
      <c r="J5" s="1"/>
      <c r="K5" s="1"/>
      <c r="L5" s="1"/>
    </row>
    <row r="6" spans="1:12" ht="28.5">
      <c r="A6" s="1" t="s">
        <v>202</v>
      </c>
      <c r="B6" s="3">
        <v>1E-3</v>
      </c>
      <c r="C6" s="1" t="s">
        <v>16</v>
      </c>
      <c r="D6" s="1" t="s">
        <v>203</v>
      </c>
      <c r="E6" s="1"/>
      <c r="F6" s="1" t="s">
        <v>204</v>
      </c>
      <c r="G6" s="1" t="s">
        <v>205</v>
      </c>
      <c r="H6" s="1" t="s">
        <v>206</v>
      </c>
      <c r="I6" s="1"/>
      <c r="J6" s="1"/>
      <c r="K6" s="1"/>
      <c r="L6" s="1"/>
    </row>
    <row r="7" spans="1:12" ht="28.5">
      <c r="A7" s="1" t="s">
        <v>207</v>
      </c>
      <c r="B7" s="3">
        <v>25</v>
      </c>
      <c r="C7" s="1" t="s">
        <v>7</v>
      </c>
      <c r="D7" s="1" t="s">
        <v>84</v>
      </c>
      <c r="E7" s="1"/>
      <c r="F7" s="1" t="s">
        <v>208</v>
      </c>
      <c r="G7" s="1" t="s">
        <v>209</v>
      </c>
      <c r="H7" s="1" t="s">
        <v>210</v>
      </c>
      <c r="I7" s="1"/>
      <c r="J7" s="1"/>
      <c r="K7" s="1"/>
      <c r="L7" s="1"/>
    </row>
    <row r="8" spans="1:12">
      <c r="A8" s="1" t="s">
        <v>9</v>
      </c>
      <c r="B8" s="3">
        <v>1</v>
      </c>
      <c r="C8" s="1" t="s">
        <v>10</v>
      </c>
      <c r="D8" s="1" t="s">
        <v>211</v>
      </c>
      <c r="E8" s="1"/>
      <c r="F8" s="1"/>
      <c r="G8" s="1"/>
      <c r="H8" s="1"/>
      <c r="I8" s="1"/>
      <c r="J8" s="1"/>
      <c r="K8" s="1"/>
      <c r="L8" s="1"/>
    </row>
    <row r="9" spans="1:12">
      <c r="A9" s="1" t="s">
        <v>212</v>
      </c>
      <c r="B9" s="3">
        <v>1.5E-3</v>
      </c>
      <c r="C9" s="1" t="s">
        <v>7</v>
      </c>
      <c r="D9" s="1" t="s">
        <v>213</v>
      </c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5">
      <c r="A11" s="2" t="s">
        <v>18</v>
      </c>
      <c r="B11" s="2" t="s">
        <v>3</v>
      </c>
      <c r="C11" s="2" t="s">
        <v>4</v>
      </c>
      <c r="D11" s="2" t="s">
        <v>19</v>
      </c>
      <c r="E11" s="1"/>
      <c r="F11" s="1"/>
      <c r="G11" s="1"/>
      <c r="H11" s="1"/>
      <c r="I11" s="1"/>
      <c r="J11" s="1"/>
      <c r="K11" s="1"/>
      <c r="L11" s="1"/>
    </row>
    <row r="12" spans="1:12">
      <c r="A12" s="1" t="s">
        <v>57</v>
      </c>
      <c r="B12" s="4">
        <f>B7/1000</f>
        <v>2.5000000000000001E-2</v>
      </c>
      <c r="C12" s="1" t="s">
        <v>21</v>
      </c>
      <c r="D12" s="1" t="s">
        <v>214</v>
      </c>
      <c r="E12" s="1"/>
      <c r="F12" s="1"/>
      <c r="G12" s="1"/>
      <c r="H12" s="1"/>
      <c r="I12" s="1"/>
      <c r="J12" s="1"/>
      <c r="K12" s="1"/>
      <c r="L12" s="1"/>
    </row>
    <row r="13" spans="1:12">
      <c r="A13" s="1" t="s">
        <v>33</v>
      </c>
      <c r="B13" s="4">
        <f>B5*B8*B12/B6</f>
        <v>25000</v>
      </c>
      <c r="C13" s="1" t="s">
        <v>34</v>
      </c>
      <c r="D13" s="1" t="s">
        <v>215</v>
      </c>
      <c r="E13" s="1"/>
      <c r="F13" s="1"/>
      <c r="G13" s="1"/>
      <c r="H13" s="1"/>
      <c r="I13" s="1"/>
      <c r="J13" s="1"/>
      <c r="K13" s="1"/>
      <c r="L13" s="1"/>
    </row>
    <row r="14" spans="1:12" ht="57">
      <c r="A14" s="1" t="s">
        <v>216</v>
      </c>
      <c r="B14" s="4" t="str">
        <f>IF(B13&lt;2000,"Laminar",IF(B13&lt;4000,"Transitional","Turbulent"))</f>
        <v>Turbulent</v>
      </c>
      <c r="C14" s="1" t="s">
        <v>34</v>
      </c>
      <c r="D14" s="1" t="s">
        <v>217</v>
      </c>
      <c r="E14" s="1"/>
      <c r="F14" s="1"/>
      <c r="G14" s="1"/>
      <c r="H14" s="1"/>
      <c r="I14" s="1"/>
      <c r="J14" s="1"/>
      <c r="K14" s="1"/>
      <c r="L14" s="1"/>
    </row>
    <row r="15" spans="1:12">
      <c r="A15" s="1" t="s">
        <v>63</v>
      </c>
      <c r="B15" s="4">
        <f>(B9/1000)/B12</f>
        <v>6.0000000000000002E-5</v>
      </c>
      <c r="C15" s="1" t="s">
        <v>34</v>
      </c>
      <c r="D15" s="1" t="s">
        <v>218</v>
      </c>
      <c r="E15" s="1"/>
      <c r="F15" s="1"/>
      <c r="G15" s="1"/>
      <c r="H15" s="1"/>
      <c r="I15" s="1"/>
      <c r="J15" s="1"/>
      <c r="K15" s="1"/>
      <c r="L15" s="1"/>
    </row>
    <row r="16" spans="1:12" ht="57">
      <c r="A16" s="1" t="s">
        <v>65</v>
      </c>
      <c r="B16" s="4">
        <f>IF(B13&lt;2000,64/B13,0.25/(LOG10(B15/3.7+5.74/(B13^0.9))^2))</f>
        <v>2.459461526534237E-2</v>
      </c>
      <c r="C16" s="1" t="s">
        <v>34</v>
      </c>
      <c r="D16" s="1" t="s">
        <v>219</v>
      </c>
      <c r="E16" s="1"/>
      <c r="F16" s="1"/>
      <c r="G16" s="1"/>
      <c r="H16" s="1"/>
      <c r="I16" s="1"/>
      <c r="J16" s="1"/>
      <c r="K16" s="1"/>
      <c r="L16" s="1"/>
    </row>
    <row r="17" spans="1:1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220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221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222</v>
      </c>
      <c r="B4" s="2" t="s">
        <v>3</v>
      </c>
      <c r="C4" s="2" t="s">
        <v>4</v>
      </c>
      <c r="D4" s="2" t="s">
        <v>5</v>
      </c>
      <c r="E4" s="1"/>
      <c r="F4" s="2" t="s">
        <v>223</v>
      </c>
      <c r="G4" s="2" t="s">
        <v>3</v>
      </c>
      <c r="H4" s="2" t="s">
        <v>4</v>
      </c>
      <c r="I4" s="2" t="s">
        <v>5</v>
      </c>
      <c r="J4" s="1"/>
      <c r="K4" s="1"/>
      <c r="L4" s="1"/>
    </row>
    <row r="5" spans="1:12">
      <c r="A5" s="1" t="s">
        <v>224</v>
      </c>
      <c r="B5" s="3">
        <v>100</v>
      </c>
      <c r="C5" s="1" t="s">
        <v>31</v>
      </c>
      <c r="D5" s="1" t="s">
        <v>225</v>
      </c>
      <c r="E5" s="1"/>
      <c r="F5" s="1" t="s">
        <v>226</v>
      </c>
      <c r="G5" s="3">
        <v>10</v>
      </c>
      <c r="H5" s="1" t="s">
        <v>80</v>
      </c>
      <c r="I5" s="1" t="s">
        <v>227</v>
      </c>
      <c r="J5" s="1"/>
      <c r="K5" s="1"/>
      <c r="L5" s="1"/>
    </row>
    <row r="6" spans="1:1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15">
      <c r="A7" s="2" t="s">
        <v>228</v>
      </c>
      <c r="B7" s="2" t="s">
        <v>3</v>
      </c>
      <c r="C7" s="2" t="s">
        <v>4</v>
      </c>
      <c r="D7" s="2" t="s">
        <v>19</v>
      </c>
      <c r="E7" s="1"/>
      <c r="F7" s="2" t="s">
        <v>229</v>
      </c>
      <c r="G7" s="2" t="s">
        <v>3</v>
      </c>
      <c r="H7" s="2" t="s">
        <v>4</v>
      </c>
      <c r="I7" s="2" t="s">
        <v>19</v>
      </c>
      <c r="J7" s="1"/>
      <c r="K7" s="1"/>
      <c r="L7" s="1"/>
    </row>
    <row r="8" spans="1:12">
      <c r="A8" s="1" t="s">
        <v>27</v>
      </c>
      <c r="B8" s="5">
        <f>B5/1000/60</f>
        <v>1.6666666666666668E-3</v>
      </c>
      <c r="C8" s="1" t="s">
        <v>27</v>
      </c>
      <c r="D8" s="1" t="s">
        <v>186</v>
      </c>
      <c r="E8" s="1"/>
      <c r="F8" s="1" t="s">
        <v>78</v>
      </c>
      <c r="G8" s="5">
        <f>G5*1000</f>
        <v>10000</v>
      </c>
      <c r="H8" s="1" t="s">
        <v>78</v>
      </c>
      <c r="I8" s="1" t="s">
        <v>230</v>
      </c>
      <c r="J8" s="1"/>
      <c r="K8" s="1"/>
      <c r="L8" s="1"/>
    </row>
    <row r="9" spans="1:12">
      <c r="A9" s="1" t="s">
        <v>29</v>
      </c>
      <c r="B9" s="5">
        <f>B5/60</f>
        <v>1.6666666666666667</v>
      </c>
      <c r="C9" s="1" t="s">
        <v>29</v>
      </c>
      <c r="D9" s="1" t="s">
        <v>231</v>
      </c>
      <c r="E9" s="1"/>
      <c r="F9" s="1" t="s">
        <v>232</v>
      </c>
      <c r="G9" s="5">
        <f>G5/100</f>
        <v>0.1</v>
      </c>
      <c r="H9" s="1" t="s">
        <v>232</v>
      </c>
      <c r="I9" s="1" t="s">
        <v>233</v>
      </c>
      <c r="J9" s="1"/>
      <c r="K9" s="1"/>
      <c r="L9" s="1"/>
    </row>
    <row r="10" spans="1:12">
      <c r="A10" s="1" t="s">
        <v>90</v>
      </c>
      <c r="B10" s="5">
        <f>B5/1000*60</f>
        <v>6</v>
      </c>
      <c r="C10" s="1" t="s">
        <v>90</v>
      </c>
      <c r="D10" s="1" t="s">
        <v>234</v>
      </c>
      <c r="E10" s="1"/>
      <c r="F10" s="1" t="s">
        <v>235</v>
      </c>
      <c r="G10" s="5">
        <f>G5/6.89476</f>
        <v>1.450376807894691</v>
      </c>
      <c r="H10" s="1" t="s">
        <v>235</v>
      </c>
      <c r="I10" s="1" t="s">
        <v>236</v>
      </c>
      <c r="J10" s="1"/>
      <c r="K10" s="1"/>
      <c r="L10" s="1"/>
    </row>
    <row r="11" spans="1:12">
      <c r="A11" s="1" t="s">
        <v>92</v>
      </c>
      <c r="B11" s="5">
        <f>B5/28.3168</f>
        <v>3.5314724827664143</v>
      </c>
      <c r="C11" s="1" t="s">
        <v>92</v>
      </c>
      <c r="D11" s="1" t="s">
        <v>237</v>
      </c>
      <c r="E11" s="1"/>
      <c r="F11" s="1" t="s">
        <v>238</v>
      </c>
      <c r="G11" s="5">
        <f>G5/9.81</f>
        <v>1.019367991845056</v>
      </c>
      <c r="H11" s="1" t="s">
        <v>239</v>
      </c>
      <c r="I11" s="1" t="s">
        <v>240</v>
      </c>
      <c r="J11" s="1"/>
      <c r="K11" s="1"/>
      <c r="L11" s="1"/>
    </row>
    <row r="12" spans="1:12">
      <c r="A12" s="1" t="s">
        <v>94</v>
      </c>
      <c r="B12" s="5">
        <f>B5/16.6667</f>
        <v>5.9999880000240005</v>
      </c>
      <c r="C12" s="1" t="s">
        <v>94</v>
      </c>
      <c r="D12" s="1" t="s">
        <v>241</v>
      </c>
      <c r="E12" s="1"/>
      <c r="F12" s="1"/>
      <c r="G12" s="1"/>
      <c r="H12" s="1"/>
      <c r="I12" s="1"/>
      <c r="J12" s="1"/>
      <c r="K12" s="1"/>
      <c r="L12" s="1"/>
    </row>
    <row r="13" spans="1:1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15">
      <c r="A15" s="2" t="s">
        <v>242</v>
      </c>
      <c r="B15" s="2" t="s">
        <v>3</v>
      </c>
      <c r="C15" s="2" t="s">
        <v>4</v>
      </c>
      <c r="D15" s="2" t="s">
        <v>5</v>
      </c>
      <c r="E15" s="1"/>
      <c r="F15" s="2" t="s">
        <v>243</v>
      </c>
      <c r="G15" s="2" t="s">
        <v>3</v>
      </c>
      <c r="H15" s="2" t="s">
        <v>4</v>
      </c>
      <c r="I15" s="2" t="s">
        <v>5</v>
      </c>
      <c r="J15" s="1"/>
      <c r="K15" s="1"/>
      <c r="L15" s="1"/>
    </row>
    <row r="16" spans="1:12">
      <c r="A16" s="1" t="s">
        <v>244</v>
      </c>
      <c r="B16" s="3">
        <v>25</v>
      </c>
      <c r="C16" s="1" t="s">
        <v>7</v>
      </c>
      <c r="D16" s="1" t="s">
        <v>245</v>
      </c>
      <c r="E16" s="1"/>
      <c r="F16" s="1" t="s">
        <v>246</v>
      </c>
      <c r="G16" s="3">
        <v>30</v>
      </c>
      <c r="H16" s="1" t="s">
        <v>247</v>
      </c>
      <c r="I16" s="1" t="s">
        <v>248</v>
      </c>
      <c r="J16" s="1"/>
      <c r="K16" s="1"/>
      <c r="L16" s="1"/>
    </row>
    <row r="17" spans="1:1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30">
      <c r="A18" s="2" t="s">
        <v>249</v>
      </c>
      <c r="B18" s="2" t="s">
        <v>3</v>
      </c>
      <c r="C18" s="2" t="s">
        <v>4</v>
      </c>
      <c r="D18" s="2" t="s">
        <v>19</v>
      </c>
      <c r="E18" s="1"/>
      <c r="F18" s="2" t="s">
        <v>250</v>
      </c>
      <c r="G18" s="2" t="s">
        <v>3</v>
      </c>
      <c r="H18" s="2" t="s">
        <v>4</v>
      </c>
      <c r="I18" s="2" t="s">
        <v>19</v>
      </c>
      <c r="J18" s="1"/>
      <c r="K18" s="1"/>
      <c r="L18" s="1"/>
    </row>
    <row r="19" spans="1:12">
      <c r="A19" s="1" t="s">
        <v>21</v>
      </c>
      <c r="B19" s="5">
        <f>B16/1000</f>
        <v>2.5000000000000001E-2</v>
      </c>
      <c r="C19" s="1" t="s">
        <v>21</v>
      </c>
      <c r="D19" s="1" t="s">
        <v>251</v>
      </c>
      <c r="E19" s="1"/>
      <c r="F19" s="1" t="s">
        <v>252</v>
      </c>
      <c r="G19" s="5">
        <f>G16+273.15</f>
        <v>303.14999999999998</v>
      </c>
      <c r="H19" s="1" t="s">
        <v>252</v>
      </c>
      <c r="I19" s="1" t="s">
        <v>253</v>
      </c>
      <c r="J19" s="1"/>
      <c r="K19" s="1"/>
      <c r="L19" s="1"/>
    </row>
    <row r="20" spans="1:12">
      <c r="A20" s="1" t="s">
        <v>254</v>
      </c>
      <c r="B20" s="5">
        <f>B16/25.4</f>
        <v>0.98425196850393704</v>
      </c>
      <c r="C20" s="1" t="s">
        <v>254</v>
      </c>
      <c r="D20" s="1" t="s">
        <v>255</v>
      </c>
      <c r="E20" s="1"/>
      <c r="F20" s="1" t="s">
        <v>256</v>
      </c>
      <c r="G20" s="5">
        <f>G16*9/5+32</f>
        <v>86</v>
      </c>
      <c r="H20" s="1" t="s">
        <v>256</v>
      </c>
      <c r="I20" s="1" t="s">
        <v>257</v>
      </c>
      <c r="J20" s="1"/>
      <c r="K20" s="1"/>
      <c r="L20" s="1"/>
    </row>
    <row r="21" spans="1:12">
      <c r="A21" s="1" t="s">
        <v>258</v>
      </c>
      <c r="B21" s="5">
        <f>B16/304.8</f>
        <v>8.2020997375328086E-2</v>
      </c>
      <c r="C21" s="1" t="s">
        <v>258</v>
      </c>
      <c r="D21" s="1" t="s">
        <v>259</v>
      </c>
      <c r="E21" s="1"/>
      <c r="F21" s="1"/>
      <c r="G21" s="1"/>
      <c r="H21" s="1"/>
      <c r="I21" s="1"/>
      <c r="J21" s="1"/>
      <c r="K21" s="1"/>
      <c r="L21" s="1"/>
    </row>
    <row r="22" spans="1:1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2">
    <mergeCell ref="A1:H1"/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80"/>
  <sheetViews>
    <sheetView workbookViewId="0"/>
  </sheetViews>
  <sheetFormatPr defaultRowHeight="14.25"/>
  <cols>
    <col min="1" max="1" width="24" customWidth="1"/>
    <col min="2" max="3" width="14" customWidth="1"/>
    <col min="4" max="4" width="16" customWidth="1"/>
    <col min="5" max="6" width="18" customWidth="1"/>
    <col min="7" max="7" width="22" customWidth="1"/>
    <col min="8" max="8" width="28" customWidth="1"/>
    <col min="9" max="12" width="18" customWidth="1"/>
  </cols>
  <sheetData>
    <row r="1" spans="1:12" ht="24.95" customHeight="1">
      <c r="A1" s="8" t="s">
        <v>260</v>
      </c>
      <c r="B1" s="9"/>
      <c r="C1" s="10"/>
      <c r="D1" s="9"/>
      <c r="E1" s="9"/>
      <c r="F1" s="10"/>
      <c r="G1" s="10"/>
      <c r="H1" s="9"/>
      <c r="I1" s="1"/>
      <c r="J1" s="1"/>
      <c r="K1" s="6"/>
      <c r="L1" s="1"/>
    </row>
    <row r="2" spans="1:12" ht="30" customHeight="1">
      <c r="A2" s="11" t="s">
        <v>261</v>
      </c>
      <c r="B2" s="10"/>
      <c r="C2" s="10"/>
      <c r="D2" s="10"/>
      <c r="E2" s="10"/>
      <c r="F2" s="10"/>
      <c r="G2" s="10"/>
      <c r="H2" s="10"/>
      <c r="I2" s="1"/>
      <c r="J2" s="1"/>
      <c r="K2" s="1"/>
      <c r="L2" s="1"/>
    </row>
    <row r="3" spans="1:1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15">
      <c r="A4" s="2" t="s">
        <v>262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1" t="s">
        <v>263</v>
      </c>
      <c r="B5" s="3">
        <v>1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>
      <c r="A6" s="1" t="s">
        <v>264</v>
      </c>
      <c r="B6" s="3">
        <v>10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>
      <c r="A7" s="1" t="s">
        <v>265</v>
      </c>
      <c r="B7" s="3">
        <v>1000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>
      <c r="A8" s="1" t="s">
        <v>266</v>
      </c>
      <c r="B8" s="3">
        <v>1.2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>
      <c r="A9" s="1" t="s">
        <v>267</v>
      </c>
      <c r="B9" s="3">
        <v>1E-3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 t="s">
        <v>268</v>
      </c>
      <c r="B10" s="3">
        <v>1.8E-5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1" t="s">
        <v>65</v>
      </c>
      <c r="B11" s="3">
        <v>0.02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t="15">
      <c r="A13" s="12" t="s">
        <v>269</v>
      </c>
      <c r="B13" s="10"/>
      <c r="C13" s="10"/>
      <c r="D13" s="10"/>
      <c r="E13" s="10"/>
      <c r="F13" s="1"/>
      <c r="G13" s="12" t="s">
        <v>270</v>
      </c>
      <c r="H13" s="10"/>
      <c r="I13" s="10"/>
      <c r="J13" s="10"/>
      <c r="K13" s="10"/>
      <c r="L13" s="10"/>
    </row>
    <row r="14" spans="1:12" ht="15">
      <c r="A14" s="2" t="s">
        <v>271</v>
      </c>
      <c r="B14" s="2" t="s">
        <v>272</v>
      </c>
      <c r="C14" s="2" t="s">
        <v>273</v>
      </c>
      <c r="D14" s="2" t="s">
        <v>274</v>
      </c>
      <c r="E14" s="2" t="s">
        <v>275</v>
      </c>
      <c r="F14" s="1"/>
      <c r="G14" s="2" t="s">
        <v>271</v>
      </c>
      <c r="H14" s="2" t="s">
        <v>272</v>
      </c>
      <c r="I14" s="2" t="s">
        <v>276</v>
      </c>
      <c r="J14" s="2" t="s">
        <v>273</v>
      </c>
      <c r="K14" s="2" t="s">
        <v>277</v>
      </c>
      <c r="L14" s="2" t="s">
        <v>275</v>
      </c>
    </row>
    <row r="15" spans="1:12">
      <c r="A15" s="1">
        <v>4</v>
      </c>
      <c r="B15" s="1">
        <f t="shared" ref="B15:B27" si="0">PI()*(A15/1000)^2/4*$B$5*1000*60</f>
        <v>0.7539822368615503</v>
      </c>
      <c r="C15" s="1">
        <f t="shared" ref="C15:C27" si="1">$B$7*$B$5*(A15/1000)/$B$9</f>
        <v>4000</v>
      </c>
      <c r="D15" s="1">
        <f t="shared" ref="D15:D27" si="2">$B$11*(1/(A15/1000))*($B$5^2/(2*9.81))</f>
        <v>0.254841997961264</v>
      </c>
      <c r="E15" s="1">
        <f t="shared" ref="E15:E27" si="3">D15*$B$7*9.81/1000</f>
        <v>2.5</v>
      </c>
      <c r="F15" s="1"/>
      <c r="G15" s="1">
        <v>4</v>
      </c>
      <c r="H15" s="1">
        <f t="shared" ref="H15:H27" si="4">PI()*(G15/1000)^2/4*$B$6*1000*60</f>
        <v>7.5398223686155026</v>
      </c>
      <c r="I15" s="1">
        <f t="shared" ref="I15:I27" si="5">H15/28.3168</f>
        <v>0.26626675219712337</v>
      </c>
      <c r="J15" s="1">
        <f t="shared" ref="J15:J27" si="6">$B$8*$B$6*(G15/1000)/$B$10</f>
        <v>2666.6666666666665</v>
      </c>
      <c r="K15" s="1">
        <f t="shared" ref="K15:K27" si="7">$B$11*(1/(G15/1000))*($B$8*$B$6^2/2)</f>
        <v>300</v>
      </c>
      <c r="L15" s="1">
        <f t="shared" ref="L15:L27" si="8">K15/1000</f>
        <v>0.3</v>
      </c>
    </row>
    <row r="16" spans="1:12">
      <c r="A16" s="1">
        <v>8</v>
      </c>
      <c r="B16" s="1">
        <f t="shared" si="0"/>
        <v>3.0159289474462012</v>
      </c>
      <c r="C16" s="1">
        <f t="shared" si="1"/>
        <v>8000</v>
      </c>
      <c r="D16" s="1">
        <f t="shared" si="2"/>
        <v>0.127420998980632</v>
      </c>
      <c r="E16" s="1">
        <f t="shared" si="3"/>
        <v>1.25</v>
      </c>
      <c r="F16" s="1"/>
      <c r="G16" s="1">
        <v>8</v>
      </c>
      <c r="H16" s="1">
        <f t="shared" si="4"/>
        <v>30.15928947446201</v>
      </c>
      <c r="I16" s="1">
        <f t="shared" si="5"/>
        <v>1.0650670087884935</v>
      </c>
      <c r="J16" s="1">
        <f t="shared" si="6"/>
        <v>5333.333333333333</v>
      </c>
      <c r="K16" s="1">
        <f t="shared" si="7"/>
        <v>150</v>
      </c>
      <c r="L16" s="1">
        <f t="shared" si="8"/>
        <v>0.15</v>
      </c>
    </row>
    <row r="17" spans="1:12">
      <c r="A17" s="1">
        <v>10</v>
      </c>
      <c r="B17" s="1">
        <f t="shared" si="0"/>
        <v>4.7123889803846897</v>
      </c>
      <c r="C17" s="1">
        <f t="shared" si="1"/>
        <v>10000</v>
      </c>
      <c r="D17" s="1">
        <f t="shared" si="2"/>
        <v>0.1019367991845056</v>
      </c>
      <c r="E17" s="1">
        <f t="shared" si="3"/>
        <v>1</v>
      </c>
      <c r="F17" s="1"/>
      <c r="G17" s="1">
        <v>10</v>
      </c>
      <c r="H17" s="1">
        <f t="shared" si="4"/>
        <v>47.123889803846893</v>
      </c>
      <c r="I17" s="1">
        <f t="shared" si="5"/>
        <v>1.664167201232021</v>
      </c>
      <c r="J17" s="1">
        <f t="shared" si="6"/>
        <v>6666.6666666666661</v>
      </c>
      <c r="K17" s="1">
        <f t="shared" si="7"/>
        <v>120</v>
      </c>
      <c r="L17" s="1">
        <f t="shared" si="8"/>
        <v>0.12</v>
      </c>
    </row>
    <row r="18" spans="1:12">
      <c r="A18" s="1">
        <v>14</v>
      </c>
      <c r="B18" s="1">
        <f t="shared" si="0"/>
        <v>9.2362824015539928</v>
      </c>
      <c r="C18" s="1">
        <f t="shared" si="1"/>
        <v>14000</v>
      </c>
      <c r="D18" s="1">
        <f t="shared" si="2"/>
        <v>7.2811999417504006E-2</v>
      </c>
      <c r="E18" s="1">
        <f t="shared" si="3"/>
        <v>0.71428571428571441</v>
      </c>
      <c r="F18" s="1"/>
      <c r="G18" s="1">
        <v>14</v>
      </c>
      <c r="H18" s="1">
        <f t="shared" si="4"/>
        <v>92.362824015539928</v>
      </c>
      <c r="I18" s="1">
        <f t="shared" si="5"/>
        <v>3.2617677144147619</v>
      </c>
      <c r="J18" s="1">
        <f t="shared" si="6"/>
        <v>9333.3333333333339</v>
      </c>
      <c r="K18" s="1">
        <f t="shared" si="7"/>
        <v>85.714285714285722</v>
      </c>
      <c r="L18" s="1">
        <f t="shared" si="8"/>
        <v>8.5714285714285729E-2</v>
      </c>
    </row>
    <row r="19" spans="1:12">
      <c r="A19" s="1">
        <v>19</v>
      </c>
      <c r="B19" s="1">
        <f t="shared" si="0"/>
        <v>17.011724219188729</v>
      </c>
      <c r="C19" s="1">
        <f t="shared" si="1"/>
        <v>19000</v>
      </c>
      <c r="D19" s="1">
        <f t="shared" si="2"/>
        <v>5.3650946939213483E-2</v>
      </c>
      <c r="E19" s="1">
        <f t="shared" si="3"/>
        <v>0.52631578947368429</v>
      </c>
      <c r="F19" s="1"/>
      <c r="G19" s="1">
        <v>19</v>
      </c>
      <c r="H19" s="1">
        <f t="shared" si="4"/>
        <v>170.11724219188727</v>
      </c>
      <c r="I19" s="1">
        <f t="shared" si="5"/>
        <v>6.0076435964475952</v>
      </c>
      <c r="J19" s="1">
        <f t="shared" si="6"/>
        <v>12666.666666666666</v>
      </c>
      <c r="K19" s="1">
        <f t="shared" si="7"/>
        <v>63.157894736842117</v>
      </c>
      <c r="L19" s="1">
        <f t="shared" si="8"/>
        <v>6.3157894736842121E-2</v>
      </c>
    </row>
    <row r="20" spans="1:12">
      <c r="A20" s="1">
        <v>22.4</v>
      </c>
      <c r="B20" s="1">
        <f t="shared" si="0"/>
        <v>23.644882947978218</v>
      </c>
      <c r="C20" s="1">
        <f t="shared" si="1"/>
        <v>22399.999999999996</v>
      </c>
      <c r="D20" s="1">
        <f t="shared" si="2"/>
        <v>4.5507499635940002E-2</v>
      </c>
      <c r="E20" s="1">
        <f t="shared" si="3"/>
        <v>0.44642857142857145</v>
      </c>
      <c r="F20" s="1"/>
      <c r="G20" s="1">
        <v>22.4</v>
      </c>
      <c r="H20" s="1">
        <f t="shared" si="4"/>
        <v>236.44882947978218</v>
      </c>
      <c r="I20" s="1">
        <f t="shared" si="5"/>
        <v>8.3501253489017895</v>
      </c>
      <c r="J20" s="1">
        <f t="shared" si="6"/>
        <v>14933.333333333332</v>
      </c>
      <c r="K20" s="1">
        <f t="shared" si="7"/>
        <v>53.571428571428577</v>
      </c>
      <c r="L20" s="1">
        <f t="shared" si="8"/>
        <v>5.3571428571428575E-2</v>
      </c>
    </row>
    <row r="21" spans="1:12">
      <c r="A21" s="1">
        <v>28</v>
      </c>
      <c r="B21" s="1">
        <f t="shared" si="0"/>
        <v>36.945129606215971</v>
      </c>
      <c r="C21" s="1">
        <f t="shared" si="1"/>
        <v>28000</v>
      </c>
      <c r="D21" s="1">
        <f t="shared" si="2"/>
        <v>3.6405999708752003E-2</v>
      </c>
      <c r="E21" s="1">
        <f t="shared" si="3"/>
        <v>0.35714285714285721</v>
      </c>
      <c r="F21" s="1"/>
      <c r="G21" s="1">
        <v>28</v>
      </c>
      <c r="H21" s="1">
        <f t="shared" si="4"/>
        <v>369.45129606215971</v>
      </c>
      <c r="I21" s="1">
        <f t="shared" si="5"/>
        <v>13.047070857659048</v>
      </c>
      <c r="J21" s="1">
        <f t="shared" si="6"/>
        <v>18666.666666666668</v>
      </c>
      <c r="K21" s="1">
        <f t="shared" si="7"/>
        <v>42.857142857142861</v>
      </c>
      <c r="L21" s="1">
        <f t="shared" si="8"/>
        <v>4.2857142857142864E-2</v>
      </c>
    </row>
    <row r="22" spans="1:12">
      <c r="A22" s="1">
        <v>37.4</v>
      </c>
      <c r="B22" s="1">
        <f t="shared" si="0"/>
        <v>65.915012102028868</v>
      </c>
      <c r="C22" s="1">
        <f t="shared" si="1"/>
        <v>37400</v>
      </c>
      <c r="D22" s="1">
        <f t="shared" si="2"/>
        <v>2.7255828658958724E-2</v>
      </c>
      <c r="E22" s="1">
        <f t="shared" si="3"/>
        <v>0.2673796791443851</v>
      </c>
      <c r="F22" s="1"/>
      <c r="G22" s="1">
        <v>37.4</v>
      </c>
      <c r="H22" s="1">
        <f t="shared" si="4"/>
        <v>659.15012102028879</v>
      </c>
      <c r="I22" s="1">
        <f t="shared" si="5"/>
        <v>23.277705143953018</v>
      </c>
      <c r="J22" s="1">
        <f t="shared" si="6"/>
        <v>24933.333333333332</v>
      </c>
      <c r="K22" s="1">
        <f t="shared" si="7"/>
        <v>32.085561497326211</v>
      </c>
      <c r="L22" s="1">
        <f t="shared" si="8"/>
        <v>3.2085561497326213E-2</v>
      </c>
    </row>
    <row r="23" spans="1:12">
      <c r="A23" s="1">
        <v>43.4</v>
      </c>
      <c r="B23" s="1">
        <f t="shared" si="0"/>
        <v>88.760673878933872</v>
      </c>
      <c r="C23" s="1">
        <f t="shared" si="1"/>
        <v>43400</v>
      </c>
      <c r="D23" s="1">
        <f t="shared" si="2"/>
        <v>2.3487741747581937E-2</v>
      </c>
      <c r="E23" s="1">
        <f t="shared" si="3"/>
        <v>0.2304147465437788</v>
      </c>
      <c r="F23" s="1"/>
      <c r="G23" s="1">
        <v>43.4</v>
      </c>
      <c r="H23" s="1">
        <f t="shared" si="4"/>
        <v>887.60673878933869</v>
      </c>
      <c r="I23" s="1">
        <f t="shared" si="5"/>
        <v>31.345587735525861</v>
      </c>
      <c r="J23" s="1">
        <f t="shared" si="6"/>
        <v>28933.333333333336</v>
      </c>
      <c r="K23" s="1">
        <f t="shared" si="7"/>
        <v>27.649769585253456</v>
      </c>
      <c r="L23" s="1">
        <f t="shared" si="8"/>
        <v>2.7649769585253454E-2</v>
      </c>
    </row>
    <row r="24" spans="1:12">
      <c r="A24" s="1">
        <v>55.4</v>
      </c>
      <c r="B24" s="1">
        <f t="shared" si="0"/>
        <v>144.63075763037472</v>
      </c>
      <c r="C24" s="1">
        <f t="shared" si="1"/>
        <v>55400</v>
      </c>
      <c r="D24" s="1">
        <f t="shared" si="2"/>
        <v>1.8400144257130976E-2</v>
      </c>
      <c r="E24" s="1">
        <f t="shared" si="3"/>
        <v>0.18050541516245489</v>
      </c>
      <c r="F24" s="1"/>
      <c r="G24" s="1">
        <v>55.4</v>
      </c>
      <c r="H24" s="1">
        <f t="shared" si="4"/>
        <v>1446.3075763037473</v>
      </c>
      <c r="I24" s="1">
        <f t="shared" si="5"/>
        <v>51.075954073332696</v>
      </c>
      <c r="J24" s="1">
        <f t="shared" si="6"/>
        <v>36933.333333333328</v>
      </c>
      <c r="K24" s="1">
        <f t="shared" si="7"/>
        <v>21.660649819494587</v>
      </c>
      <c r="L24" s="1">
        <f t="shared" si="8"/>
        <v>2.1660649819494587E-2</v>
      </c>
    </row>
    <row r="25" spans="1:12">
      <c r="A25" s="1">
        <v>70.8</v>
      </c>
      <c r="B25" s="1">
        <f t="shared" si="0"/>
        <v>236.21509498635513</v>
      </c>
      <c r="C25" s="1">
        <f t="shared" si="1"/>
        <v>70800</v>
      </c>
      <c r="D25" s="1">
        <f t="shared" si="2"/>
        <v>1.4397852992161808E-2</v>
      </c>
      <c r="E25" s="1">
        <f t="shared" si="3"/>
        <v>0.14124293785310735</v>
      </c>
      <c r="F25" s="1"/>
      <c r="G25" s="1">
        <v>70.8</v>
      </c>
      <c r="H25" s="1">
        <f t="shared" si="4"/>
        <v>2362.1509498635514</v>
      </c>
      <c r="I25" s="1">
        <f t="shared" si="5"/>
        <v>83.418710795836802</v>
      </c>
      <c r="J25" s="1">
        <f t="shared" si="6"/>
        <v>47200</v>
      </c>
      <c r="K25" s="1">
        <f t="shared" si="7"/>
        <v>16.949152542372882</v>
      </c>
      <c r="L25" s="1">
        <f t="shared" si="8"/>
        <v>1.6949152542372881E-2</v>
      </c>
    </row>
    <row r="26" spans="1:12">
      <c r="A26" s="1">
        <v>82.8</v>
      </c>
      <c r="B26" s="1">
        <f t="shared" si="0"/>
        <v>323.07384867280575</v>
      </c>
      <c r="C26" s="1">
        <f t="shared" si="1"/>
        <v>82800</v>
      </c>
      <c r="D26" s="1">
        <f t="shared" si="2"/>
        <v>1.2311207630978939E-2</v>
      </c>
      <c r="E26" s="1">
        <f t="shared" si="3"/>
        <v>0.12077294685990339</v>
      </c>
      <c r="F26" s="1"/>
      <c r="G26" s="1">
        <v>82.8</v>
      </c>
      <c r="H26" s="1">
        <f t="shared" si="4"/>
        <v>3230.7384867280571</v>
      </c>
      <c r="I26" s="1">
        <f t="shared" si="5"/>
        <v>114.09264064894539</v>
      </c>
      <c r="J26" s="1">
        <f t="shared" si="6"/>
        <v>55200</v>
      </c>
      <c r="K26" s="1">
        <f t="shared" si="7"/>
        <v>14.492753623188406</v>
      </c>
      <c r="L26" s="1">
        <f t="shared" si="8"/>
        <v>1.4492753623188406E-2</v>
      </c>
    </row>
    <row r="27" spans="1:12">
      <c r="A27" s="1">
        <v>105.8</v>
      </c>
      <c r="B27" s="1">
        <f t="shared" si="0"/>
        <v>527.48785786393273</v>
      </c>
      <c r="C27" s="1">
        <f t="shared" si="1"/>
        <v>105800</v>
      </c>
      <c r="D27" s="1">
        <f t="shared" si="2"/>
        <v>9.6348581459835183E-3</v>
      </c>
      <c r="E27" s="1">
        <f t="shared" si="3"/>
        <v>9.4517958412098327E-2</v>
      </c>
      <c r="F27" s="1"/>
      <c r="G27" s="1">
        <v>105.8</v>
      </c>
      <c r="H27" s="1">
        <f t="shared" si="4"/>
        <v>5274.8785786393273</v>
      </c>
      <c r="I27" s="1">
        <f t="shared" si="5"/>
        <v>186.280885503988</v>
      </c>
      <c r="J27" s="1">
        <f t="shared" si="6"/>
        <v>70533.333333333328</v>
      </c>
      <c r="K27" s="1">
        <f t="shared" si="7"/>
        <v>11.342155009451798</v>
      </c>
      <c r="L27" s="1">
        <f t="shared" si="8"/>
        <v>1.1342155009451798E-2</v>
      </c>
    </row>
    <row r="28" spans="1:1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>
      <c r="A32" s="1" t="s">
        <v>278</v>
      </c>
      <c r="B32" s="1" t="s">
        <v>127</v>
      </c>
      <c r="C32" s="1">
        <v>0.62</v>
      </c>
      <c r="D32" s="1">
        <v>98.1</v>
      </c>
      <c r="E32" s="1"/>
      <c r="F32" s="1"/>
      <c r="G32" s="1" t="s">
        <v>279</v>
      </c>
      <c r="H32" s="1" t="s">
        <v>127</v>
      </c>
      <c r="I32" s="1">
        <v>0.62</v>
      </c>
      <c r="J32" s="1">
        <v>5</v>
      </c>
      <c r="K32" s="1"/>
      <c r="L32" s="1"/>
    </row>
    <row r="33" spans="1:12" ht="15">
      <c r="A33" s="2" t="s">
        <v>271</v>
      </c>
      <c r="B33" s="2" t="s">
        <v>280</v>
      </c>
      <c r="C33" s="2" t="s">
        <v>19</v>
      </c>
      <c r="D33" s="1"/>
      <c r="E33" s="1"/>
      <c r="F33" s="1"/>
      <c r="G33" s="2" t="s">
        <v>271</v>
      </c>
      <c r="H33" s="2" t="s">
        <v>280</v>
      </c>
      <c r="I33" s="2" t="s">
        <v>19</v>
      </c>
      <c r="J33" s="1"/>
      <c r="K33" s="1"/>
      <c r="L33" s="1"/>
    </row>
    <row r="34" spans="1:12">
      <c r="A34" s="1">
        <v>0.3</v>
      </c>
      <c r="B34" s="1">
        <f t="shared" ref="B34:B42" si="9">$C$32*PI()*(A34/1000)^2/4*SQRT(2*($D$32*1000)/$B$7)*1000*60</f>
        <v>3.6831960161900421E-2</v>
      </c>
      <c r="C34" s="1" t="s">
        <v>281</v>
      </c>
      <c r="D34" s="1"/>
      <c r="E34" s="1"/>
      <c r="F34" s="1"/>
      <c r="G34" s="1">
        <v>0.3</v>
      </c>
      <c r="H34" s="1">
        <f t="shared" ref="H34:H42" si="10">$I$32*PI()*(G34/1000)^2/4*SQRT(2*($J$32*1000)/$B$8)*1000*60</f>
        <v>0.24004060221947812</v>
      </c>
      <c r="I34" s="1" t="s">
        <v>282</v>
      </c>
      <c r="J34" s="1"/>
      <c r="K34" s="1"/>
      <c r="L34" s="1"/>
    </row>
    <row r="35" spans="1:12">
      <c r="A35" s="1">
        <v>0.5</v>
      </c>
      <c r="B35" s="1">
        <f t="shared" si="9"/>
        <v>0.10231100044972342</v>
      </c>
      <c r="C35" s="1" t="s">
        <v>281</v>
      </c>
      <c r="D35" s="1"/>
      <c r="E35" s="1"/>
      <c r="F35" s="1"/>
      <c r="G35" s="1">
        <v>0.5</v>
      </c>
      <c r="H35" s="1">
        <f t="shared" si="10"/>
        <v>0.66677945060966159</v>
      </c>
      <c r="I35" s="1" t="s">
        <v>282</v>
      </c>
      <c r="J35" s="1"/>
      <c r="K35" s="1"/>
      <c r="L35" s="1"/>
    </row>
    <row r="36" spans="1:12">
      <c r="A36" s="1">
        <v>0.7</v>
      </c>
      <c r="B36" s="1">
        <f t="shared" si="9"/>
        <v>0.20052956088145785</v>
      </c>
      <c r="C36" s="1" t="s">
        <v>281</v>
      </c>
      <c r="D36" s="1"/>
      <c r="E36" s="1"/>
      <c r="F36" s="1"/>
      <c r="G36" s="1">
        <v>0.7</v>
      </c>
      <c r="H36" s="1">
        <f t="shared" si="10"/>
        <v>1.3068877231949367</v>
      </c>
      <c r="I36" s="1" t="s">
        <v>282</v>
      </c>
      <c r="J36" s="1"/>
      <c r="K36" s="1"/>
      <c r="L36" s="1"/>
    </row>
    <row r="37" spans="1:12">
      <c r="A37" s="1">
        <v>1</v>
      </c>
      <c r="B37" s="1">
        <f t="shared" si="9"/>
        <v>0.4092440017988937</v>
      </c>
      <c r="C37" s="1" t="s">
        <v>281</v>
      </c>
      <c r="D37" s="1"/>
      <c r="E37" s="1"/>
      <c r="F37" s="1"/>
      <c r="G37" s="1">
        <v>1</v>
      </c>
      <c r="H37" s="1">
        <f t="shared" si="10"/>
        <v>2.6671178024386464</v>
      </c>
      <c r="I37" s="1" t="s">
        <v>282</v>
      </c>
      <c r="J37" s="1"/>
      <c r="K37" s="1"/>
      <c r="L37" s="1"/>
    </row>
    <row r="38" spans="1:12">
      <c r="A38" s="1">
        <v>1.5</v>
      </c>
      <c r="B38" s="1">
        <f t="shared" si="9"/>
        <v>0.92079900404751092</v>
      </c>
      <c r="C38" s="1" t="s">
        <v>281</v>
      </c>
      <c r="D38" s="1"/>
      <c r="E38" s="1"/>
      <c r="F38" s="1"/>
      <c r="G38" s="1">
        <v>1.5</v>
      </c>
      <c r="H38" s="1">
        <f t="shared" si="10"/>
        <v>6.0010150554869552</v>
      </c>
      <c r="I38" s="1" t="s">
        <v>282</v>
      </c>
      <c r="J38" s="1"/>
      <c r="K38" s="1"/>
      <c r="L38" s="1"/>
    </row>
    <row r="39" spans="1:12">
      <c r="A39" s="1">
        <v>2</v>
      </c>
      <c r="B39" s="1">
        <f t="shared" si="9"/>
        <v>1.6369760071955748</v>
      </c>
      <c r="C39" s="1" t="s">
        <v>281</v>
      </c>
      <c r="D39" s="1"/>
      <c r="E39" s="1"/>
      <c r="F39" s="1"/>
      <c r="G39" s="1">
        <v>2</v>
      </c>
      <c r="H39" s="1">
        <f t="shared" si="10"/>
        <v>10.668471209754586</v>
      </c>
      <c r="I39" s="1" t="s">
        <v>282</v>
      </c>
      <c r="J39" s="1"/>
      <c r="K39" s="1"/>
      <c r="L39" s="1"/>
    </row>
    <row r="40" spans="1:12">
      <c r="A40" s="1">
        <v>3</v>
      </c>
      <c r="B40" s="1">
        <f t="shared" si="9"/>
        <v>3.6831960161900437</v>
      </c>
      <c r="C40" s="1" t="s">
        <v>281</v>
      </c>
      <c r="D40" s="1"/>
      <c r="E40" s="1"/>
      <c r="F40" s="1"/>
      <c r="G40" s="1">
        <v>3</v>
      </c>
      <c r="H40" s="1">
        <f t="shared" si="10"/>
        <v>24.004060221947821</v>
      </c>
      <c r="I40" s="1" t="s">
        <v>282</v>
      </c>
      <c r="J40" s="1"/>
      <c r="K40" s="1"/>
      <c r="L40" s="1"/>
    </row>
    <row r="41" spans="1:12">
      <c r="A41" s="1">
        <v>4</v>
      </c>
      <c r="B41" s="1">
        <f t="shared" si="9"/>
        <v>6.5479040287822992</v>
      </c>
      <c r="C41" s="1" t="s">
        <v>281</v>
      </c>
      <c r="D41" s="1"/>
      <c r="E41" s="1"/>
      <c r="F41" s="1"/>
      <c r="G41" s="1">
        <v>4</v>
      </c>
      <c r="H41" s="1">
        <f t="shared" si="10"/>
        <v>42.673884839018342</v>
      </c>
      <c r="I41" s="1" t="s">
        <v>282</v>
      </c>
      <c r="J41" s="1"/>
      <c r="K41" s="1"/>
      <c r="L41" s="1"/>
    </row>
    <row r="42" spans="1:12">
      <c r="A42" s="1">
        <v>5</v>
      </c>
      <c r="B42" s="1">
        <f t="shared" si="9"/>
        <v>10.231100044972342</v>
      </c>
      <c r="C42" s="1" t="s">
        <v>281</v>
      </c>
      <c r="D42" s="1"/>
      <c r="E42" s="1"/>
      <c r="F42" s="1"/>
      <c r="G42" s="1">
        <v>5</v>
      </c>
      <c r="H42" s="1">
        <f t="shared" si="10"/>
        <v>66.677945060966167</v>
      </c>
      <c r="I42" s="1" t="s">
        <v>282</v>
      </c>
      <c r="J42" s="1"/>
      <c r="K42" s="1"/>
      <c r="L42" s="1"/>
    </row>
    <row r="43" spans="1:1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>
      <c r="A45" s="1" t="s">
        <v>283</v>
      </c>
      <c r="B45" s="1" t="s">
        <v>127</v>
      </c>
      <c r="C45" s="1">
        <v>0.65</v>
      </c>
      <c r="D45" s="1" t="s">
        <v>284</v>
      </c>
      <c r="E45" s="1">
        <v>0.5</v>
      </c>
      <c r="F45" s="1"/>
      <c r="G45" s="1"/>
      <c r="H45" s="1"/>
      <c r="I45" s="1"/>
      <c r="J45" s="1"/>
      <c r="K45" s="1"/>
      <c r="L45" s="1"/>
    </row>
    <row r="46" spans="1:12" ht="30">
      <c r="A46" s="2" t="s">
        <v>285</v>
      </c>
      <c r="B46" s="2" t="s">
        <v>286</v>
      </c>
      <c r="C46" s="2" t="s">
        <v>287</v>
      </c>
      <c r="D46" s="2" t="s">
        <v>5</v>
      </c>
      <c r="E46" s="1"/>
      <c r="F46" s="1"/>
      <c r="G46" s="1"/>
      <c r="H46" s="1"/>
      <c r="I46" s="1"/>
      <c r="J46" s="1"/>
      <c r="K46" s="1"/>
      <c r="L46" s="1"/>
    </row>
    <row r="47" spans="1:12">
      <c r="A47" s="1">
        <v>0.5</v>
      </c>
      <c r="B47" s="1">
        <f>$C$45*PI()*(A47/1000)^2/4*SQRT(2*(($E$45*1000*9.81)/1000*1000)/$B$8)*1000*60</f>
        <v>0.69237021658370679</v>
      </c>
      <c r="C47" s="1">
        <f>$E$45*$B$7*9.81/1000</f>
        <v>4.9050000000000002</v>
      </c>
      <c r="D47" s="1" t="str">
        <f>"Per hole"</f>
        <v>Per hole</v>
      </c>
      <c r="E47" s="1"/>
      <c r="F47" s="1"/>
      <c r="G47" s="1"/>
      <c r="H47" s="1"/>
      <c r="I47" s="1"/>
      <c r="J47" s="1"/>
      <c r="K47" s="1"/>
      <c r="L47" s="1"/>
    </row>
    <row r="48" spans="1:12">
      <c r="A48" s="1">
        <v>0.7</v>
      </c>
      <c r="B48" s="1">
        <f>$C$45*PI()*(A48/1000)^2/4*SQRT(2*(($E$45*1000*9.81)/1000*1000)/$B$8)*1000*60</f>
        <v>1.3570456245040652</v>
      </c>
      <c r="C48" s="1">
        <f>$E$45*$B$7*9.81/1000</f>
        <v>4.9050000000000002</v>
      </c>
      <c r="D48" s="1" t="str">
        <f>"Per hole"</f>
        <v>Per hole</v>
      </c>
      <c r="E48" s="1"/>
      <c r="F48" s="1"/>
      <c r="G48" s="1"/>
      <c r="H48" s="1"/>
      <c r="I48" s="1"/>
      <c r="J48" s="1"/>
      <c r="K48" s="1"/>
      <c r="L48" s="1"/>
    </row>
    <row r="49" spans="1:12">
      <c r="A49" s="1">
        <v>1</v>
      </c>
      <c r="B49" s="1">
        <f>$C$45*PI()*(A49/1000)^2/4*SQRT(2*(($E$45*1000*9.81)/1000*1000)/$B$8)*1000*60</f>
        <v>2.7694808663348272</v>
      </c>
      <c r="C49" s="1">
        <f>$E$45*$B$7*9.81/1000</f>
        <v>4.9050000000000002</v>
      </c>
      <c r="D49" s="1" t="str">
        <f>"Per hole"</f>
        <v>Per hole</v>
      </c>
      <c r="E49" s="1"/>
      <c r="F49" s="1"/>
      <c r="G49" s="1"/>
      <c r="H49" s="1"/>
      <c r="I49" s="1"/>
      <c r="J49" s="1"/>
      <c r="K49" s="1"/>
      <c r="L49" s="1"/>
    </row>
    <row r="50" spans="1:12">
      <c r="A50" s="1">
        <v>1.5</v>
      </c>
      <c r="B50" s="1">
        <f>$C$45*PI()*(A50/1000)^2/4*SQRT(2*(($E$45*1000*9.81)/1000*1000)/$B$8)*1000*60</f>
        <v>6.2313319492533603</v>
      </c>
      <c r="C50" s="1">
        <f>$E$45*$B$7*9.81/1000</f>
        <v>4.9050000000000002</v>
      </c>
      <c r="D50" s="1" t="str">
        <f>"Per hole"</f>
        <v>Per hole</v>
      </c>
      <c r="E50" s="1"/>
      <c r="F50" s="1"/>
      <c r="G50" s="1"/>
      <c r="H50" s="1"/>
      <c r="I50" s="1"/>
      <c r="J50" s="1"/>
      <c r="K50" s="1"/>
      <c r="L50" s="1"/>
    </row>
    <row r="51" spans="1:12">
      <c r="A51" s="1">
        <v>2</v>
      </c>
      <c r="B51" s="1">
        <f>$C$45*PI()*(A51/1000)^2/4*SQRT(2*(($E$45*1000*9.81)/1000*1000)/$B$8)*1000*60</f>
        <v>11.077923465339309</v>
      </c>
      <c r="C51" s="1">
        <f>$E$45*$B$7*9.81/1000</f>
        <v>4.9050000000000002</v>
      </c>
      <c r="D51" s="1" t="str">
        <f>"Per hole"</f>
        <v>Per hole</v>
      </c>
      <c r="E51" s="1"/>
      <c r="F51" s="1"/>
      <c r="G51" s="1"/>
      <c r="H51" s="1"/>
      <c r="I51" s="1"/>
      <c r="J51" s="1"/>
      <c r="K51" s="1"/>
      <c r="L51" s="1"/>
    </row>
    <row r="52" spans="1:1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</sheetData>
  <mergeCells count="4">
    <mergeCell ref="A1:H1"/>
    <mergeCell ref="A2:H2"/>
    <mergeCell ref="A13:E13"/>
    <mergeCell ref="G13:L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 Water Flow</vt:lpstr>
      <vt:lpstr>02 Water PD</vt:lpstr>
      <vt:lpstr>03 Air Flow</vt:lpstr>
      <vt:lpstr>04 Air PD</vt:lpstr>
      <vt:lpstr>05 Orifice</vt:lpstr>
      <vt:lpstr>06 Diffuser</vt:lpstr>
      <vt:lpstr>07 Pipe Sizing</vt:lpstr>
      <vt:lpstr>08 Reynolds</vt:lpstr>
      <vt:lpstr>09 Unit Converter</vt:lpstr>
      <vt:lpstr>10 Practical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Slamet slamet</cp:lastModifiedBy>
  <dcterms:modified xsi:type="dcterms:W3CDTF">2026-06-22T08:40:55Z</dcterms:modified>
</cp:coreProperties>
</file>